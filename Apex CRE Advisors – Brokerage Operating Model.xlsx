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01 Cover &amp; Control" sheetId="1" state="visible" r:id="rId1"/>
    <sheet xmlns:r="http://schemas.openxmlformats.org/officeDocument/2006/relationships" name="02 Market Assumptions" sheetId="2" state="visible" r:id="rId2"/>
    <sheet xmlns:r="http://schemas.openxmlformats.org/officeDocument/2006/relationships" name="03 Operational Assumptions" sheetId="3" state="visible" r:id="rId3"/>
    <sheet xmlns:r="http://schemas.openxmlformats.org/officeDocument/2006/relationships" name="04 Producer Engine" sheetId="4" state="visible" r:id="rId4"/>
    <sheet xmlns:r="http://schemas.openxmlformats.org/officeDocument/2006/relationships" name="05 Revenue Engine" sheetId="5" state="visible" r:id="rId5"/>
    <sheet xmlns:r="http://schemas.openxmlformats.org/officeDocument/2006/relationships" name="06 Compensation Engine" sheetId="6" state="visible" r:id="rId6"/>
    <sheet xmlns:r="http://schemas.openxmlformats.org/officeDocument/2006/relationships" name="07 Opex Engine" sheetId="7" state="visible" r:id="rId7"/>
    <sheet xmlns:r="http://schemas.openxmlformats.org/officeDocument/2006/relationships" name="08 P&amp;L" sheetId="8" state="visible" r:id="rId8"/>
    <sheet xmlns:r="http://schemas.openxmlformats.org/officeDocument/2006/relationships" name="09 Scenario Analysis" sheetId="9" state="visible" r:id="rId9"/>
    <sheet xmlns:r="http://schemas.openxmlformats.org/officeDocument/2006/relationships" name="10 Dashboard" sheetId="10" state="visible" r:id="rId10"/>
    <sheet xmlns:r="http://schemas.openxmlformats.org/officeDocument/2006/relationships" name="11 Checks" sheetId="11" state="visible" r:id="rId11"/>
  </sheets>
  <definedNames>
    <definedName name="_xlnm.Print_Area" localSheetId="0">'01 Cover &amp; Control'!$A$1:$L$77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0.0%"/>
    <numFmt numFmtId="165" formatCode="#,##0.0"/>
    <numFmt numFmtId="166" formatCode="\+#,##0;\-#,##0;0"/>
    <numFmt numFmtId="167" formatCode="\+0.0%;\-0.0%;0.0%"/>
    <numFmt numFmtId="168" formatCode="#,##0&quot; $K&quot;"/>
    <numFmt numFmtId="169" formatCode="0.0%;[RED]\-0.0%;;"/>
  </numFmts>
  <fonts count="7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C9A84C"/>
      <sz val="12"/>
    </font>
    <font>
      <name val="Calibri"/>
      <charset val="1"/>
      <family val="0"/>
      <b val="1"/>
      <color rgb="FFFFFFFF"/>
      <sz val="10"/>
    </font>
    <font>
      <name val="Calibri"/>
      <charset val="1"/>
      <family val="0"/>
      <color rgb="FF000000"/>
      <sz val="10"/>
    </font>
    <font>
      <name val="Calibri"/>
      <charset val="1"/>
      <family val="0"/>
      <color rgb="FF0000FF"/>
      <sz val="10"/>
    </font>
    <font>
      <name val="Calibri"/>
      <charset val="1"/>
      <family val="0"/>
      <b val="1"/>
      <color rgb="FF000000"/>
      <sz val="11"/>
    </font>
    <font>
      <name val="Calibri"/>
      <charset val="1"/>
      <family val="0"/>
      <b val="1"/>
      <color rgb="FF000000"/>
      <sz val="13"/>
    </font>
    <font>
      <name val="Calibri"/>
      <charset val="1"/>
      <family val="0"/>
      <i val="1"/>
      <color rgb="FF888888"/>
      <sz val="9"/>
    </font>
    <font>
      <name val="Calibri"/>
      <charset val="1"/>
      <family val="0"/>
      <color rgb="FF006400"/>
      <sz val="9"/>
    </font>
    <font>
      <name val="Calibri"/>
      <charset val="1"/>
      <family val="0"/>
      <b val="1"/>
      <color rgb="FF000000"/>
      <sz val="10"/>
    </font>
    <font>
      <name val="Calibri"/>
      <charset val="1"/>
      <family val="0"/>
      <b val="1"/>
      <color rgb="FFCC0000"/>
      <sz val="10"/>
    </font>
    <font>
      <name val="Calibri"/>
      <charset val="1"/>
      <family val="0"/>
      <b val="1"/>
      <color rgb="FFFFFFFF"/>
      <sz val="9"/>
    </font>
    <font>
      <name val="Calibri"/>
      <charset val="1"/>
      <family val="0"/>
      <color rgb="FF000000"/>
      <sz val="9"/>
    </font>
    <font>
      <name val="Calibri"/>
      <charset val="1"/>
      <family val="0"/>
      <i val="1"/>
      <color rgb="FF666666"/>
      <sz val="9"/>
    </font>
    <font>
      <name val="Calibri"/>
      <charset val="1"/>
      <family val="0"/>
      <b val="1"/>
      <color rgb="FF000000"/>
      <sz val="9"/>
    </font>
    <font>
      <name val="Calibri"/>
      <charset val="1"/>
      <family val="0"/>
      <b val="1"/>
      <color rgb="FF006400"/>
      <sz val="9"/>
    </font>
    <font>
      <name val="Calibri"/>
      <charset val="1"/>
      <family val="0"/>
      <b val="1"/>
      <color rgb="FF0000FF"/>
      <sz val="9"/>
    </font>
    <font>
      <name val="Calibri"/>
      <charset val="1"/>
      <family val="0"/>
      <b val="1"/>
      <color rgb="FFCC0000"/>
      <sz val="9"/>
    </font>
    <font>
      <name val="Calibri"/>
      <charset val="1"/>
      <family val="0"/>
      <b val="1"/>
      <color rgb="FF444444"/>
      <sz val="9"/>
    </font>
    <font>
      <name val="Calibri"/>
      <charset val="1"/>
      <family val="0"/>
      <color rgb="FF333333"/>
      <sz val="9"/>
    </font>
    <font>
      <name val="Calibri"/>
      <charset val="1"/>
      <family val="0"/>
      <b val="1"/>
      <color rgb="FFFFFFFF"/>
      <sz val="13"/>
    </font>
    <font>
      <name val="Calibri"/>
      <charset val="1"/>
      <family val="0"/>
      <i val="1"/>
      <color rgb="FFC9A84C"/>
      <sz val="8"/>
    </font>
    <font>
      <name val="Calibri"/>
      <charset val="1"/>
      <family val="0"/>
      <b val="1"/>
      <color rgb="FFFFFFFF"/>
      <sz val="8"/>
    </font>
    <font>
      <name val="Calibri"/>
      <charset val="1"/>
      <family val="0"/>
      <b val="1"/>
      <color rgb="FFFFFFFF"/>
      <sz val="7.5"/>
    </font>
    <font>
      <name val="Calibri"/>
      <charset val="1"/>
      <family val="0"/>
      <color rgb="FF0000FF"/>
      <sz val="9"/>
    </font>
    <font>
      <name val="Calibri"/>
      <charset val="1"/>
      <family val="0"/>
      <i val="1"/>
      <color rgb="FF555555"/>
      <sz val="8"/>
    </font>
    <font>
      <name val="Calibri"/>
      <charset val="1"/>
      <family val="0"/>
      <i val="1"/>
      <color rgb="FF444444"/>
      <sz val="7.5"/>
    </font>
    <font>
      <name val="Calibri"/>
      <charset val="1"/>
      <family val="0"/>
      <b val="1"/>
      <color rgb="FF145214"/>
      <sz val="9"/>
    </font>
    <font>
      <name val="Calibri"/>
      <charset val="1"/>
      <family val="0"/>
      <i val="1"/>
      <color rgb="FF444444"/>
      <sz val="8"/>
    </font>
    <font>
      <name val="Calibri"/>
      <charset val="1"/>
      <family val="0"/>
      <i val="1"/>
      <color rgb="FF888888"/>
      <sz val="7.5"/>
    </font>
    <font>
      <name val="Calibri"/>
      <charset val="1"/>
      <family val="0"/>
      <b val="1"/>
      <color rgb="FF8B0000"/>
      <sz val="9"/>
    </font>
    <font>
      <name val="Calibri"/>
      <charset val="1"/>
      <family val="0"/>
      <i val="1"/>
      <color rgb="FF666666"/>
      <sz val="7.5"/>
    </font>
    <font>
      <name val="Calibri"/>
      <charset val="1"/>
      <family val="0"/>
      <color rgb="FFAAAAAA"/>
      <sz val="8"/>
    </font>
    <font>
      <name val="Calibri"/>
      <charset val="1"/>
      <family val="0"/>
      <i val="1"/>
      <color rgb="FF333333"/>
      <sz val="8"/>
    </font>
    <font>
      <name val="Calibri"/>
      <charset val="1"/>
      <family val="0"/>
      <color rgb="FF145214"/>
      <sz val="9"/>
    </font>
    <font>
      <name val="Calibri"/>
      <charset val="1"/>
      <family val="0"/>
      <i val="1"/>
      <color rgb="FF666666"/>
      <sz val="8"/>
    </font>
    <font>
      <name val="Calibri"/>
      <charset val="1"/>
      <family val="0"/>
      <color rgb="FFBBBBBB"/>
      <sz val="8"/>
    </font>
    <font>
      <name val="Calibri"/>
      <charset val="1"/>
      <family val="0"/>
      <b val="1"/>
      <color rgb="FF1F2D3D"/>
      <sz val="9"/>
    </font>
    <font>
      <name val="Calibri"/>
      <charset val="1"/>
      <family val="0"/>
      <i val="1"/>
      <color rgb="FF336600"/>
      <sz val="7.5"/>
    </font>
    <font>
      <name val="Calibri"/>
      <charset val="1"/>
      <family val="0"/>
      <i val="1"/>
      <color rgb="FF888888"/>
      <sz val="8"/>
    </font>
    <font>
      <name val="Calibri"/>
      <charset val="1"/>
      <family val="0"/>
      <i val="1"/>
      <color rgb="FF8B4513"/>
      <sz val="7.5"/>
    </font>
    <font>
      <name val="Calibri"/>
      <charset val="1"/>
      <family val="0"/>
      <i val="1"/>
      <color rgb="FF999999"/>
      <sz val="9"/>
    </font>
    <font>
      <name val="Calibri"/>
      <charset val="1"/>
      <family val="0"/>
      <color rgb="FF999999"/>
      <sz val="9"/>
    </font>
    <font>
      <name val="Calibri"/>
      <charset val="1"/>
      <family val="0"/>
      <b val="1"/>
      <color rgb="FF9C5700"/>
      <sz val="9"/>
    </font>
    <font>
      <name val="Calibri"/>
      <charset val="1"/>
      <family val="0"/>
      <i val="1"/>
      <color rgb="FF444444"/>
      <sz val="9"/>
    </font>
    <font>
      <name val="Calibri"/>
      <charset val="1"/>
      <family val="0"/>
      <color rgb="FF444444"/>
      <sz val="9"/>
    </font>
    <font>
      <name val="Calibri"/>
      <charset val="1"/>
      <family val="0"/>
      <color rgb="FFCCCCCC"/>
      <sz val="8"/>
    </font>
    <font>
      <name val="Calibri"/>
      <charset val="1"/>
      <family val="0"/>
      <i val="1"/>
      <color rgb="FFAAAAAA"/>
      <sz val="8"/>
    </font>
    <font>
      <name val="Calibri"/>
      <charset val="1"/>
      <family val="0"/>
      <color rgb="FF888888"/>
      <sz val="8"/>
    </font>
    <font>
      <name val="Calibri"/>
      <charset val="1"/>
      <family val="0"/>
      <color rgb="FFCCCCCC"/>
      <sz val="7"/>
    </font>
    <font>
      <name val="Calibri"/>
      <charset val="1"/>
      <family val="0"/>
      <b val="1"/>
      <color rgb="FF1F2D3D"/>
      <sz val="14"/>
    </font>
    <font>
      <name val="Calibri"/>
      <charset val="1"/>
      <family val="0"/>
      <i val="1"/>
      <color rgb="FF666666"/>
      <sz val="7"/>
    </font>
    <font>
      <name val="Calibri"/>
      <charset val="1"/>
      <family val="0"/>
      <i val="1"/>
      <color rgb="FF777777"/>
      <sz val="7.5"/>
    </font>
    <font>
      <name val="Calibri"/>
      <charset val="1"/>
      <family val="0"/>
      <color rgb="FFFFFFFF"/>
      <sz val="9"/>
    </font>
    <font>
      <name val="Calibri"/>
      <charset val="1"/>
      <family val="0"/>
      <color rgb="FF1F2D3D"/>
      <sz val="9"/>
    </font>
    <font>
      <name val="Calibri"/>
      <charset val="1"/>
      <family val="0"/>
      <color rgb="FFCCCCCC"/>
      <sz val="9"/>
    </font>
    <font>
      <name val="Calibri"/>
      <charset val="1"/>
      <family val="0"/>
      <b val="1"/>
      <color rgb="FF1F2D3D"/>
      <sz val="10"/>
    </font>
    <font>
      <name val="Calibri"/>
      <charset val="1"/>
      <family val="0"/>
      <b val="1"/>
      <color rgb="FFFFFFFF"/>
      <sz val="16"/>
    </font>
    <font>
      <name val="Calibri"/>
      <charset val="1"/>
      <family val="0"/>
      <i val="1"/>
      <color rgb="FFC9A84C"/>
      <sz val="9"/>
    </font>
    <font>
      <name val="Calibri"/>
      <charset val="1"/>
      <family val="0"/>
      <b val="1"/>
      <color rgb="FFAAAAAA"/>
      <sz val="8"/>
    </font>
    <font>
      <name val="Calibri"/>
      <charset val="1"/>
      <family val="0"/>
      <i val="1"/>
      <color rgb="FFBBBBBB"/>
      <sz val="8"/>
    </font>
    <font>
      <name val="Calibri"/>
      <charset val="1"/>
      <family val="0"/>
      <color rgb="FFFFFFFF"/>
      <sz val="7"/>
    </font>
    <font>
      <name val="Calibri"/>
      <charset val="1"/>
      <family val="0"/>
      <b val="1"/>
      <color rgb="FF1F2D3D"/>
      <sz val="8"/>
    </font>
    <font>
      <name val="Calibri"/>
      <charset val="1"/>
      <family val="0"/>
      <i val="1"/>
      <color rgb="FF1A5276"/>
      <sz val="9"/>
    </font>
    <font>
      <name val="Calibri"/>
      <charset val="1"/>
      <family val="0"/>
      <b val="1"/>
      <color rgb="FFCCCCCC"/>
      <sz val="8"/>
    </font>
    <font>
      <name val="Calibri"/>
      <charset val="1"/>
      <family val="0"/>
      <b val="1"/>
      <color rgb="FFFFFFFF"/>
      <sz val="14"/>
    </font>
    <font>
      <name val="Calibri"/>
      <charset val="1"/>
      <family val="0"/>
      <i val="1"/>
      <color rgb="FF555555"/>
      <sz val="7.5"/>
    </font>
    <font>
      <name val="Calibri"/>
      <charset val="1"/>
      <family val="0"/>
      <i val="1"/>
      <color rgb="FF8B0000"/>
      <sz val="8"/>
    </font>
  </fonts>
  <fills count="36">
    <fill>
      <patternFill/>
    </fill>
    <fill>
      <patternFill patternType="gray125"/>
    </fill>
    <fill>
      <patternFill patternType="solid">
        <fgColor rgb="FF1F2D3D"/>
        <bgColor rgb="FF333333"/>
      </patternFill>
    </fill>
    <fill>
      <patternFill patternType="solid">
        <fgColor rgb="FFC9A84C"/>
        <bgColor rgb="FFAAAAAA"/>
      </patternFill>
    </fill>
    <fill>
      <patternFill patternType="solid">
        <fgColor rgb="FF2E4057"/>
        <bgColor rgb="FF2C3E50"/>
      </patternFill>
    </fill>
    <fill>
      <patternFill patternType="solid">
        <fgColor rgb="FFDCE9F8"/>
        <bgColor rgb="FFD6EAF8"/>
      </patternFill>
    </fill>
    <fill>
      <patternFill patternType="solid">
        <fgColor rgb="FFF2F4F6"/>
        <bgColor rgb="FFEBF4FF"/>
      </patternFill>
    </fill>
    <fill>
      <patternFill patternType="solid">
        <fgColor rgb="FFDFF0D8"/>
        <bgColor rgb="FFEAF4EA"/>
      </patternFill>
    </fill>
    <fill>
      <patternFill patternType="solid">
        <fgColor rgb="FFFDDCDC"/>
        <bgColor rgb="FFFDEDEC"/>
      </patternFill>
    </fill>
    <fill>
      <patternFill patternType="solid">
        <fgColor rgb="FFEAF4EA"/>
        <bgColor rgb="FFEBF5EB"/>
      </patternFill>
    </fill>
    <fill>
      <patternFill patternType="solid">
        <fgColor rgb="FFD6EAF8"/>
        <bgColor rgb="FFDCE9F8"/>
      </patternFill>
    </fill>
    <fill>
      <patternFill patternType="solid">
        <fgColor rgb="FFFFFFFF"/>
        <bgColor rgb="FFFEF9E7"/>
      </patternFill>
    </fill>
    <fill>
      <patternFill patternType="solid">
        <fgColor rgb="FFFEF9E7"/>
        <bgColor rgb="FFFFF9E6"/>
      </patternFill>
    </fill>
    <fill>
      <patternFill patternType="solid">
        <fgColor rgb="FFEAFAF1"/>
        <bgColor rgb="FFEBF5EB"/>
      </patternFill>
    </fill>
    <fill>
      <patternFill patternType="solid">
        <fgColor rgb="FFFDEDEC"/>
        <bgColor rgb="FFEEEEEE"/>
      </patternFill>
    </fill>
    <fill>
      <patternFill patternType="solid">
        <fgColor rgb="FF3A5068"/>
        <bgColor rgb="FF34495E"/>
      </patternFill>
    </fill>
    <fill>
      <patternFill patternType="solid">
        <fgColor rgb="FF2C3E50"/>
        <bgColor rgb="FF2E4057"/>
      </patternFill>
    </fill>
    <fill>
      <patternFill patternType="solid">
        <fgColor rgb="FFD9DDE2"/>
        <bgColor rgb="FFD9D9D9"/>
      </patternFill>
    </fill>
    <fill>
      <patternFill patternType="solid">
        <fgColor rgb="FFC6EFCE"/>
        <bgColor rgb="FFDFF0D8"/>
      </patternFill>
    </fill>
    <fill>
      <patternFill patternType="solid">
        <fgColor rgb="FFFFF9E6"/>
        <bgColor rgb="FFFEF9E7"/>
      </patternFill>
    </fill>
    <fill>
      <patternFill patternType="solid">
        <fgColor rgb="FFEBF5EB"/>
        <bgColor rgb="FFEAF4EA"/>
      </patternFill>
    </fill>
    <fill>
      <patternFill patternType="solid">
        <fgColor rgb="FFA9DFBA"/>
        <bgColor rgb="FFC6EFCE"/>
      </patternFill>
    </fill>
    <fill>
      <patternFill patternType="solid">
        <fgColor rgb="FFEEEEEE"/>
        <bgColor rgb="FFEAF4EA"/>
      </patternFill>
    </fill>
    <fill>
      <patternFill patternType="solid">
        <fgColor rgb="FFFFEB9C"/>
        <bgColor rgb="FFFDDCDC"/>
      </patternFill>
    </fill>
    <fill>
      <patternFill patternType="solid">
        <fgColor rgb="FFD9D9D9"/>
        <bgColor rgb="FFD9DDE2"/>
      </patternFill>
    </fill>
    <fill>
      <patternFill patternType="solid">
        <fgColor rgb="FFEBF4FF"/>
        <bgColor rgb="FFF2F4F6"/>
      </patternFill>
    </fill>
    <fill>
      <patternFill patternType="solid">
        <fgColor rgb="FF2E5E4E"/>
        <bgColor rgb="FF3A5068"/>
      </patternFill>
    </fill>
    <fill>
      <patternFill patternType="solid">
        <fgColor rgb="FF1A5276"/>
        <bgColor rgb="FF34495E"/>
      </patternFill>
    </fill>
    <fill>
      <patternFill patternType="solid">
        <fgColor rgb="FF145A32"/>
        <bgColor rgb="FF145214"/>
      </patternFill>
    </fill>
    <fill>
      <patternFill patternType="solid">
        <fgColor rgb="FF7B241C"/>
        <bgColor rgb="FF8B0000"/>
      </patternFill>
    </fill>
    <fill>
      <patternFill patternType="solid">
        <fgColor rgb="FF27AE60"/>
        <bgColor rgb="FF70AD47"/>
      </patternFill>
    </fill>
    <fill>
      <patternFill patternType="solid">
        <fgColor rgb="FFE74C3C"/>
        <bgColor rgb="FFC0392B"/>
      </patternFill>
    </fill>
    <fill>
      <patternFill patternType="solid">
        <fgColor rgb="FFFFC7CE"/>
        <bgColor rgb="FFFDDCDC"/>
      </patternFill>
    </fill>
    <fill>
      <patternFill patternType="solid">
        <fgColor rgb="FF34495E"/>
        <bgColor rgb="FF3A5068"/>
      </patternFill>
    </fill>
    <fill>
      <patternFill patternType="solid">
        <fgColor rgb="FFC0392B"/>
        <bgColor rgb="FFE74C3C"/>
      </patternFill>
    </fill>
    <fill>
      <patternFill patternType="solid">
        <fgColor rgb="FF955001"/>
        <bgColor rgb="FFC0392B"/>
      </patternFill>
    </fill>
  </fills>
  <borders count="19">
    <border>
      <left/>
      <right/>
      <top/>
      <bottom/>
      <diagonal/>
    </border>
    <border>
      <left style="medium">
        <color rgb="FF1F2D3D"/>
      </left>
      <right style="medium">
        <color rgb="FF1F2D3D"/>
      </right>
      <top style="medium">
        <color rgb="FF1F2D3D"/>
      </top>
      <bottom style="medium">
        <color rgb="FF1F2D3D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medium">
        <color rgb="FF888888"/>
      </left>
      <right/>
      <top style="medium">
        <color rgb="FF888888"/>
      </top>
      <bottom style="medium">
        <color rgb="FF888888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 style="medium">
        <color rgb="FF555555"/>
      </left>
      <right/>
      <top style="medium">
        <color rgb="FF555555"/>
      </top>
      <bottom style="medium">
        <color rgb="FF555555"/>
      </bottom>
      <diagonal/>
    </border>
    <border>
      <left/>
      <right/>
      <top style="medium">
        <color rgb="FF1F2D3D"/>
      </top>
      <bottom/>
      <diagonal/>
    </border>
    <border>
      <left/>
      <right style="medium">
        <color rgb="FF1F2D3D"/>
      </right>
      <top style="medium">
        <color rgb="FF1F2D3D"/>
      </top>
      <bottom/>
      <diagonal/>
    </border>
    <border>
      <left/>
      <right/>
      <top style="medium">
        <color rgb="FF1F2D3D"/>
      </top>
      <bottom style="medium">
        <color rgb="FF1F2D3D"/>
      </bottom>
      <diagonal/>
    </border>
    <border>
      <left/>
      <right style="medium">
        <color rgb="FF1F2D3D"/>
      </right>
      <top style="medium">
        <color rgb="FF1F2D3D"/>
      </top>
      <bottom style="medium">
        <color rgb="FF1F2D3D"/>
      </bottom>
      <diagonal/>
    </border>
    <border>
      <left/>
      <right/>
      <top style="thin">
        <color rgb="FFBBBBBB"/>
      </top>
      <bottom/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/>
      <top style="medium">
        <color rgb="FF888888"/>
      </top>
      <bottom/>
      <diagonal/>
    </border>
    <border>
      <left/>
      <right/>
      <top style="medium">
        <color rgb="FF888888"/>
      </top>
      <bottom style="medium">
        <color rgb="FF888888"/>
      </bottom>
      <diagonal/>
    </border>
    <border>
      <left/>
      <right/>
      <top style="medium">
        <color rgb="FF555555"/>
      </top>
      <bottom/>
      <diagonal/>
    </border>
    <border>
      <left/>
      <right/>
      <top style="medium">
        <color rgb="FF555555"/>
      </top>
      <bottom style="medium">
        <color rgb="FF555555"/>
      </bottom>
      <diagonal/>
    </border>
    <border>
      <left/>
      <right style="thin">
        <color rgb="FFBBBBBB"/>
      </right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7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5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0" fontId="12" fillId="7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8" borderId="1" applyAlignment="1" pivotButton="0" quotePrefix="0" xfId="0">
      <alignment horizontal="left" vertical="center"/>
    </xf>
    <xf numFmtId="0" fontId="15" fillId="4" borderId="0" applyAlignment="1" pivotButton="0" quotePrefix="0" xfId="0">
      <alignment horizontal="left" vertical="center"/>
    </xf>
    <xf numFmtId="0" fontId="15" fillId="4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center" vertical="center"/>
    </xf>
    <xf numFmtId="0" fontId="12" fillId="7" borderId="2" applyAlignment="1" pivotButton="0" quotePrefix="0" xfId="0">
      <alignment horizontal="center" vertical="center"/>
    </xf>
    <xf numFmtId="0" fontId="18" fillId="9" borderId="0" applyAlignment="1" pivotButton="0" quotePrefix="0" xfId="0">
      <alignment horizontal="left" vertical="center"/>
    </xf>
    <xf numFmtId="0" fontId="19" fillId="7" borderId="2" applyAlignment="1" pivotButton="0" quotePrefix="0" xfId="0">
      <alignment horizontal="center" vertical="center"/>
    </xf>
    <xf numFmtId="0" fontId="15" fillId="4" borderId="0" applyAlignment="1" pivotButton="0" quotePrefix="0" xfId="0">
      <alignment horizontal="center" vertical="center"/>
    </xf>
    <xf numFmtId="0" fontId="18" fillId="6" borderId="2" applyAlignment="1" pivotButton="0" quotePrefix="0" xfId="0">
      <alignment horizontal="center" vertical="center"/>
    </xf>
    <xf numFmtId="0" fontId="18" fillId="6" borderId="3" applyAlignment="1" pivotButton="0" quotePrefix="0" xfId="0">
      <alignment horizontal="left" vertical="center"/>
    </xf>
    <xf numFmtId="0" fontId="16" fillId="10" borderId="2" applyAlignment="1" pivotButton="0" quotePrefix="0" xfId="0">
      <alignment horizontal="center" vertical="center"/>
    </xf>
    <xf numFmtId="0" fontId="16" fillId="6" borderId="3" applyAlignment="1" pivotButton="0" quotePrefix="0" xfId="0">
      <alignment horizontal="left" vertical="center" wrapText="1"/>
    </xf>
    <xf numFmtId="0" fontId="18" fillId="11" borderId="2" applyAlignment="1" pivotButton="0" quotePrefix="0" xfId="0">
      <alignment horizontal="center" vertical="center"/>
    </xf>
    <xf numFmtId="0" fontId="18" fillId="11" borderId="3" applyAlignment="1" pivotButton="0" quotePrefix="0" xfId="0">
      <alignment horizontal="left" vertical="center"/>
    </xf>
    <xf numFmtId="0" fontId="16" fillId="11" borderId="3" applyAlignment="1" pivotButton="0" quotePrefix="0" xfId="0">
      <alignment horizontal="left" vertical="center" wrapText="1"/>
    </xf>
    <xf numFmtId="0" fontId="16" fillId="12" borderId="2" applyAlignment="1" pivotButton="0" quotePrefix="0" xfId="0">
      <alignment horizontal="center" vertical="center"/>
    </xf>
    <xf numFmtId="0" fontId="16" fillId="13" borderId="2" applyAlignment="1" pivotButton="0" quotePrefix="0" xfId="0">
      <alignment horizontal="center" vertical="center"/>
    </xf>
    <xf numFmtId="0" fontId="16" fillId="14" borderId="2" applyAlignment="1" pivotButton="0" quotePrefix="0" xfId="0">
      <alignment horizontal="center" vertical="center"/>
    </xf>
    <xf numFmtId="0" fontId="20" fillId="5" borderId="2" applyAlignment="1" pivotButton="0" quotePrefix="0" xfId="0">
      <alignment horizontal="center" vertical="center"/>
    </xf>
    <xf numFmtId="0" fontId="21" fillId="8" borderId="2" applyAlignment="1" pivotButton="0" quotePrefix="0" xfId="0">
      <alignment horizontal="center" vertical="center"/>
    </xf>
    <xf numFmtId="0" fontId="22" fillId="6" borderId="2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23" fillId="6" borderId="3" applyAlignment="1" pivotButton="0" quotePrefix="0" xfId="0">
      <alignment horizontal="left" vertical="center" wrapText="1"/>
    </xf>
    <xf numFmtId="0" fontId="24" fillId="2" borderId="0" applyAlignment="1" pivotButton="0" quotePrefix="0" xfId="0">
      <alignment horizontal="left" vertical="center"/>
    </xf>
    <xf numFmtId="0" fontId="25" fillId="2" borderId="0" applyAlignment="1" pivotButton="0" quotePrefix="0" xfId="0">
      <alignment horizontal="left" vertical="center"/>
    </xf>
    <xf numFmtId="0" fontId="0" fillId="4" borderId="0" applyAlignment="1" pivotButton="0" quotePrefix="0" xfId="0">
      <alignment horizontal="general" vertical="bottom"/>
    </xf>
    <xf numFmtId="0" fontId="26" fillId="4" borderId="2" applyAlignment="1" pivotButton="0" quotePrefix="0" xfId="0">
      <alignment horizontal="center" vertical="center" wrapText="1"/>
    </xf>
    <xf numFmtId="0" fontId="27" fillId="15" borderId="2" applyAlignment="1" pivotButton="0" quotePrefix="0" xfId="0">
      <alignment horizontal="center" vertical="center" wrapText="1"/>
    </xf>
    <xf numFmtId="0" fontId="27" fillId="16" borderId="2" applyAlignment="1" pivotButton="0" quotePrefix="0" xfId="0">
      <alignment horizontal="center" vertical="center" wrapText="1"/>
    </xf>
    <xf numFmtId="0" fontId="27" fillId="4" borderId="2" applyAlignment="1" pivotButton="0" quotePrefix="0" xfId="0">
      <alignment horizontal="center" vertical="center" wrapText="1"/>
    </xf>
    <xf numFmtId="0" fontId="27" fillId="2" borderId="2" applyAlignment="1" pivotButton="0" quotePrefix="0" xfId="0">
      <alignment horizontal="center" vertical="center" wrapText="1"/>
    </xf>
    <xf numFmtId="0" fontId="15" fillId="2" borderId="0" applyAlignment="1" pivotButton="0" quotePrefix="0" xfId="0">
      <alignment horizontal="left" vertical="center"/>
    </xf>
    <xf numFmtId="0" fontId="0" fillId="6" borderId="0" applyAlignment="1" pivotButton="0" quotePrefix="0" xfId="0">
      <alignment horizontal="general" vertical="bottom"/>
    </xf>
    <xf numFmtId="0" fontId="28" fillId="6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left" vertical="center" wrapText="1"/>
    </xf>
    <xf numFmtId="0" fontId="28" fillId="5" borderId="2" applyAlignment="1" pivotButton="0" quotePrefix="0" xfId="0">
      <alignment horizontal="center" vertical="center"/>
    </xf>
    <xf numFmtId="0" fontId="16" fillId="17" borderId="2" applyAlignment="1" pivotButton="0" quotePrefix="0" xfId="0">
      <alignment horizontal="center" vertical="center"/>
    </xf>
    <xf numFmtId="0" fontId="0" fillId="18" borderId="0" applyAlignment="1" pivotButton="0" quotePrefix="0" xfId="0">
      <alignment horizontal="general" vertical="bottom"/>
    </xf>
    <xf numFmtId="0" fontId="31" fillId="18" borderId="0" applyAlignment="1" pivotButton="0" quotePrefix="0" xfId="0">
      <alignment horizontal="left" vertical="center"/>
    </xf>
    <xf numFmtId="0" fontId="31" fillId="18" borderId="2" applyAlignment="1" pivotButton="0" quotePrefix="0" xfId="0">
      <alignment horizontal="center" vertical="center"/>
    </xf>
    <xf numFmtId="0" fontId="32" fillId="19" borderId="0" applyAlignment="1" pivotButton="0" quotePrefix="0" xfId="0">
      <alignment horizontal="left" vertical="center" wrapText="1"/>
    </xf>
    <xf numFmtId="0" fontId="15" fillId="4" borderId="0" applyAlignment="1" pivotButton="0" quotePrefix="0" xfId="0">
      <alignment horizontal="left" vertical="center"/>
    </xf>
    <xf numFmtId="0" fontId="11" fillId="18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 wrapText="1"/>
    </xf>
    <xf numFmtId="0" fontId="32" fillId="19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34" fillId="8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center" vertical="center"/>
    </xf>
    <xf numFmtId="0" fontId="34" fillId="8" borderId="2" applyAlignment="1" pivotButton="0" quotePrefix="0" xfId="0">
      <alignment horizontal="center" vertical="center"/>
    </xf>
    <xf numFmtId="0" fontId="16" fillId="6" borderId="0" applyAlignment="1" pivotButton="0" quotePrefix="0" xfId="0">
      <alignment horizontal="left" vertical="center"/>
    </xf>
    <xf numFmtId="0" fontId="26" fillId="4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general" vertical="bottom"/>
    </xf>
    <xf numFmtId="0" fontId="37" fillId="19" borderId="0" applyAlignment="1" pivotButton="0" quotePrefix="0" xfId="0">
      <alignment horizontal="left" vertical="center" wrapText="1"/>
    </xf>
    <xf numFmtId="0" fontId="38" fillId="18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11" fillId="11" borderId="0" applyAlignment="1" pivotButton="0" quotePrefix="0" xfId="0">
      <alignment horizontal="left" vertical="center"/>
    </xf>
    <xf numFmtId="0" fontId="16" fillId="11" borderId="0" applyAlignment="1" pivotButton="0" quotePrefix="0" xfId="0">
      <alignment horizontal="left" vertical="center"/>
    </xf>
    <xf numFmtId="9" fontId="16" fillId="17" borderId="2" applyAlignment="1" pivotButton="0" quotePrefix="0" xfId="0">
      <alignment horizontal="center" vertical="center"/>
    </xf>
    <xf numFmtId="0" fontId="39" fillId="17" borderId="2" applyAlignment="1" pivotButton="0" quotePrefix="0" xfId="0">
      <alignment horizontal="center" vertical="center"/>
    </xf>
    <xf numFmtId="0" fontId="26" fillId="4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center" vertical="center"/>
    </xf>
    <xf numFmtId="0" fontId="41" fillId="10" borderId="0" applyAlignment="1" pivotButton="0" quotePrefix="0" xfId="0">
      <alignment horizontal="left" vertical="center"/>
    </xf>
    <xf numFmtId="0" fontId="38" fillId="18" borderId="0" applyAlignment="1" pivotButton="0" quotePrefix="0" xfId="0">
      <alignment horizontal="left" vertical="center"/>
    </xf>
    <xf numFmtId="0" fontId="29" fillId="18" borderId="0" applyAlignment="1" pivotButton="0" quotePrefix="0" xfId="0">
      <alignment horizontal="center" vertical="center"/>
    </xf>
    <xf numFmtId="0" fontId="42" fillId="6" borderId="0" applyAlignment="1" pivotButton="0" quotePrefix="0" xfId="0">
      <alignment horizontal="general" vertical="bottom"/>
    </xf>
    <xf numFmtId="0" fontId="16" fillId="20" borderId="0" applyAlignment="1" pivotButton="0" quotePrefix="0" xfId="0">
      <alignment horizontal="left" vertical="center"/>
    </xf>
    <xf numFmtId="0" fontId="29" fillId="20" borderId="0" applyAlignment="1" pivotButton="0" quotePrefix="0" xfId="0">
      <alignment horizontal="center" vertical="center"/>
    </xf>
    <xf numFmtId="0" fontId="30" fillId="6" borderId="0" applyAlignment="1" pivotButton="0" quotePrefix="0" xfId="0">
      <alignment horizontal="left" vertical="center" wrapText="1"/>
    </xf>
    <xf numFmtId="0" fontId="16" fillId="20" borderId="2" applyAlignment="1" pivotButton="0" quotePrefix="0" xfId="0">
      <alignment horizontal="center" vertical="center"/>
    </xf>
    <xf numFmtId="0" fontId="18" fillId="21" borderId="0" applyAlignment="1" pivotButton="0" quotePrefix="0" xfId="0">
      <alignment horizontal="left" vertical="center"/>
    </xf>
    <xf numFmtId="0" fontId="29" fillId="21" borderId="0" applyAlignment="1" pivotButton="0" quotePrefix="0" xfId="0">
      <alignment horizontal="center" vertical="center"/>
    </xf>
    <xf numFmtId="0" fontId="41" fillId="21" borderId="2" applyAlignment="1" pivotButton="0" quotePrefix="0" xfId="0">
      <alignment horizontal="center" vertical="center"/>
    </xf>
    <xf numFmtId="0" fontId="17" fillId="6" borderId="0" applyAlignment="1" pivotButton="0" quotePrefix="0" xfId="0">
      <alignment horizontal="left" vertical="center"/>
    </xf>
    <xf numFmtId="0" fontId="43" fillId="0" borderId="0" applyAlignment="1" pivotButton="0" quotePrefix="0" xfId="0">
      <alignment horizontal="center" vertical="center"/>
    </xf>
    <xf numFmtId="0" fontId="44" fillId="0" borderId="0" applyAlignment="1" pivotButton="0" quotePrefix="0" xfId="0">
      <alignment horizontal="left" vertical="center" wrapText="1"/>
    </xf>
    <xf numFmtId="0" fontId="45" fillId="22" borderId="2" applyAlignment="1" pivotButton="0" quotePrefix="0" xfId="0">
      <alignment horizontal="center" vertical="center"/>
    </xf>
    <xf numFmtId="0" fontId="46" fillId="17" borderId="2" applyAlignment="1" pivotButton="0" quotePrefix="0" xfId="0">
      <alignment horizontal="center" vertical="center"/>
    </xf>
    <xf numFmtId="0" fontId="18" fillId="17" borderId="0" applyAlignment="1" pivotButton="0" quotePrefix="0" xfId="0">
      <alignment horizontal="left" vertical="center"/>
    </xf>
    <xf numFmtId="0" fontId="29" fillId="17" borderId="0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16" fillId="17" borderId="0" applyAlignment="1" pivotButton="0" quotePrefix="0" xfId="0">
      <alignment horizontal="left" vertical="center"/>
    </xf>
    <xf numFmtId="0" fontId="0" fillId="23" borderId="0" applyAlignment="1" pivotButton="0" quotePrefix="0" xfId="0">
      <alignment horizontal="general" vertical="bottom"/>
    </xf>
    <xf numFmtId="0" fontId="47" fillId="23" borderId="0" applyAlignment="1" pivotButton="0" quotePrefix="0" xfId="0">
      <alignment horizontal="left" vertical="center"/>
    </xf>
    <xf numFmtId="0" fontId="29" fillId="23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left" vertical="center" wrapText="1"/>
    </xf>
    <xf numFmtId="0" fontId="47" fillId="23" borderId="2" applyAlignment="1" pivotButton="0" quotePrefix="0" xfId="0">
      <alignment horizontal="general" vertical="bottom"/>
    </xf>
    <xf numFmtId="0" fontId="30" fillId="18" borderId="0" applyAlignment="1" pivotButton="0" quotePrefix="0" xfId="0">
      <alignment horizontal="left" vertical="center" wrapText="1"/>
    </xf>
    <xf numFmtId="0" fontId="0" fillId="20" borderId="0" applyAlignment="1" pivotButton="0" quotePrefix="0" xfId="0">
      <alignment horizontal="general" vertical="bottom"/>
    </xf>
    <xf numFmtId="0" fontId="30" fillId="20" borderId="0" applyAlignment="1" pivotButton="0" quotePrefix="0" xfId="0">
      <alignment horizontal="left" vertical="center" wrapText="1"/>
    </xf>
    <xf numFmtId="0" fontId="0" fillId="24" borderId="0" applyAlignment="1" pivotButton="0" quotePrefix="0" xfId="0">
      <alignment horizontal="general" vertical="bottom"/>
    </xf>
    <xf numFmtId="0" fontId="18" fillId="24" borderId="0" applyAlignment="1" pivotButton="0" quotePrefix="0" xfId="0">
      <alignment horizontal="left" vertical="center"/>
    </xf>
    <xf numFmtId="0" fontId="29" fillId="24" borderId="0" applyAlignment="1" pivotButton="0" quotePrefix="0" xfId="0">
      <alignment horizontal="center" vertical="center"/>
    </xf>
    <xf numFmtId="0" fontId="30" fillId="24" borderId="0" applyAlignment="1" pivotButton="0" quotePrefix="0" xfId="0">
      <alignment horizontal="left" vertical="center" wrapText="1"/>
    </xf>
    <xf numFmtId="0" fontId="18" fillId="24" borderId="2" applyAlignment="1" pivotButton="0" quotePrefix="0" xfId="0">
      <alignment horizontal="center" vertical="center"/>
    </xf>
    <xf numFmtId="0" fontId="18" fillId="20" borderId="0" applyAlignment="1" pivotButton="0" quotePrefix="0" xfId="0">
      <alignment horizontal="left" vertical="center"/>
    </xf>
    <xf numFmtId="0" fontId="18" fillId="20" borderId="2" applyAlignment="1" pivotButton="0" quotePrefix="0" xfId="0">
      <alignment horizontal="center" vertical="center"/>
    </xf>
    <xf numFmtId="0" fontId="42" fillId="18" borderId="0" applyAlignment="1" pivotButton="0" quotePrefix="0" xfId="0">
      <alignment horizontal="left" vertical="center" wrapText="1"/>
    </xf>
    <xf numFmtId="0" fontId="38" fillId="17" borderId="2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29" fillId="2" borderId="0" applyAlignment="1" pivotButton="0" quotePrefix="0" xfId="0">
      <alignment horizontal="center" vertical="center"/>
    </xf>
    <xf numFmtId="0" fontId="15" fillId="2" borderId="2" applyAlignment="1" pivotButton="0" quotePrefix="0" xfId="0">
      <alignment horizontal="center" vertical="center"/>
    </xf>
    <xf numFmtId="0" fontId="0" fillId="25" borderId="0" applyAlignment="1" pivotButton="0" quotePrefix="0" xfId="0">
      <alignment horizontal="general" vertical="bottom"/>
    </xf>
    <xf numFmtId="0" fontId="16" fillId="25" borderId="0" applyAlignment="1" pivotButton="0" quotePrefix="0" xfId="0">
      <alignment horizontal="left" vertical="center"/>
    </xf>
    <xf numFmtId="0" fontId="29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left" vertical="center" wrapText="1"/>
    </xf>
    <xf numFmtId="0" fontId="16" fillId="25" borderId="2" applyAlignment="1" pivotButton="0" quotePrefix="0" xfId="0">
      <alignment horizontal="center" vertical="center"/>
    </xf>
    <xf numFmtId="0" fontId="18" fillId="25" borderId="0" applyAlignment="1" pivotButton="0" quotePrefix="0" xfId="0">
      <alignment horizontal="left" vertical="center"/>
    </xf>
    <xf numFmtId="0" fontId="18" fillId="25" borderId="2" applyAlignment="1" pivotButton="0" quotePrefix="0" xfId="0">
      <alignment horizontal="center" vertical="center"/>
    </xf>
    <xf numFmtId="0" fontId="40" fillId="18" borderId="2" applyAlignment="1" pivotButton="0" quotePrefix="0" xfId="0">
      <alignment horizontal="center" vertical="center"/>
    </xf>
    <xf numFmtId="0" fontId="0" fillId="2" borderId="0" applyAlignment="1" pivotButton="0" quotePrefix="0" xfId="0">
      <alignment horizontal="general" vertical="bottom"/>
    </xf>
    <xf numFmtId="0" fontId="40" fillId="2" borderId="2" applyAlignment="1" pivotButton="0" quotePrefix="0" xfId="0">
      <alignment horizontal="center" vertical="center"/>
    </xf>
    <xf numFmtId="0" fontId="15" fillId="26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left" vertical="center"/>
    </xf>
    <xf numFmtId="0" fontId="30" fillId="2" borderId="0" applyAlignment="1" pivotButton="0" quotePrefix="0" xfId="0">
      <alignment horizontal="left" vertical="center" wrapText="1"/>
    </xf>
    <xf numFmtId="0" fontId="6" fillId="2" borderId="2" applyAlignment="1" pivotButton="0" quotePrefix="0" xfId="0">
      <alignment horizontal="center" vertical="center"/>
    </xf>
    <xf numFmtId="0" fontId="48" fillId="6" borderId="0" applyAlignment="1" pivotButton="0" quotePrefix="0" xfId="0">
      <alignment horizontal="left" vertical="center"/>
    </xf>
    <xf numFmtId="0" fontId="29" fillId="6" borderId="0" applyAlignment="1" pivotButton="0" quotePrefix="0" xfId="0">
      <alignment horizontal="center" vertical="center"/>
    </xf>
    <xf numFmtId="0" fontId="49" fillId="6" borderId="2" applyAlignment="1" pivotButton="0" quotePrefix="0" xfId="0">
      <alignment horizontal="center" vertical="center"/>
    </xf>
    <xf numFmtId="0" fontId="49" fillId="17" borderId="2" applyAlignment="1" pivotButton="0" quotePrefix="0" xfId="0">
      <alignment horizontal="center" vertical="center"/>
    </xf>
    <xf numFmtId="0" fontId="0" fillId="27" borderId="0" applyAlignment="1" pivotButton="0" quotePrefix="0" xfId="0">
      <alignment horizontal="general" vertical="bottom"/>
    </xf>
    <xf numFmtId="0" fontId="6" fillId="27" borderId="0" applyAlignment="1" pivotButton="0" quotePrefix="0" xfId="0">
      <alignment horizontal="left" vertical="center"/>
    </xf>
    <xf numFmtId="0" fontId="50" fillId="27" borderId="0" applyAlignment="1" pivotButton="0" quotePrefix="0" xfId="0">
      <alignment horizontal="center" vertical="center"/>
    </xf>
    <xf numFmtId="0" fontId="15" fillId="27" borderId="2" applyAlignment="1" pivotButton="0" quotePrefix="0" xfId="0">
      <alignment horizontal="center" vertical="center"/>
    </xf>
    <xf numFmtId="0" fontId="0" fillId="28" borderId="0" applyAlignment="1" pivotButton="0" quotePrefix="0" xfId="0">
      <alignment horizontal="general" vertical="bottom"/>
    </xf>
    <xf numFmtId="0" fontId="6" fillId="28" borderId="0" applyAlignment="1" pivotButton="0" quotePrefix="0" xfId="0">
      <alignment horizontal="left" vertical="center"/>
    </xf>
    <xf numFmtId="0" fontId="50" fillId="28" borderId="0" applyAlignment="1" pivotButton="0" quotePrefix="0" xfId="0">
      <alignment horizontal="center" vertical="center"/>
    </xf>
    <xf numFmtId="0" fontId="15" fillId="28" borderId="2" applyAlignment="1" pivotButton="0" quotePrefix="0" xfId="0">
      <alignment horizontal="center" vertical="center"/>
    </xf>
    <xf numFmtId="0" fontId="0" fillId="5" borderId="0" applyAlignment="1" pivotButton="0" quotePrefix="0" xfId="0">
      <alignment horizontal="general" vertical="bottom"/>
    </xf>
    <xf numFmtId="0" fontId="28" fillId="5" borderId="0" applyAlignment="1" pivotButton="0" quotePrefix="0" xfId="0">
      <alignment horizontal="left" vertical="center"/>
    </xf>
    <xf numFmtId="0" fontId="29" fillId="5" borderId="0" applyAlignment="1" pivotButton="0" quotePrefix="0" xfId="0">
      <alignment horizontal="center" vertical="center"/>
    </xf>
    <xf numFmtId="0" fontId="30" fillId="5" borderId="0" applyAlignment="1" pivotButton="0" quotePrefix="0" xfId="0">
      <alignment horizontal="left" vertical="center" wrapText="1"/>
    </xf>
    <xf numFmtId="0" fontId="28" fillId="17" borderId="2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/>
    </xf>
    <xf numFmtId="0" fontId="50" fillId="4" borderId="0" applyAlignment="1" pivotButton="0" quotePrefix="0" xfId="0">
      <alignment horizontal="center" vertical="center"/>
    </xf>
    <xf numFmtId="0" fontId="26" fillId="15" borderId="0" applyAlignment="1" pivotButton="0" quotePrefix="0" xfId="0">
      <alignment horizontal="center" vertical="center"/>
    </xf>
    <xf numFmtId="0" fontId="38" fillId="21" borderId="2" applyAlignment="1" pivotButton="0" quotePrefix="0" xfId="0">
      <alignment horizontal="center" vertical="center"/>
    </xf>
    <xf numFmtId="0" fontId="0" fillId="17" borderId="0" applyAlignment="1" pivotButton="0" quotePrefix="0" xfId="0">
      <alignment horizontal="general" vertical="bottom"/>
    </xf>
    <xf numFmtId="0" fontId="31" fillId="17" borderId="2" applyAlignment="1" pivotButton="0" quotePrefix="0" xfId="0">
      <alignment horizontal="center" vertical="center"/>
    </xf>
    <xf numFmtId="0" fontId="15" fillId="27" borderId="0" applyAlignment="1" pivotButton="0" quotePrefix="0" xfId="0">
      <alignment horizontal="left" vertical="center"/>
    </xf>
    <xf numFmtId="0" fontId="51" fillId="27" borderId="0" applyAlignment="1" pivotButton="0" quotePrefix="0" xfId="0">
      <alignment horizontal="center" vertical="center"/>
    </xf>
    <xf numFmtId="0" fontId="52" fillId="0" borderId="0" applyAlignment="1" pivotButton="0" quotePrefix="0" xfId="0">
      <alignment horizontal="center" vertical="center"/>
    </xf>
    <xf numFmtId="0" fontId="15" fillId="28" borderId="0" applyAlignment="1" pivotButton="0" quotePrefix="0" xfId="0">
      <alignment horizontal="left" vertical="center"/>
    </xf>
    <xf numFmtId="0" fontId="51" fillId="28" borderId="0" applyAlignment="1" pivotButton="0" quotePrefix="0" xfId="0">
      <alignment horizontal="center" vertical="center"/>
    </xf>
    <xf numFmtId="0" fontId="51" fillId="4" borderId="0" applyAlignment="1" pivotButton="0" quotePrefix="0" xfId="0">
      <alignment horizontal="center" vertical="center"/>
    </xf>
    <xf numFmtId="0" fontId="26" fillId="2" borderId="3" applyAlignment="1" pivotButton="0" quotePrefix="0" xfId="0">
      <alignment horizontal="center" vertical="center"/>
    </xf>
    <xf numFmtId="0" fontId="53" fillId="2" borderId="2" applyAlignment="1" pivotButton="0" quotePrefix="0" xfId="0">
      <alignment horizontal="center" vertical="center"/>
    </xf>
    <xf numFmtId="3" fontId="54" fillId="18" borderId="4" applyAlignment="1" pivotButton="0" quotePrefix="0" xfId="0">
      <alignment horizontal="center" vertical="center"/>
    </xf>
    <xf numFmtId="0" fontId="55" fillId="6" borderId="3" applyAlignment="1" pivotButton="0" quotePrefix="0" xfId="0">
      <alignment horizontal="center" vertical="center"/>
    </xf>
    <xf numFmtId="164" fontId="54" fillId="23" borderId="4" applyAlignment="1" pivotButton="0" quotePrefix="0" xfId="0">
      <alignment horizontal="center" vertical="center"/>
    </xf>
    <xf numFmtId="165" fontId="54" fillId="18" borderId="4" applyAlignment="1" pivotButton="0" quotePrefix="0" xfId="0">
      <alignment horizontal="center" vertical="center"/>
    </xf>
    <xf numFmtId="164" fontId="54" fillId="18" borderId="4" applyAlignment="1" pivotButton="0" quotePrefix="0" xfId="0">
      <alignment horizontal="center" vertical="center"/>
    </xf>
    <xf numFmtId="0" fontId="27" fillId="27" borderId="2" applyAlignment="1" pivotButton="0" quotePrefix="0" xfId="0">
      <alignment horizontal="center" vertical="center" wrapText="1"/>
    </xf>
    <xf numFmtId="0" fontId="27" fillId="28" borderId="2" applyAlignment="1" pivotButton="0" quotePrefix="0" xfId="0">
      <alignment horizontal="center" vertical="center" wrapText="1"/>
    </xf>
    <xf numFmtId="0" fontId="27" fillId="29" borderId="2" applyAlignment="1" pivotButton="0" quotePrefix="0" xfId="0">
      <alignment horizontal="center" vertical="center" wrapText="1"/>
    </xf>
    <xf numFmtId="0" fontId="27" fillId="30" borderId="2" applyAlignment="1" pivotButton="0" quotePrefix="0" xfId="0">
      <alignment horizontal="center" vertical="center" wrapText="1"/>
    </xf>
    <xf numFmtId="0" fontId="27" fillId="31" borderId="2" applyAlignment="1" pivotButton="0" quotePrefix="0" xfId="0">
      <alignment horizontal="center" vertical="center" wrapText="1"/>
    </xf>
    <xf numFmtId="0" fontId="18" fillId="17" borderId="2" applyAlignment="1" pivotButton="0" quotePrefix="0" xfId="0">
      <alignment horizontal="left" vertical="center"/>
    </xf>
    <xf numFmtId="0" fontId="29" fillId="6" borderId="2" applyAlignment="1" pivotButton="0" quotePrefix="0" xfId="0">
      <alignment horizontal="center" vertical="center"/>
    </xf>
    <xf numFmtId="0" fontId="56" fillId="6" borderId="0" applyAlignment="1" pivotButton="0" quotePrefix="0" xfId="0">
      <alignment horizontal="left" vertical="center"/>
    </xf>
    <xf numFmtId="3" fontId="15" fillId="4" borderId="2" applyAlignment="1" pivotButton="0" quotePrefix="0" xfId="0">
      <alignment horizontal="center" vertical="center"/>
    </xf>
    <xf numFmtId="3" fontId="15" fillId="27" borderId="2" applyAlignment="1" pivotButton="0" quotePrefix="0" xfId="0">
      <alignment horizontal="center" vertical="center"/>
    </xf>
    <xf numFmtId="3" fontId="15" fillId="28" borderId="2" applyAlignment="1" pivotButton="0" quotePrefix="0" xfId="0">
      <alignment horizontal="center" vertical="center"/>
    </xf>
    <xf numFmtId="3" fontId="15" fillId="29" borderId="2" applyAlignment="1" pivotButton="0" quotePrefix="0" xfId="0">
      <alignment horizontal="center" vertical="center"/>
    </xf>
    <xf numFmtId="166" fontId="57" fillId="30" borderId="2" applyAlignment="1" pivotButton="0" quotePrefix="0" xfId="0">
      <alignment horizontal="center" vertical="center"/>
    </xf>
    <xf numFmtId="166" fontId="57" fillId="31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left" vertical="center"/>
    </xf>
    <xf numFmtId="3" fontId="57" fillId="4" borderId="2" applyAlignment="1" pivotButton="0" quotePrefix="0" xfId="0">
      <alignment horizontal="center" vertical="center"/>
    </xf>
    <xf numFmtId="3" fontId="57" fillId="27" borderId="2" applyAlignment="1" pivotButton="0" quotePrefix="0" xfId="0">
      <alignment horizontal="center" vertical="center"/>
    </xf>
    <xf numFmtId="3" fontId="57" fillId="28" borderId="2" applyAlignment="1" pivotButton="0" quotePrefix="0" xfId="0">
      <alignment horizontal="center" vertical="center"/>
    </xf>
    <xf numFmtId="3" fontId="57" fillId="29" borderId="2" applyAlignment="1" pivotButton="0" quotePrefix="0" xfId="0">
      <alignment horizontal="center" vertical="center"/>
    </xf>
    <xf numFmtId="164" fontId="57" fillId="4" borderId="2" applyAlignment="1" pivotButton="0" quotePrefix="0" xfId="0">
      <alignment horizontal="center" vertical="center"/>
    </xf>
    <xf numFmtId="164" fontId="57" fillId="27" borderId="2" applyAlignment="1" pivotButton="0" quotePrefix="0" xfId="0">
      <alignment horizontal="center" vertical="center"/>
    </xf>
    <xf numFmtId="164" fontId="57" fillId="28" borderId="2" applyAlignment="1" pivotButton="0" quotePrefix="0" xfId="0">
      <alignment horizontal="center" vertical="center"/>
    </xf>
    <xf numFmtId="164" fontId="57" fillId="29" borderId="2" applyAlignment="1" pivotButton="0" quotePrefix="0" xfId="0">
      <alignment horizontal="center" vertical="center"/>
    </xf>
    <xf numFmtId="167" fontId="57" fillId="30" borderId="2" applyAlignment="1" pivotButton="0" quotePrefix="0" xfId="0">
      <alignment horizontal="center" vertical="center"/>
    </xf>
    <xf numFmtId="167" fontId="57" fillId="31" borderId="2" applyAlignment="1" pivotButton="0" quotePrefix="0" xfId="0">
      <alignment horizontal="center" vertical="center"/>
    </xf>
    <xf numFmtId="165" fontId="57" fillId="4" borderId="2" applyAlignment="1" pivotButton="0" quotePrefix="0" xfId="0">
      <alignment horizontal="center" vertical="center"/>
    </xf>
    <xf numFmtId="165" fontId="57" fillId="27" borderId="2" applyAlignment="1" pivotButton="0" quotePrefix="0" xfId="0">
      <alignment horizontal="center" vertical="center"/>
    </xf>
    <xf numFmtId="165" fontId="57" fillId="28" borderId="2" applyAlignment="1" pivotButton="0" quotePrefix="0" xfId="0">
      <alignment horizontal="center" vertical="center"/>
    </xf>
    <xf numFmtId="165" fontId="57" fillId="29" borderId="2" applyAlignment="1" pivotButton="0" quotePrefix="0" xfId="0">
      <alignment horizontal="center" vertical="center"/>
    </xf>
    <xf numFmtId="0" fontId="26" fillId="2" borderId="2" applyAlignment="1" pivotButton="0" quotePrefix="0" xfId="0">
      <alignment horizontal="center" vertical="center"/>
    </xf>
    <xf numFmtId="0" fontId="26" fillId="27" borderId="2" applyAlignment="1" pivotButton="0" quotePrefix="0" xfId="0">
      <alignment horizontal="center" vertical="center"/>
    </xf>
    <xf numFmtId="0" fontId="26" fillId="4" borderId="2" applyAlignment="1" pivotButton="0" quotePrefix="0" xfId="0">
      <alignment horizontal="center" vertical="center"/>
    </xf>
    <xf numFmtId="0" fontId="29" fillId="17" borderId="2" applyAlignment="1" pivotButton="0" quotePrefix="0" xfId="0">
      <alignment horizontal="center" vertical="center"/>
    </xf>
    <xf numFmtId="0" fontId="35" fillId="17" borderId="0" applyAlignment="1" pivotButton="0" quotePrefix="0" xfId="0">
      <alignment horizontal="left" vertical="center"/>
    </xf>
    <xf numFmtId="166" fontId="57" fillId="4" borderId="2" applyAlignment="1" pivotButton="0" quotePrefix="0" xfId="0">
      <alignment horizontal="center" vertical="center"/>
    </xf>
    <xf numFmtId="0" fontId="35" fillId="6" borderId="0" applyAlignment="1" pivotButton="0" quotePrefix="0" xfId="0">
      <alignment horizontal="left" vertical="center"/>
    </xf>
    <xf numFmtId="0" fontId="26" fillId="2" borderId="0" applyAlignment="1" pivotButton="0" quotePrefix="0" xfId="0">
      <alignment horizontal="center" vertical="center"/>
    </xf>
    <xf numFmtId="0" fontId="57" fillId="2" borderId="2" applyAlignment="1" pivotButton="0" quotePrefix="0" xfId="0">
      <alignment horizontal="center" vertical="center"/>
    </xf>
    <xf numFmtId="0" fontId="35" fillId="6" borderId="0" applyAlignment="1" pivotButton="0" quotePrefix="0" xfId="0">
      <alignment horizontal="center" vertical="center"/>
    </xf>
    <xf numFmtId="3" fontId="30" fillId="32" borderId="2" applyAlignment="1" pivotButton="0" quotePrefix="0" xfId="0">
      <alignment horizontal="left" vertical="center" wrapText="1"/>
    </xf>
    <xf numFmtId="3" fontId="58" fillId="32" borderId="2" applyAlignment="1" pivotButton="0" quotePrefix="0" xfId="0">
      <alignment horizontal="center" vertical="center"/>
    </xf>
    <xf numFmtId="3" fontId="58" fillId="23" borderId="2" applyAlignment="1" pivotButton="0" quotePrefix="0" xfId="0">
      <alignment horizontal="center" vertical="center"/>
    </xf>
    <xf numFmtId="3" fontId="30" fillId="23" borderId="2" applyAlignment="1" pivotButton="0" quotePrefix="0" xfId="0">
      <alignment horizontal="left" vertical="center" wrapText="1"/>
    </xf>
    <xf numFmtId="3" fontId="58" fillId="18" borderId="2" applyAlignment="1" pivotButton="0" quotePrefix="0" xfId="0">
      <alignment horizontal="center" vertical="center"/>
    </xf>
    <xf numFmtId="164" fontId="59" fillId="27" borderId="2" applyAlignment="1" pivotButton="0" quotePrefix="0" xfId="0">
      <alignment horizontal="center" vertical="center"/>
    </xf>
    <xf numFmtId="164" fontId="59" fillId="28" borderId="2" applyAlignment="1" pivotButton="0" quotePrefix="0" xfId="0">
      <alignment horizontal="center" vertical="center"/>
    </xf>
    <xf numFmtId="164" fontId="59" fillId="29" borderId="2" applyAlignment="1" pivotButton="0" quotePrefix="0" xfId="0">
      <alignment horizontal="center" vertical="center"/>
    </xf>
    <xf numFmtId="3" fontId="60" fillId="18" borderId="5" applyAlignment="1" pivotButton="0" quotePrefix="0" xfId="0">
      <alignment horizontal="center" vertical="center"/>
    </xf>
    <xf numFmtId="164" fontId="60" fillId="18" borderId="5" applyAlignment="1" pivotButton="0" quotePrefix="0" xfId="0">
      <alignment horizontal="center" vertical="center"/>
    </xf>
    <xf numFmtId="0" fontId="60" fillId="18" borderId="5" applyAlignment="1" pivotButton="0" quotePrefix="0" xfId="0">
      <alignment horizontal="center" vertical="center"/>
    </xf>
    <xf numFmtId="0" fontId="61" fillId="2" borderId="0" applyAlignment="1" pivotButton="0" quotePrefix="0" xfId="0">
      <alignment horizontal="left" vertical="center"/>
    </xf>
    <xf numFmtId="0" fontId="62" fillId="2" borderId="0" applyAlignment="1" pivotButton="0" quotePrefix="0" xfId="0">
      <alignment horizontal="left" vertical="center"/>
    </xf>
    <xf numFmtId="0" fontId="62" fillId="2" borderId="0" applyAlignment="1" pivotButton="0" quotePrefix="0" xfId="0">
      <alignment horizontal="right" vertical="center"/>
    </xf>
    <xf numFmtId="0" fontId="63" fillId="27" borderId="3" applyAlignment="1" pivotButton="0" quotePrefix="0" xfId="0">
      <alignment horizontal="left" vertical="center"/>
    </xf>
    <xf numFmtId="168" fontId="4" fillId="2" borderId="6" applyAlignment="1" pivotButton="0" quotePrefix="0" xfId="0">
      <alignment horizontal="center" vertical="center"/>
    </xf>
    <xf numFmtId="0" fontId="64" fillId="33" borderId="0" applyAlignment="1" pivotButton="0" quotePrefix="0" xfId="0">
      <alignment horizontal="left" vertical="center"/>
    </xf>
    <xf numFmtId="169" fontId="65" fillId="30" borderId="3" applyAlignment="1" pivotButton="0" quotePrefix="0" xfId="0">
      <alignment horizontal="center" vertical="center"/>
    </xf>
    <xf numFmtId="164" fontId="4" fillId="2" borderId="6" applyAlignment="1" pivotButton="0" quotePrefix="0" xfId="0">
      <alignment horizontal="center" vertical="center"/>
    </xf>
    <xf numFmtId="165" fontId="4" fillId="2" borderId="6" applyAlignment="1" pivotButton="0" quotePrefix="0" xfId="0">
      <alignment horizontal="center" vertical="center"/>
    </xf>
    <xf numFmtId="0" fontId="26" fillId="2" borderId="2" applyAlignment="1" pivotButton="0" quotePrefix="0" xfId="0">
      <alignment horizontal="center" vertical="center" wrapText="1"/>
    </xf>
    <xf numFmtId="0" fontId="26" fillId="15" borderId="2" applyAlignment="1" pivotButton="0" quotePrefix="0" xfId="0">
      <alignment horizontal="center" vertical="center" wrapText="1"/>
    </xf>
    <xf numFmtId="0" fontId="39" fillId="6" borderId="2" applyAlignment="1" pivotButton="0" quotePrefix="0" xfId="0">
      <alignment horizontal="center" vertical="center"/>
    </xf>
    <xf numFmtId="3" fontId="16" fillId="6" borderId="2" applyAlignment="1" pivotButton="0" quotePrefix="0" xfId="0">
      <alignment horizontal="center" vertical="center"/>
    </xf>
    <xf numFmtId="164" fontId="16" fillId="6" borderId="2" applyAlignment="1" pivotButton="0" quotePrefix="0" xfId="0">
      <alignment horizontal="center" vertical="center"/>
    </xf>
    <xf numFmtId="3" fontId="18" fillId="17" borderId="2" applyAlignment="1" pivotButton="0" quotePrefix="0" xfId="0">
      <alignment horizontal="center" vertical="center"/>
    </xf>
    <xf numFmtId="164" fontId="18" fillId="17" borderId="2" applyAlignment="1" pivotButton="0" quotePrefix="0" xfId="0">
      <alignment horizontal="center" vertical="center"/>
    </xf>
    <xf numFmtId="0" fontId="36" fillId="6" borderId="2" applyAlignment="1" pivotButton="0" quotePrefix="0" xfId="0">
      <alignment horizontal="center" vertical="center"/>
    </xf>
    <xf numFmtId="167" fontId="0" fillId="6" borderId="2" applyAlignment="1" pivotButton="0" quotePrefix="0" xfId="0">
      <alignment horizontal="center" vertical="center"/>
    </xf>
    <xf numFmtId="0" fontId="26" fillId="27" borderId="2" applyAlignment="1" pivotButton="0" quotePrefix="0" xfId="0">
      <alignment horizontal="center" vertical="center" wrapText="1"/>
    </xf>
    <xf numFmtId="0" fontId="26" fillId="28" borderId="2" applyAlignment="1" pivotButton="0" quotePrefix="0" xfId="0">
      <alignment horizontal="center" vertical="center" wrapText="1"/>
    </xf>
    <xf numFmtId="0" fontId="26" fillId="29" borderId="2" applyAlignment="1" pivotButton="0" quotePrefix="0" xfId="0">
      <alignment horizontal="center" vertical="center" wrapText="1"/>
    </xf>
    <xf numFmtId="0" fontId="26" fillId="30" borderId="2" applyAlignment="1" pivotButton="0" quotePrefix="0" xfId="0">
      <alignment horizontal="center" vertical="center" wrapText="1"/>
    </xf>
    <xf numFmtId="0" fontId="26" fillId="34" borderId="2" applyAlignment="1" pivotButton="0" quotePrefix="0" xfId="0">
      <alignment horizontal="center" vertical="center" wrapText="1"/>
    </xf>
    <xf numFmtId="166" fontId="57" fillId="34" borderId="2" applyAlignment="1" pivotButton="0" quotePrefix="0" xfId="0">
      <alignment horizontal="center" vertical="center"/>
    </xf>
    <xf numFmtId="167" fontId="57" fillId="34" borderId="2" applyAlignment="1" pivotButton="0" quotePrefix="0" xfId="0">
      <alignment horizontal="center" vertical="center"/>
    </xf>
    <xf numFmtId="165" fontId="18" fillId="17" borderId="2" applyAlignment="1" pivotButton="0" quotePrefix="0" xfId="0">
      <alignment horizontal="center" vertical="center"/>
    </xf>
    <xf numFmtId="166" fontId="16" fillId="17" borderId="2" applyAlignment="1" pivotButton="0" quotePrefix="0" xfId="0">
      <alignment horizontal="center" vertical="center"/>
    </xf>
    <xf numFmtId="167" fontId="16" fillId="17" borderId="2" applyAlignment="1" pivotButton="0" quotePrefix="0" xfId="0">
      <alignment horizontal="center" vertical="center"/>
    </xf>
    <xf numFmtId="0" fontId="66" fillId="6" borderId="2" applyAlignment="1" pivotButton="0" quotePrefix="0" xfId="0">
      <alignment horizontal="left" vertical="center"/>
    </xf>
    <xf numFmtId="0" fontId="67" fillId="6" borderId="0" applyAlignment="1" pivotButton="0" quotePrefix="0" xfId="0">
      <alignment horizontal="left" vertical="center" wrapText="1"/>
    </xf>
    <xf numFmtId="0" fontId="66" fillId="11" borderId="2" applyAlignment="1" pivotButton="0" quotePrefix="0" xfId="0">
      <alignment horizontal="left" vertical="center"/>
    </xf>
    <xf numFmtId="0" fontId="67" fillId="11" borderId="0" applyAlignment="1" pivotButton="0" quotePrefix="0" xfId="0">
      <alignment horizontal="left" vertical="center" wrapText="1"/>
    </xf>
    <xf numFmtId="0" fontId="34" fillId="8" borderId="2" applyAlignment="1" pivotButton="0" quotePrefix="0" xfId="0">
      <alignment horizontal="left" vertical="center"/>
    </xf>
    <xf numFmtId="0" fontId="35" fillId="8" borderId="0" applyAlignment="1" pivotButton="0" quotePrefix="0" xfId="0">
      <alignment horizontal="left" vertical="center"/>
    </xf>
    <xf numFmtId="0" fontId="61" fillId="28" borderId="6" applyAlignment="1" pivotButton="0" quotePrefix="0" xfId="0">
      <alignment horizontal="center" vertical="center" wrapText="1"/>
    </xf>
    <xf numFmtId="0" fontId="68" fillId="27" borderId="0" applyAlignment="1" pivotButton="0" quotePrefix="0" xfId="0">
      <alignment horizontal="center" vertical="center"/>
    </xf>
    <xf numFmtId="0" fontId="68" fillId="28" borderId="0" applyAlignment="1" pivotButton="0" quotePrefix="0" xfId="0">
      <alignment horizontal="center" vertical="center"/>
    </xf>
    <xf numFmtId="0" fontId="68" fillId="29" borderId="0" applyAlignment="1" pivotButton="0" quotePrefix="0" xfId="0">
      <alignment horizontal="center" vertical="center"/>
    </xf>
    <xf numFmtId="0" fontId="68" fillId="35" borderId="0" applyAlignment="1" pivotButton="0" quotePrefix="0" xfId="0">
      <alignment horizontal="center" vertical="center"/>
    </xf>
    <xf numFmtId="0" fontId="68" fillId="2" borderId="0" applyAlignment="1" pivotButton="0" quotePrefix="0" xfId="0">
      <alignment horizontal="center" vertical="center"/>
    </xf>
    <xf numFmtId="0" fontId="69" fillId="27" borderId="3" applyAlignment="1" pivotButton="0" quotePrefix="0" xfId="0">
      <alignment horizontal="center" vertical="center"/>
    </xf>
    <xf numFmtId="0" fontId="69" fillId="27" borderId="2" applyAlignment="1" pivotButton="0" quotePrefix="0" xfId="0">
      <alignment horizontal="center" vertical="center"/>
    </xf>
    <xf numFmtId="0" fontId="69" fillId="28" borderId="2" applyAlignment="1" pivotButton="0" quotePrefix="0" xfId="0">
      <alignment horizontal="center" vertical="center"/>
    </xf>
    <xf numFmtId="0" fontId="69" fillId="29" borderId="2" applyAlignment="1" pivotButton="0" quotePrefix="0" xfId="0">
      <alignment horizontal="center" vertical="center"/>
    </xf>
    <xf numFmtId="0" fontId="69" fillId="35" borderId="2" applyAlignment="1" pivotButton="0" quotePrefix="0" xfId="0">
      <alignment horizontal="center" vertical="center"/>
    </xf>
    <xf numFmtId="0" fontId="39" fillId="6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center" vertical="center"/>
    </xf>
    <xf numFmtId="0" fontId="18" fillId="6" borderId="2" applyAlignment="1" pivotButton="0" quotePrefix="0" xfId="0">
      <alignment horizontal="left" vertical="center"/>
    </xf>
    <xf numFmtId="0" fontId="16" fillId="6" borderId="2" applyAlignment="1" pivotButton="0" quotePrefix="0" xfId="0">
      <alignment horizontal="center" vertical="center"/>
    </xf>
    <xf numFmtId="0" fontId="32" fillId="6" borderId="2" applyAlignment="1" pivotButton="0" quotePrefix="0" xfId="0">
      <alignment horizontal="left" vertical="center" wrapText="1"/>
    </xf>
    <xf numFmtId="0" fontId="70" fillId="6" borderId="2" applyAlignment="1" pivotButton="0" quotePrefix="0" xfId="0">
      <alignment horizontal="center" vertical="center"/>
    </xf>
    <xf numFmtId="0" fontId="18" fillId="0" borderId="2" applyAlignment="1" pivotButton="0" quotePrefix="0" xfId="0">
      <alignment horizontal="center" vertical="center"/>
    </xf>
    <xf numFmtId="0" fontId="71" fillId="6" borderId="2" applyAlignment="1" pivotButton="0" quotePrefix="0" xfId="0">
      <alignment horizontal="center" vertical="center"/>
    </xf>
    <xf numFmtId="0" fontId="30" fillId="6" borderId="2" applyAlignment="1" pivotButton="0" quotePrefix="0" xfId="0">
      <alignment horizontal="left" vertical="center"/>
    </xf>
    <xf numFmtId="0" fontId="47" fillId="23" borderId="2" applyAlignment="1" pivotButton="0" quotePrefix="0" xfId="0">
      <alignment horizontal="left" vertical="center"/>
    </xf>
    <xf numFmtId="0" fontId="70" fillId="23" borderId="2" applyAlignment="1" pivotButton="0" quotePrefix="0" xfId="0">
      <alignment horizontal="center" vertical="center"/>
    </xf>
    <xf numFmtId="0" fontId="47" fillId="23" borderId="2" applyAlignment="1" pivotButton="0" quotePrefix="0" xfId="0">
      <alignment horizontal="center" vertical="center"/>
    </xf>
    <xf numFmtId="0" fontId="39" fillId="23" borderId="2" applyAlignment="1" pivotButton="0" quotePrefix="0" xfId="0">
      <alignment horizontal="center" vertical="center"/>
    </xf>
    <xf numFmtId="0" fontId="70" fillId="23" borderId="2" applyAlignment="1" pivotButton="0" quotePrefix="0" xfId="0">
      <alignment horizontal="left" vertical="center"/>
    </xf>
    <xf numFmtId="0" fontId="16" fillId="6" borderId="3" applyAlignment="1" pivotButton="0" quotePrefix="0" xfId="0">
      <alignment horizontal="left" vertical="center"/>
    </xf>
    <xf numFmtId="0" fontId="13" fillId="18" borderId="2" applyAlignment="1" pivotButton="0" quotePrefix="0" xfId="0">
      <alignment horizontal="center" vertical="center"/>
    </xf>
    <xf numFmtId="0" fontId="30" fillId="6" borderId="0" applyAlignment="1" pivotButton="0" quotePrefix="0" xfId="0">
      <alignment horizontal="left" vertical="center" wrapText="1"/>
    </xf>
    <xf numFmtId="168" fontId="16" fillId="18" borderId="3" applyAlignment="1" pivotButton="0" quotePrefix="0" xfId="0">
      <alignment horizontal="center" vertical="center"/>
    </xf>
    <xf numFmtId="0" fontId="16" fillId="18" borderId="3" applyAlignment="1" pivotButton="0" quotePrefix="0" xfId="0">
      <alignment horizontal="center" vertical="center"/>
    </xf>
    <xf numFmtId="164" fontId="16" fillId="18" borderId="3" applyAlignment="1" pivotButton="0" quotePrefix="0" xfId="0">
      <alignment horizontal="center" vertical="center"/>
    </xf>
    <xf numFmtId="165" fontId="16" fillId="18" borderId="3" applyAlignment="1" pivotButton="0" quotePrefix="0" xfId="0">
      <alignment horizontal="center" vertical="center"/>
    </xf>
    <xf numFmtId="3" fontId="16" fillId="18" borderId="3" applyAlignment="1" pivotButton="0" quotePrefix="0" xfId="0">
      <alignment horizontal="center" vertical="center"/>
    </xf>
    <xf numFmtId="0" fontId="4" fillId="28" borderId="6" applyAlignment="1" pivotButton="0" quotePrefix="0" xfId="0">
      <alignment horizontal="center" vertical="center" wrapText="1"/>
    </xf>
    <xf numFmtId="0" fontId="41" fillId="6" borderId="2" applyAlignment="1" pivotButton="0" quotePrefix="0" xfId="0">
      <alignment horizontal="left" vertical="center"/>
    </xf>
    <xf numFmtId="0" fontId="28" fillId="5" borderId="3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5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0" fontId="12" fillId="7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8" borderId="1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10" pivotButton="0" quotePrefix="0" xfId="0"/>
    <xf numFmtId="0" fontId="15" fillId="4" borderId="0" applyAlignment="1" pivotButton="0" quotePrefix="0" xfId="0">
      <alignment horizontal="left" vertical="center"/>
    </xf>
    <xf numFmtId="0" fontId="15" fillId="4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center" vertical="center"/>
    </xf>
    <xf numFmtId="0" fontId="12" fillId="7" borderId="2" applyAlignment="1" pivotButton="0" quotePrefix="0" xfId="0">
      <alignment horizontal="center" vertical="center"/>
    </xf>
    <xf numFmtId="0" fontId="18" fillId="9" borderId="0" applyAlignment="1" pivotButton="0" quotePrefix="0" xfId="0">
      <alignment horizontal="left" vertical="center"/>
    </xf>
    <xf numFmtId="0" fontId="19" fillId="7" borderId="2" applyAlignment="1" pivotButton="0" quotePrefix="0" xfId="0">
      <alignment horizontal="center" vertical="center"/>
    </xf>
    <xf numFmtId="0" fontId="18" fillId="6" borderId="2" applyAlignment="1" pivotButton="0" quotePrefix="0" xfId="0">
      <alignment horizontal="center" vertical="center"/>
    </xf>
    <xf numFmtId="0" fontId="18" fillId="6" borderId="3" applyAlignment="1" pivotButton="0" quotePrefix="0" xfId="0">
      <alignment horizontal="left" vertical="center"/>
    </xf>
    <xf numFmtId="0" fontId="0" fillId="0" borderId="12" pivotButton="0" quotePrefix="0" xfId="0"/>
    <xf numFmtId="0" fontId="16" fillId="10" borderId="2" applyAlignment="1" pivotButton="0" quotePrefix="0" xfId="0">
      <alignment horizontal="center" vertical="center"/>
    </xf>
    <xf numFmtId="0" fontId="16" fillId="6" borderId="3" applyAlignment="1" pivotButton="0" quotePrefix="0" xfId="0">
      <alignment horizontal="left" vertical="center" wrapText="1"/>
    </xf>
    <xf numFmtId="0" fontId="18" fillId="11" borderId="2" applyAlignment="1" pivotButton="0" quotePrefix="0" xfId="0">
      <alignment horizontal="center" vertical="center"/>
    </xf>
    <xf numFmtId="0" fontId="18" fillId="11" borderId="3" applyAlignment="1" pivotButton="0" quotePrefix="0" xfId="0">
      <alignment horizontal="left" vertical="center"/>
    </xf>
    <xf numFmtId="0" fontId="16" fillId="11" borderId="3" applyAlignment="1" pivotButton="0" quotePrefix="0" xfId="0">
      <alignment horizontal="left" vertical="center" wrapText="1"/>
    </xf>
    <xf numFmtId="0" fontId="16" fillId="12" borderId="2" applyAlignment="1" pivotButton="0" quotePrefix="0" xfId="0">
      <alignment horizontal="center" vertical="center"/>
    </xf>
    <xf numFmtId="0" fontId="16" fillId="13" borderId="2" applyAlignment="1" pivotButton="0" quotePrefix="0" xfId="0">
      <alignment horizontal="center" vertical="center"/>
    </xf>
    <xf numFmtId="0" fontId="16" fillId="14" borderId="2" applyAlignment="1" pivotButton="0" quotePrefix="0" xfId="0">
      <alignment horizontal="center" vertical="center"/>
    </xf>
    <xf numFmtId="0" fontId="20" fillId="5" borderId="2" applyAlignment="1" pivotButton="0" quotePrefix="0" xfId="0">
      <alignment horizontal="center" vertical="center"/>
    </xf>
    <xf numFmtId="0" fontId="21" fillId="8" borderId="2" applyAlignment="1" pivotButton="0" quotePrefix="0" xfId="0">
      <alignment horizontal="center" vertical="center"/>
    </xf>
    <xf numFmtId="0" fontId="22" fillId="6" borderId="2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23" fillId="6" borderId="3" applyAlignment="1" pivotButton="0" quotePrefix="0" xfId="0">
      <alignment horizontal="left" vertical="center" wrapText="1"/>
    </xf>
    <xf numFmtId="0" fontId="24" fillId="2" borderId="0" applyAlignment="1" pivotButton="0" quotePrefix="0" xfId="0">
      <alignment horizontal="left" vertical="center"/>
    </xf>
    <xf numFmtId="0" fontId="25" fillId="2" borderId="0" applyAlignment="1" pivotButton="0" quotePrefix="0" xfId="0">
      <alignment horizontal="left" vertical="center"/>
    </xf>
    <xf numFmtId="0" fontId="0" fillId="4" borderId="0" applyAlignment="1" pivotButton="0" quotePrefix="0" xfId="0">
      <alignment horizontal="general" vertical="bottom"/>
    </xf>
    <xf numFmtId="0" fontId="26" fillId="4" borderId="2" applyAlignment="1" pivotButton="0" quotePrefix="0" xfId="0">
      <alignment horizontal="center" vertical="center" wrapText="1"/>
    </xf>
    <xf numFmtId="0" fontId="27" fillId="15" borderId="2" applyAlignment="1" pivotButton="0" quotePrefix="0" xfId="0">
      <alignment horizontal="center" vertical="center" wrapText="1"/>
    </xf>
    <xf numFmtId="0" fontId="27" fillId="16" borderId="2" applyAlignment="1" pivotButton="0" quotePrefix="0" xfId="0">
      <alignment horizontal="center" vertical="center" wrapText="1"/>
    </xf>
    <xf numFmtId="0" fontId="27" fillId="4" borderId="2" applyAlignment="1" pivotButton="0" quotePrefix="0" xfId="0">
      <alignment horizontal="center" vertical="center" wrapText="1"/>
    </xf>
    <xf numFmtId="0" fontId="27" fillId="2" borderId="2" applyAlignment="1" pivotButton="0" quotePrefix="0" xfId="0">
      <alignment horizontal="center" vertical="center" wrapText="1"/>
    </xf>
    <xf numFmtId="0" fontId="15" fillId="2" borderId="0" applyAlignment="1" pivotButton="0" quotePrefix="0" xfId="0">
      <alignment horizontal="left" vertical="center"/>
    </xf>
    <xf numFmtId="0" fontId="0" fillId="6" borderId="0" applyAlignment="1" pivotButton="0" quotePrefix="0" xfId="0">
      <alignment horizontal="general" vertical="bottom"/>
    </xf>
    <xf numFmtId="0" fontId="28" fillId="6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left" vertical="center" wrapText="1"/>
    </xf>
    <xf numFmtId="0" fontId="28" fillId="5" borderId="2" applyAlignment="1" pivotButton="0" quotePrefix="0" xfId="0">
      <alignment horizontal="center" vertical="center"/>
    </xf>
    <xf numFmtId="0" fontId="16" fillId="17" borderId="2" applyAlignment="1" pivotButton="0" quotePrefix="0" xfId="0">
      <alignment horizontal="center" vertical="center"/>
    </xf>
    <xf numFmtId="0" fontId="0" fillId="18" borderId="0" applyAlignment="1" pivotButton="0" quotePrefix="0" xfId="0">
      <alignment horizontal="general" vertical="bottom"/>
    </xf>
    <xf numFmtId="0" fontId="31" fillId="18" borderId="0" applyAlignment="1" pivotButton="0" quotePrefix="0" xfId="0">
      <alignment horizontal="left" vertical="center"/>
    </xf>
    <xf numFmtId="0" fontId="31" fillId="18" borderId="2" applyAlignment="1" pivotButton="0" quotePrefix="0" xfId="0">
      <alignment horizontal="center" vertical="center"/>
    </xf>
    <xf numFmtId="0" fontId="32" fillId="19" borderId="0" applyAlignment="1" pivotButton="0" quotePrefix="0" xfId="0">
      <alignment horizontal="left" vertical="center" wrapText="1"/>
    </xf>
    <xf numFmtId="0" fontId="11" fillId="18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 wrapText="1"/>
    </xf>
    <xf numFmtId="0" fontId="32" fillId="19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34" fillId="8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center" vertical="center"/>
    </xf>
    <xf numFmtId="0" fontId="34" fillId="8" borderId="2" applyAlignment="1" pivotButton="0" quotePrefix="0" xfId="0">
      <alignment horizontal="center" vertical="center"/>
    </xf>
    <xf numFmtId="0" fontId="16" fillId="6" borderId="0" applyAlignment="1" pivotButton="0" quotePrefix="0" xfId="0">
      <alignment horizontal="left" vertical="center"/>
    </xf>
    <xf numFmtId="0" fontId="26" fillId="4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general" vertical="bottom"/>
    </xf>
    <xf numFmtId="0" fontId="37" fillId="19" borderId="0" applyAlignment="1" pivotButton="0" quotePrefix="0" xfId="0">
      <alignment horizontal="left" vertical="center" wrapText="1"/>
    </xf>
    <xf numFmtId="0" fontId="38" fillId="18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11" fillId="11" borderId="0" applyAlignment="1" pivotButton="0" quotePrefix="0" xfId="0">
      <alignment horizontal="left" vertical="center"/>
    </xf>
    <xf numFmtId="0" fontId="16" fillId="11" borderId="0" applyAlignment="1" pivotButton="0" quotePrefix="0" xfId="0">
      <alignment horizontal="left" vertical="center"/>
    </xf>
    <xf numFmtId="9" fontId="16" fillId="17" borderId="2" applyAlignment="1" pivotButton="0" quotePrefix="0" xfId="0">
      <alignment horizontal="center" vertical="center"/>
    </xf>
    <xf numFmtId="0" fontId="39" fillId="17" borderId="2" applyAlignment="1" pivotButton="0" quotePrefix="0" xfId="0">
      <alignment horizontal="center" vertical="center"/>
    </xf>
    <xf numFmtId="0" fontId="26" fillId="4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center" vertical="center"/>
    </xf>
    <xf numFmtId="0" fontId="41" fillId="10" borderId="0" applyAlignment="1" pivotButton="0" quotePrefix="0" xfId="0">
      <alignment horizontal="left" vertical="center"/>
    </xf>
    <xf numFmtId="0" fontId="38" fillId="18" borderId="0" applyAlignment="1" pivotButton="0" quotePrefix="0" xfId="0">
      <alignment horizontal="left" vertical="center"/>
    </xf>
    <xf numFmtId="0" fontId="29" fillId="18" borderId="0" applyAlignment="1" pivotButton="0" quotePrefix="0" xfId="0">
      <alignment horizontal="center" vertical="center"/>
    </xf>
    <xf numFmtId="0" fontId="42" fillId="6" borderId="0" applyAlignment="1" pivotButton="0" quotePrefix="0" xfId="0">
      <alignment horizontal="general" vertical="bottom"/>
    </xf>
    <xf numFmtId="0" fontId="16" fillId="20" borderId="0" applyAlignment="1" pivotButton="0" quotePrefix="0" xfId="0">
      <alignment horizontal="left" vertical="center"/>
    </xf>
    <xf numFmtId="0" fontId="29" fillId="20" borderId="0" applyAlignment="1" pivotButton="0" quotePrefix="0" xfId="0">
      <alignment horizontal="center" vertical="center"/>
    </xf>
    <xf numFmtId="0" fontId="30" fillId="6" borderId="0" applyAlignment="1" pivotButton="0" quotePrefix="0" xfId="0">
      <alignment horizontal="left" vertical="center" wrapText="1"/>
    </xf>
    <xf numFmtId="0" fontId="16" fillId="20" borderId="2" applyAlignment="1" pivotButton="0" quotePrefix="0" xfId="0">
      <alignment horizontal="center" vertical="center"/>
    </xf>
    <xf numFmtId="0" fontId="18" fillId="21" borderId="0" applyAlignment="1" pivotButton="0" quotePrefix="0" xfId="0">
      <alignment horizontal="left" vertical="center"/>
    </xf>
    <xf numFmtId="0" fontId="29" fillId="21" borderId="0" applyAlignment="1" pivotButton="0" quotePrefix="0" xfId="0">
      <alignment horizontal="center" vertical="center"/>
    </xf>
    <xf numFmtId="0" fontId="41" fillId="21" borderId="2" applyAlignment="1" pivotButton="0" quotePrefix="0" xfId="0">
      <alignment horizontal="center" vertical="center"/>
    </xf>
    <xf numFmtId="0" fontId="17" fillId="6" borderId="0" applyAlignment="1" pivotButton="0" quotePrefix="0" xfId="0">
      <alignment horizontal="left" vertical="center"/>
    </xf>
    <xf numFmtId="0" fontId="43" fillId="0" borderId="0" applyAlignment="1" pivotButton="0" quotePrefix="0" xfId="0">
      <alignment horizontal="center" vertical="center"/>
    </xf>
    <xf numFmtId="0" fontId="44" fillId="0" borderId="0" applyAlignment="1" pivotButton="0" quotePrefix="0" xfId="0">
      <alignment horizontal="left" vertical="center" wrapText="1"/>
    </xf>
    <xf numFmtId="0" fontId="45" fillId="22" borderId="2" applyAlignment="1" pivotButton="0" quotePrefix="0" xfId="0">
      <alignment horizontal="center" vertical="center"/>
    </xf>
    <xf numFmtId="0" fontId="46" fillId="17" borderId="2" applyAlignment="1" pivotButton="0" quotePrefix="0" xfId="0">
      <alignment horizontal="center" vertical="center"/>
    </xf>
    <xf numFmtId="0" fontId="18" fillId="17" borderId="0" applyAlignment="1" pivotButton="0" quotePrefix="0" xfId="0">
      <alignment horizontal="left" vertical="center"/>
    </xf>
    <xf numFmtId="0" fontId="29" fillId="17" borderId="0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16" fillId="17" borderId="0" applyAlignment="1" pivotButton="0" quotePrefix="0" xfId="0">
      <alignment horizontal="left" vertical="center"/>
    </xf>
    <xf numFmtId="0" fontId="0" fillId="23" borderId="0" applyAlignment="1" pivotButton="0" quotePrefix="0" xfId="0">
      <alignment horizontal="general" vertical="bottom"/>
    </xf>
    <xf numFmtId="0" fontId="47" fillId="23" borderId="0" applyAlignment="1" pivotButton="0" quotePrefix="0" xfId="0">
      <alignment horizontal="left" vertical="center"/>
    </xf>
    <xf numFmtId="0" fontId="29" fillId="23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left" vertical="center" wrapText="1"/>
    </xf>
    <xf numFmtId="0" fontId="47" fillId="23" borderId="2" applyAlignment="1" pivotButton="0" quotePrefix="0" xfId="0">
      <alignment horizontal="general" vertical="bottom"/>
    </xf>
    <xf numFmtId="0" fontId="30" fillId="18" borderId="0" applyAlignment="1" pivotButton="0" quotePrefix="0" xfId="0">
      <alignment horizontal="left" vertical="center" wrapText="1"/>
    </xf>
    <xf numFmtId="0" fontId="0" fillId="20" borderId="0" applyAlignment="1" pivotButton="0" quotePrefix="0" xfId="0">
      <alignment horizontal="general" vertical="bottom"/>
    </xf>
    <xf numFmtId="0" fontId="30" fillId="20" borderId="0" applyAlignment="1" pivotButton="0" quotePrefix="0" xfId="0">
      <alignment horizontal="left" vertical="center" wrapText="1"/>
    </xf>
    <xf numFmtId="0" fontId="0" fillId="24" borderId="0" applyAlignment="1" pivotButton="0" quotePrefix="0" xfId="0">
      <alignment horizontal="general" vertical="bottom"/>
    </xf>
    <xf numFmtId="0" fontId="18" fillId="24" borderId="0" applyAlignment="1" pivotButton="0" quotePrefix="0" xfId="0">
      <alignment horizontal="left" vertical="center"/>
    </xf>
    <xf numFmtId="0" fontId="29" fillId="24" borderId="0" applyAlignment="1" pivotButton="0" quotePrefix="0" xfId="0">
      <alignment horizontal="center" vertical="center"/>
    </xf>
    <xf numFmtId="0" fontId="30" fillId="24" borderId="0" applyAlignment="1" pivotButton="0" quotePrefix="0" xfId="0">
      <alignment horizontal="left" vertical="center" wrapText="1"/>
    </xf>
    <xf numFmtId="0" fontId="18" fillId="24" borderId="2" applyAlignment="1" pivotButton="0" quotePrefix="0" xfId="0">
      <alignment horizontal="center" vertical="center"/>
    </xf>
    <xf numFmtId="0" fontId="18" fillId="20" borderId="0" applyAlignment="1" pivotButton="0" quotePrefix="0" xfId="0">
      <alignment horizontal="left" vertical="center"/>
    </xf>
    <xf numFmtId="0" fontId="18" fillId="20" borderId="2" applyAlignment="1" pivotButton="0" quotePrefix="0" xfId="0">
      <alignment horizontal="center" vertical="center"/>
    </xf>
    <xf numFmtId="0" fontId="42" fillId="18" borderId="0" applyAlignment="1" pivotButton="0" quotePrefix="0" xfId="0">
      <alignment horizontal="left" vertical="center" wrapText="1"/>
    </xf>
    <xf numFmtId="0" fontId="38" fillId="17" borderId="2" applyAlignment="1" pivotButton="0" quotePrefix="0" xfId="0">
      <alignment horizontal="center" vertical="center"/>
    </xf>
    <xf numFmtId="0" fontId="29" fillId="2" borderId="0" applyAlignment="1" pivotButton="0" quotePrefix="0" xfId="0">
      <alignment horizontal="center" vertical="center"/>
    </xf>
    <xf numFmtId="0" fontId="15" fillId="2" borderId="2" applyAlignment="1" pivotButton="0" quotePrefix="0" xfId="0">
      <alignment horizontal="center" vertical="center"/>
    </xf>
    <xf numFmtId="0" fontId="0" fillId="25" borderId="0" applyAlignment="1" pivotButton="0" quotePrefix="0" xfId="0">
      <alignment horizontal="general" vertical="bottom"/>
    </xf>
    <xf numFmtId="0" fontId="16" fillId="25" borderId="0" applyAlignment="1" pivotButton="0" quotePrefix="0" xfId="0">
      <alignment horizontal="left" vertical="center"/>
    </xf>
    <xf numFmtId="0" fontId="29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left" vertical="center" wrapText="1"/>
    </xf>
    <xf numFmtId="0" fontId="16" fillId="25" borderId="2" applyAlignment="1" pivotButton="0" quotePrefix="0" xfId="0">
      <alignment horizontal="center" vertical="center"/>
    </xf>
    <xf numFmtId="0" fontId="18" fillId="25" borderId="0" applyAlignment="1" pivotButton="0" quotePrefix="0" xfId="0">
      <alignment horizontal="left" vertical="center"/>
    </xf>
    <xf numFmtId="0" fontId="18" fillId="25" borderId="2" applyAlignment="1" pivotButton="0" quotePrefix="0" xfId="0">
      <alignment horizontal="center" vertical="center"/>
    </xf>
    <xf numFmtId="0" fontId="40" fillId="18" borderId="2" applyAlignment="1" pivotButton="0" quotePrefix="0" xfId="0">
      <alignment horizontal="center" vertical="center"/>
    </xf>
    <xf numFmtId="0" fontId="0" fillId="2" borderId="0" applyAlignment="1" pivotButton="0" quotePrefix="0" xfId="0">
      <alignment horizontal="general" vertical="bottom"/>
    </xf>
    <xf numFmtId="0" fontId="40" fillId="2" borderId="2" applyAlignment="1" pivotButton="0" quotePrefix="0" xfId="0">
      <alignment horizontal="center" vertical="center"/>
    </xf>
    <xf numFmtId="0" fontId="15" fillId="26" borderId="0" applyAlignment="1" pivotButton="0" quotePrefix="0" xfId="0">
      <alignment horizontal="left" vertical="center"/>
    </xf>
    <xf numFmtId="0" fontId="30" fillId="2" borderId="0" applyAlignment="1" pivotButton="0" quotePrefix="0" xfId="0">
      <alignment horizontal="left" vertical="center" wrapText="1"/>
    </xf>
    <xf numFmtId="0" fontId="6" fillId="2" borderId="2" applyAlignment="1" pivotButton="0" quotePrefix="0" xfId="0">
      <alignment horizontal="center" vertical="center"/>
    </xf>
    <xf numFmtId="0" fontId="48" fillId="6" borderId="0" applyAlignment="1" pivotButton="0" quotePrefix="0" xfId="0">
      <alignment horizontal="left" vertical="center"/>
    </xf>
    <xf numFmtId="0" fontId="29" fillId="6" borderId="0" applyAlignment="1" pivotButton="0" quotePrefix="0" xfId="0">
      <alignment horizontal="center" vertical="center"/>
    </xf>
    <xf numFmtId="0" fontId="49" fillId="6" borderId="2" applyAlignment="1" pivotButton="0" quotePrefix="0" xfId="0">
      <alignment horizontal="center" vertical="center"/>
    </xf>
    <xf numFmtId="0" fontId="49" fillId="17" borderId="2" applyAlignment="1" pivotButton="0" quotePrefix="0" xfId="0">
      <alignment horizontal="center" vertical="center"/>
    </xf>
    <xf numFmtId="0" fontId="0" fillId="27" borderId="0" applyAlignment="1" pivotButton="0" quotePrefix="0" xfId="0">
      <alignment horizontal="general" vertical="bottom"/>
    </xf>
    <xf numFmtId="0" fontId="6" fillId="27" borderId="0" applyAlignment="1" pivotButton="0" quotePrefix="0" xfId="0">
      <alignment horizontal="left" vertical="center"/>
    </xf>
    <xf numFmtId="0" fontId="50" fillId="27" borderId="0" applyAlignment="1" pivotButton="0" quotePrefix="0" xfId="0">
      <alignment horizontal="center" vertical="center"/>
    </xf>
    <xf numFmtId="0" fontId="15" fillId="27" borderId="2" applyAlignment="1" pivotButton="0" quotePrefix="0" xfId="0">
      <alignment horizontal="center" vertical="center"/>
    </xf>
    <xf numFmtId="0" fontId="0" fillId="28" borderId="0" applyAlignment="1" pivotButton="0" quotePrefix="0" xfId="0">
      <alignment horizontal="general" vertical="bottom"/>
    </xf>
    <xf numFmtId="0" fontId="6" fillId="28" borderId="0" applyAlignment="1" pivotButton="0" quotePrefix="0" xfId="0">
      <alignment horizontal="left" vertical="center"/>
    </xf>
    <xf numFmtId="0" fontId="50" fillId="28" borderId="0" applyAlignment="1" pivotButton="0" quotePrefix="0" xfId="0">
      <alignment horizontal="center" vertical="center"/>
    </xf>
    <xf numFmtId="0" fontId="15" fillId="28" borderId="2" applyAlignment="1" pivotButton="0" quotePrefix="0" xfId="0">
      <alignment horizontal="center" vertical="center"/>
    </xf>
    <xf numFmtId="0" fontId="0" fillId="5" borderId="0" applyAlignment="1" pivotButton="0" quotePrefix="0" xfId="0">
      <alignment horizontal="general" vertical="bottom"/>
    </xf>
    <xf numFmtId="0" fontId="28" fillId="5" borderId="0" applyAlignment="1" pivotButton="0" quotePrefix="0" xfId="0">
      <alignment horizontal="left" vertical="center"/>
    </xf>
    <xf numFmtId="0" fontId="29" fillId="5" borderId="0" applyAlignment="1" pivotButton="0" quotePrefix="0" xfId="0">
      <alignment horizontal="center" vertical="center"/>
    </xf>
    <xf numFmtId="0" fontId="30" fillId="5" borderId="0" applyAlignment="1" pivotButton="0" quotePrefix="0" xfId="0">
      <alignment horizontal="left" vertical="center" wrapText="1"/>
    </xf>
    <xf numFmtId="0" fontId="28" fillId="17" borderId="2" applyAlignment="1" pivotButton="0" quotePrefix="0" xfId="0">
      <alignment horizontal="center" vertical="center"/>
    </xf>
    <xf numFmtId="0" fontId="50" fillId="4" borderId="0" applyAlignment="1" pivotButton="0" quotePrefix="0" xfId="0">
      <alignment horizontal="center" vertical="center"/>
    </xf>
    <xf numFmtId="0" fontId="26" fillId="15" borderId="0" applyAlignment="1" pivotButton="0" quotePrefix="0" xfId="0">
      <alignment horizontal="center" vertical="center"/>
    </xf>
    <xf numFmtId="0" fontId="38" fillId="21" borderId="2" applyAlignment="1" pivotButton="0" quotePrefix="0" xfId="0">
      <alignment horizontal="center" vertical="center"/>
    </xf>
    <xf numFmtId="0" fontId="0" fillId="17" borderId="0" applyAlignment="1" pivotButton="0" quotePrefix="0" xfId="0">
      <alignment horizontal="general" vertical="bottom"/>
    </xf>
    <xf numFmtId="0" fontId="31" fillId="17" borderId="2" applyAlignment="1" pivotButton="0" quotePrefix="0" xfId="0">
      <alignment horizontal="center" vertical="center"/>
    </xf>
    <xf numFmtId="0" fontId="15" fillId="27" borderId="0" applyAlignment="1" pivotButton="0" quotePrefix="0" xfId="0">
      <alignment horizontal="left" vertical="center"/>
    </xf>
    <xf numFmtId="0" fontId="51" fillId="27" borderId="0" applyAlignment="1" pivotButton="0" quotePrefix="0" xfId="0">
      <alignment horizontal="center" vertical="center"/>
    </xf>
    <xf numFmtId="0" fontId="52" fillId="0" borderId="0" applyAlignment="1" pivotButton="0" quotePrefix="0" xfId="0">
      <alignment horizontal="center" vertical="center"/>
    </xf>
    <xf numFmtId="0" fontId="15" fillId="28" borderId="0" applyAlignment="1" pivotButton="0" quotePrefix="0" xfId="0">
      <alignment horizontal="left" vertical="center"/>
    </xf>
    <xf numFmtId="0" fontId="51" fillId="28" borderId="0" applyAlignment="1" pivotButton="0" quotePrefix="0" xfId="0">
      <alignment horizontal="center" vertical="center"/>
    </xf>
    <xf numFmtId="0" fontId="51" fillId="4" borderId="0" applyAlignment="1" pivotButton="0" quotePrefix="0" xfId="0">
      <alignment horizontal="center" vertical="center"/>
    </xf>
    <xf numFmtId="0" fontId="26" fillId="2" borderId="3" applyAlignment="1" pivotButton="0" quotePrefix="0" xfId="0">
      <alignment horizontal="center" vertical="center"/>
    </xf>
    <xf numFmtId="0" fontId="53" fillId="2" borderId="2" applyAlignment="1" pivotButton="0" quotePrefix="0" xfId="0">
      <alignment horizontal="center" vertical="center"/>
    </xf>
    <xf numFmtId="3" fontId="54" fillId="18" borderId="4" applyAlignment="1" pivotButton="0" quotePrefix="0" xfId="0">
      <alignment horizontal="center" vertical="center"/>
    </xf>
    <xf numFmtId="0" fontId="0" fillId="0" borderId="14" pivotButton="0" quotePrefix="0" xfId="0"/>
    <xf numFmtId="0" fontId="55" fillId="6" borderId="3" applyAlignment="1" pivotButton="0" quotePrefix="0" xfId="0">
      <alignment horizontal="center" vertical="center"/>
    </xf>
    <xf numFmtId="164" fontId="54" fillId="23" borderId="4" applyAlignment="1" pivotButton="0" quotePrefix="0" xfId="0">
      <alignment horizontal="center" vertical="center"/>
    </xf>
    <xf numFmtId="165" fontId="54" fillId="18" borderId="4" applyAlignment="1" pivotButton="0" quotePrefix="0" xfId="0">
      <alignment horizontal="center" vertical="center"/>
    </xf>
    <xf numFmtId="164" fontId="54" fillId="18" borderId="4" applyAlignment="1" pivotButton="0" quotePrefix="0" xfId="0">
      <alignment horizontal="center" vertical="center"/>
    </xf>
    <xf numFmtId="0" fontId="27" fillId="27" borderId="2" applyAlignment="1" pivotButton="0" quotePrefix="0" xfId="0">
      <alignment horizontal="center" vertical="center" wrapText="1"/>
    </xf>
    <xf numFmtId="0" fontId="27" fillId="28" borderId="2" applyAlignment="1" pivotButton="0" quotePrefix="0" xfId="0">
      <alignment horizontal="center" vertical="center" wrapText="1"/>
    </xf>
    <xf numFmtId="0" fontId="27" fillId="29" borderId="2" applyAlignment="1" pivotButton="0" quotePrefix="0" xfId="0">
      <alignment horizontal="center" vertical="center" wrapText="1"/>
    </xf>
    <xf numFmtId="0" fontId="27" fillId="30" borderId="2" applyAlignment="1" pivotButton="0" quotePrefix="0" xfId="0">
      <alignment horizontal="center" vertical="center" wrapText="1"/>
    </xf>
    <xf numFmtId="0" fontId="27" fillId="31" borderId="2" applyAlignment="1" pivotButton="0" quotePrefix="0" xfId="0">
      <alignment horizontal="center" vertical="center" wrapText="1"/>
    </xf>
    <xf numFmtId="0" fontId="18" fillId="17" borderId="2" applyAlignment="1" pivotButton="0" quotePrefix="0" xfId="0">
      <alignment horizontal="left" vertical="center"/>
    </xf>
    <xf numFmtId="0" fontId="29" fillId="6" borderId="2" applyAlignment="1" pivotButton="0" quotePrefix="0" xfId="0">
      <alignment horizontal="center" vertical="center"/>
    </xf>
    <xf numFmtId="0" fontId="56" fillId="6" borderId="0" applyAlignment="1" pivotButton="0" quotePrefix="0" xfId="0">
      <alignment horizontal="left" vertical="center"/>
    </xf>
    <xf numFmtId="3" fontId="15" fillId="4" borderId="2" applyAlignment="1" pivotButton="0" quotePrefix="0" xfId="0">
      <alignment horizontal="center" vertical="center"/>
    </xf>
    <xf numFmtId="3" fontId="15" fillId="27" borderId="2" applyAlignment="1" pivotButton="0" quotePrefix="0" xfId="0">
      <alignment horizontal="center" vertical="center"/>
    </xf>
    <xf numFmtId="3" fontId="15" fillId="28" borderId="2" applyAlignment="1" pivotButton="0" quotePrefix="0" xfId="0">
      <alignment horizontal="center" vertical="center"/>
    </xf>
    <xf numFmtId="3" fontId="15" fillId="29" borderId="2" applyAlignment="1" pivotButton="0" quotePrefix="0" xfId="0">
      <alignment horizontal="center" vertical="center"/>
    </xf>
    <xf numFmtId="166" fontId="57" fillId="30" borderId="2" applyAlignment="1" pivotButton="0" quotePrefix="0" xfId="0">
      <alignment horizontal="center" vertical="center"/>
    </xf>
    <xf numFmtId="166" fontId="57" fillId="31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left" vertical="center"/>
    </xf>
    <xf numFmtId="3" fontId="57" fillId="4" borderId="2" applyAlignment="1" pivotButton="0" quotePrefix="0" xfId="0">
      <alignment horizontal="center" vertical="center"/>
    </xf>
    <xf numFmtId="3" fontId="57" fillId="27" borderId="2" applyAlignment="1" pivotButton="0" quotePrefix="0" xfId="0">
      <alignment horizontal="center" vertical="center"/>
    </xf>
    <xf numFmtId="3" fontId="57" fillId="28" borderId="2" applyAlignment="1" pivotButton="0" quotePrefix="0" xfId="0">
      <alignment horizontal="center" vertical="center"/>
    </xf>
    <xf numFmtId="3" fontId="57" fillId="29" borderId="2" applyAlignment="1" pivotButton="0" quotePrefix="0" xfId="0">
      <alignment horizontal="center" vertical="center"/>
    </xf>
    <xf numFmtId="164" fontId="57" fillId="4" borderId="2" applyAlignment="1" pivotButton="0" quotePrefix="0" xfId="0">
      <alignment horizontal="center" vertical="center"/>
    </xf>
    <xf numFmtId="164" fontId="57" fillId="27" borderId="2" applyAlignment="1" pivotButton="0" quotePrefix="0" xfId="0">
      <alignment horizontal="center" vertical="center"/>
    </xf>
    <xf numFmtId="164" fontId="57" fillId="28" borderId="2" applyAlignment="1" pivotButton="0" quotePrefix="0" xfId="0">
      <alignment horizontal="center" vertical="center"/>
    </xf>
    <xf numFmtId="164" fontId="57" fillId="29" borderId="2" applyAlignment="1" pivotButton="0" quotePrefix="0" xfId="0">
      <alignment horizontal="center" vertical="center"/>
    </xf>
    <xf numFmtId="167" fontId="57" fillId="30" borderId="2" applyAlignment="1" pivotButton="0" quotePrefix="0" xfId="0">
      <alignment horizontal="center" vertical="center"/>
    </xf>
    <xf numFmtId="167" fontId="57" fillId="31" borderId="2" applyAlignment="1" pivotButton="0" quotePrefix="0" xfId="0">
      <alignment horizontal="center" vertical="center"/>
    </xf>
    <xf numFmtId="165" fontId="57" fillId="4" borderId="2" applyAlignment="1" pivotButton="0" quotePrefix="0" xfId="0">
      <alignment horizontal="center" vertical="center"/>
    </xf>
    <xf numFmtId="165" fontId="57" fillId="27" borderId="2" applyAlignment="1" pivotButton="0" quotePrefix="0" xfId="0">
      <alignment horizontal="center" vertical="center"/>
    </xf>
    <xf numFmtId="165" fontId="57" fillId="28" borderId="2" applyAlignment="1" pivotButton="0" quotePrefix="0" xfId="0">
      <alignment horizontal="center" vertical="center"/>
    </xf>
    <xf numFmtId="165" fontId="57" fillId="29" borderId="2" applyAlignment="1" pivotButton="0" quotePrefix="0" xfId="0">
      <alignment horizontal="center" vertical="center"/>
    </xf>
    <xf numFmtId="0" fontId="26" fillId="2" borderId="2" applyAlignment="1" pivotButton="0" quotePrefix="0" xfId="0">
      <alignment horizontal="center" vertical="center"/>
    </xf>
    <xf numFmtId="0" fontId="26" fillId="27" borderId="2" applyAlignment="1" pivotButton="0" quotePrefix="0" xfId="0">
      <alignment horizontal="center" vertical="center"/>
    </xf>
    <xf numFmtId="0" fontId="26" fillId="4" borderId="2" applyAlignment="1" pivotButton="0" quotePrefix="0" xfId="0">
      <alignment horizontal="center" vertical="center"/>
    </xf>
    <xf numFmtId="0" fontId="29" fillId="17" borderId="2" applyAlignment="1" pivotButton="0" quotePrefix="0" xfId="0">
      <alignment horizontal="center" vertical="center"/>
    </xf>
    <xf numFmtId="0" fontId="35" fillId="17" borderId="0" applyAlignment="1" pivotButton="0" quotePrefix="0" xfId="0">
      <alignment horizontal="left" vertical="center"/>
    </xf>
    <xf numFmtId="166" fontId="57" fillId="4" borderId="2" applyAlignment="1" pivotButton="0" quotePrefix="0" xfId="0">
      <alignment horizontal="center" vertical="center"/>
    </xf>
    <xf numFmtId="0" fontId="35" fillId="6" borderId="0" applyAlignment="1" pivotButton="0" quotePrefix="0" xfId="0">
      <alignment horizontal="left" vertical="center"/>
    </xf>
    <xf numFmtId="0" fontId="26" fillId="2" borderId="0" applyAlignment="1" pivotButton="0" quotePrefix="0" xfId="0">
      <alignment horizontal="center" vertical="center"/>
    </xf>
    <xf numFmtId="0" fontId="57" fillId="2" borderId="2" applyAlignment="1" pivotButton="0" quotePrefix="0" xfId="0">
      <alignment horizontal="center" vertical="center"/>
    </xf>
    <xf numFmtId="0" fontId="35" fillId="6" borderId="0" applyAlignment="1" pivotButton="0" quotePrefix="0" xfId="0">
      <alignment horizontal="center" vertical="center"/>
    </xf>
    <xf numFmtId="3" fontId="30" fillId="32" borderId="2" applyAlignment="1" pivotButton="0" quotePrefix="0" xfId="0">
      <alignment horizontal="left" vertical="center" wrapText="1"/>
    </xf>
    <xf numFmtId="3" fontId="58" fillId="32" borderId="2" applyAlignment="1" pivotButton="0" quotePrefix="0" xfId="0">
      <alignment horizontal="center" vertical="center"/>
    </xf>
    <xf numFmtId="3" fontId="58" fillId="23" borderId="2" applyAlignment="1" pivotButton="0" quotePrefix="0" xfId="0">
      <alignment horizontal="center" vertical="center"/>
    </xf>
    <xf numFmtId="3" fontId="30" fillId="23" borderId="2" applyAlignment="1" pivotButton="0" quotePrefix="0" xfId="0">
      <alignment horizontal="left" vertical="center" wrapText="1"/>
    </xf>
    <xf numFmtId="3" fontId="58" fillId="18" borderId="2" applyAlignment="1" pivotButton="0" quotePrefix="0" xfId="0">
      <alignment horizontal="center" vertical="center"/>
    </xf>
    <xf numFmtId="164" fontId="59" fillId="27" borderId="2" applyAlignment="1" pivotButton="0" quotePrefix="0" xfId="0">
      <alignment horizontal="center" vertical="center"/>
    </xf>
    <xf numFmtId="164" fontId="59" fillId="28" borderId="2" applyAlignment="1" pivotButton="0" quotePrefix="0" xfId="0">
      <alignment horizontal="center" vertical="center"/>
    </xf>
    <xf numFmtId="164" fontId="59" fillId="29" borderId="2" applyAlignment="1" pivotButton="0" quotePrefix="0" xfId="0">
      <alignment horizontal="center" vertical="center"/>
    </xf>
    <xf numFmtId="3" fontId="60" fillId="18" borderId="5" applyAlignment="1" pivotButton="0" quotePrefix="0" xfId="0">
      <alignment horizontal="center" vertical="center"/>
    </xf>
    <xf numFmtId="164" fontId="60" fillId="18" borderId="5" applyAlignment="1" pivotButton="0" quotePrefix="0" xfId="0">
      <alignment horizontal="center" vertical="center"/>
    </xf>
    <xf numFmtId="0" fontId="60" fillId="18" borderId="5" applyAlignment="1" pivotButton="0" quotePrefix="0" xfId="0">
      <alignment horizontal="center" vertical="center"/>
    </xf>
    <xf numFmtId="0" fontId="61" fillId="2" borderId="0" applyAlignment="1" pivotButton="0" quotePrefix="0" xfId="0">
      <alignment horizontal="left" vertical="center"/>
    </xf>
    <xf numFmtId="0" fontId="62" fillId="2" borderId="0" applyAlignment="1" pivotButton="0" quotePrefix="0" xfId="0">
      <alignment horizontal="left" vertical="center"/>
    </xf>
    <xf numFmtId="0" fontId="62" fillId="2" borderId="0" applyAlignment="1" pivotButton="0" quotePrefix="0" xfId="0">
      <alignment horizontal="right" vertical="center"/>
    </xf>
    <xf numFmtId="0" fontId="63" fillId="27" borderId="3" applyAlignment="1" pivotButton="0" quotePrefix="0" xfId="0">
      <alignment horizontal="left" vertical="center"/>
    </xf>
    <xf numFmtId="168" fontId="4" fillId="2" borderId="6" applyAlignment="1" pivotButton="0" quotePrefix="0" xfId="0">
      <alignment horizontal="center" vertical="center"/>
    </xf>
    <xf numFmtId="0" fontId="0" fillId="0" borderId="16" pivotButton="0" quotePrefix="0" xfId="0"/>
    <xf numFmtId="0" fontId="64" fillId="33" borderId="0" applyAlignment="1" pivotButton="0" quotePrefix="0" xfId="0">
      <alignment horizontal="left" vertical="center"/>
    </xf>
    <xf numFmtId="169" fontId="65" fillId="30" borderId="3" applyAlignment="1" pivotButton="0" quotePrefix="0" xfId="0">
      <alignment horizontal="center" vertical="center"/>
    </xf>
    <xf numFmtId="164" fontId="4" fillId="2" borderId="6" applyAlignment="1" pivotButton="0" quotePrefix="0" xfId="0">
      <alignment horizontal="center" vertical="center"/>
    </xf>
    <xf numFmtId="165" fontId="4" fillId="2" borderId="6" applyAlignment="1" pivotButton="0" quotePrefix="0" xfId="0">
      <alignment horizontal="center" vertical="center"/>
    </xf>
    <xf numFmtId="0" fontId="26" fillId="2" borderId="2" applyAlignment="1" pivotButton="0" quotePrefix="0" xfId="0">
      <alignment horizontal="center" vertical="center" wrapText="1"/>
    </xf>
    <xf numFmtId="0" fontId="26" fillId="15" borderId="2" applyAlignment="1" pivotButton="0" quotePrefix="0" xfId="0">
      <alignment horizontal="center" vertical="center" wrapText="1"/>
    </xf>
    <xf numFmtId="0" fontId="39" fillId="6" borderId="2" applyAlignment="1" pivotButton="0" quotePrefix="0" xfId="0">
      <alignment horizontal="center" vertical="center"/>
    </xf>
    <xf numFmtId="3" fontId="16" fillId="6" borderId="2" applyAlignment="1" pivotButton="0" quotePrefix="0" xfId="0">
      <alignment horizontal="center" vertical="center"/>
    </xf>
    <xf numFmtId="164" fontId="16" fillId="6" borderId="2" applyAlignment="1" pivotButton="0" quotePrefix="0" xfId="0">
      <alignment horizontal="center" vertical="center"/>
    </xf>
    <xf numFmtId="3" fontId="18" fillId="17" borderId="2" applyAlignment="1" pivotButton="0" quotePrefix="0" xfId="0">
      <alignment horizontal="center" vertical="center"/>
    </xf>
    <xf numFmtId="164" fontId="18" fillId="17" borderId="2" applyAlignment="1" pivotButton="0" quotePrefix="0" xfId="0">
      <alignment horizontal="center" vertical="center"/>
    </xf>
    <xf numFmtId="0" fontId="36" fillId="6" borderId="2" applyAlignment="1" pivotButton="0" quotePrefix="0" xfId="0">
      <alignment horizontal="center" vertical="center"/>
    </xf>
    <xf numFmtId="167" fontId="0" fillId="6" borderId="2" applyAlignment="1" pivotButton="0" quotePrefix="0" xfId="0">
      <alignment horizontal="center" vertical="center"/>
    </xf>
    <xf numFmtId="0" fontId="26" fillId="27" borderId="2" applyAlignment="1" pivotButton="0" quotePrefix="0" xfId="0">
      <alignment horizontal="center" vertical="center" wrapText="1"/>
    </xf>
    <xf numFmtId="0" fontId="26" fillId="28" borderId="2" applyAlignment="1" pivotButton="0" quotePrefix="0" xfId="0">
      <alignment horizontal="center" vertical="center" wrapText="1"/>
    </xf>
    <xf numFmtId="0" fontId="26" fillId="29" borderId="2" applyAlignment="1" pivotButton="0" quotePrefix="0" xfId="0">
      <alignment horizontal="center" vertical="center" wrapText="1"/>
    </xf>
    <xf numFmtId="0" fontId="26" fillId="30" borderId="2" applyAlignment="1" pivotButton="0" quotePrefix="0" xfId="0">
      <alignment horizontal="center" vertical="center" wrapText="1"/>
    </xf>
    <xf numFmtId="0" fontId="26" fillId="34" borderId="2" applyAlignment="1" pivotButton="0" quotePrefix="0" xfId="0">
      <alignment horizontal="center" vertical="center" wrapText="1"/>
    </xf>
    <xf numFmtId="166" fontId="57" fillId="34" borderId="2" applyAlignment="1" pivotButton="0" quotePrefix="0" xfId="0">
      <alignment horizontal="center" vertical="center"/>
    </xf>
    <xf numFmtId="167" fontId="57" fillId="34" borderId="2" applyAlignment="1" pivotButton="0" quotePrefix="0" xfId="0">
      <alignment horizontal="center" vertical="center"/>
    </xf>
    <xf numFmtId="165" fontId="18" fillId="17" borderId="2" applyAlignment="1" pivotButton="0" quotePrefix="0" xfId="0">
      <alignment horizontal="center" vertical="center"/>
    </xf>
    <xf numFmtId="166" fontId="16" fillId="17" borderId="2" applyAlignment="1" pivotButton="0" quotePrefix="0" xfId="0">
      <alignment horizontal="center" vertical="center"/>
    </xf>
    <xf numFmtId="167" fontId="16" fillId="17" borderId="2" applyAlignment="1" pivotButton="0" quotePrefix="0" xfId="0">
      <alignment horizontal="center" vertical="center"/>
    </xf>
    <xf numFmtId="0" fontId="66" fillId="6" borderId="2" applyAlignment="1" pivotButton="0" quotePrefix="0" xfId="0">
      <alignment horizontal="left" vertical="center"/>
    </xf>
    <xf numFmtId="0" fontId="67" fillId="6" borderId="0" applyAlignment="1" pivotButton="0" quotePrefix="0" xfId="0">
      <alignment horizontal="left" vertical="center" wrapText="1"/>
    </xf>
    <xf numFmtId="0" fontId="66" fillId="11" borderId="2" applyAlignment="1" pivotButton="0" quotePrefix="0" xfId="0">
      <alignment horizontal="left" vertical="center"/>
    </xf>
    <xf numFmtId="0" fontId="67" fillId="11" borderId="0" applyAlignment="1" pivotButton="0" quotePrefix="0" xfId="0">
      <alignment horizontal="left" vertical="center" wrapText="1"/>
    </xf>
    <xf numFmtId="0" fontId="0" fillId="0" borderId="18" pivotButton="0" quotePrefix="0" xfId="0"/>
    <xf numFmtId="0" fontId="34" fillId="8" borderId="2" applyAlignment="1" pivotButton="0" quotePrefix="0" xfId="0">
      <alignment horizontal="left" vertical="center"/>
    </xf>
    <xf numFmtId="0" fontId="35" fillId="8" borderId="0" applyAlignment="1" pivotButton="0" quotePrefix="0" xfId="0">
      <alignment horizontal="left" vertical="center"/>
    </xf>
    <xf numFmtId="0" fontId="61" fillId="28" borderId="6" applyAlignment="1" pivotButton="0" quotePrefix="0" xfId="0">
      <alignment horizontal="center" vertical="center" wrapText="1"/>
    </xf>
    <xf numFmtId="0" fontId="68" fillId="27" borderId="0" applyAlignment="1" pivotButton="0" quotePrefix="0" xfId="0">
      <alignment horizontal="center" vertical="center"/>
    </xf>
    <xf numFmtId="0" fontId="68" fillId="28" borderId="0" applyAlignment="1" pivotButton="0" quotePrefix="0" xfId="0">
      <alignment horizontal="center" vertical="center"/>
    </xf>
    <xf numFmtId="0" fontId="68" fillId="29" borderId="0" applyAlignment="1" pivotButton="0" quotePrefix="0" xfId="0">
      <alignment horizontal="center" vertical="center"/>
    </xf>
    <xf numFmtId="0" fontId="68" fillId="35" borderId="0" applyAlignment="1" pivotButton="0" quotePrefix="0" xfId="0">
      <alignment horizontal="center" vertical="center"/>
    </xf>
    <xf numFmtId="0" fontId="68" fillId="2" borderId="0" applyAlignment="1" pivotButton="0" quotePrefix="0" xfId="0">
      <alignment horizontal="center" vertical="center"/>
    </xf>
    <xf numFmtId="0" fontId="69" fillId="27" borderId="3" applyAlignment="1" pivotButton="0" quotePrefix="0" xfId="0">
      <alignment horizontal="center" vertical="center"/>
    </xf>
    <xf numFmtId="0" fontId="69" fillId="27" borderId="2" applyAlignment="1" pivotButton="0" quotePrefix="0" xfId="0">
      <alignment horizontal="center" vertical="center"/>
    </xf>
    <xf numFmtId="0" fontId="69" fillId="28" borderId="2" applyAlignment="1" pivotButton="0" quotePrefix="0" xfId="0">
      <alignment horizontal="center" vertical="center"/>
    </xf>
    <xf numFmtId="0" fontId="69" fillId="29" borderId="2" applyAlignment="1" pivotButton="0" quotePrefix="0" xfId="0">
      <alignment horizontal="center" vertical="center"/>
    </xf>
    <xf numFmtId="0" fontId="69" fillId="35" borderId="2" applyAlignment="1" pivotButton="0" quotePrefix="0" xfId="0">
      <alignment horizontal="center" vertical="center"/>
    </xf>
    <xf numFmtId="0" fontId="39" fillId="6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center" vertical="center"/>
    </xf>
    <xf numFmtId="0" fontId="18" fillId="6" borderId="2" applyAlignment="1" pivotButton="0" quotePrefix="0" xfId="0">
      <alignment horizontal="left" vertical="center"/>
    </xf>
    <xf numFmtId="0" fontId="16" fillId="6" borderId="2" applyAlignment="1" pivotButton="0" quotePrefix="0" xfId="0">
      <alignment horizontal="center" vertical="center"/>
    </xf>
    <xf numFmtId="0" fontId="32" fillId="6" borderId="2" applyAlignment="1" pivotButton="0" quotePrefix="0" xfId="0">
      <alignment horizontal="left" vertical="center" wrapText="1"/>
    </xf>
    <xf numFmtId="0" fontId="70" fillId="6" borderId="2" applyAlignment="1" pivotButton="0" quotePrefix="0" xfId="0">
      <alignment horizontal="center" vertical="center"/>
    </xf>
    <xf numFmtId="0" fontId="18" fillId="0" borderId="2" applyAlignment="1" pivotButton="0" quotePrefix="0" xfId="0">
      <alignment horizontal="center" vertical="center"/>
    </xf>
    <xf numFmtId="0" fontId="71" fillId="6" borderId="2" applyAlignment="1" pivotButton="0" quotePrefix="0" xfId="0">
      <alignment horizontal="center" vertical="center"/>
    </xf>
    <xf numFmtId="0" fontId="30" fillId="6" borderId="2" applyAlignment="1" pivotButton="0" quotePrefix="0" xfId="0">
      <alignment horizontal="left" vertical="center"/>
    </xf>
    <xf numFmtId="0" fontId="47" fillId="23" borderId="2" applyAlignment="1" pivotButton="0" quotePrefix="0" xfId="0">
      <alignment horizontal="left" vertical="center"/>
    </xf>
    <xf numFmtId="0" fontId="70" fillId="23" borderId="2" applyAlignment="1" pivotButton="0" quotePrefix="0" xfId="0">
      <alignment horizontal="center" vertical="center"/>
    </xf>
    <xf numFmtId="0" fontId="47" fillId="23" borderId="2" applyAlignment="1" pivotButton="0" quotePrefix="0" xfId="0">
      <alignment horizontal="center" vertical="center"/>
    </xf>
    <xf numFmtId="0" fontId="39" fillId="23" borderId="2" applyAlignment="1" pivotButton="0" quotePrefix="0" xfId="0">
      <alignment horizontal="center" vertical="center"/>
    </xf>
    <xf numFmtId="0" fontId="70" fillId="23" borderId="2" applyAlignment="1" pivotButton="0" quotePrefix="0" xfId="0">
      <alignment horizontal="left" vertical="center"/>
    </xf>
    <xf numFmtId="0" fontId="16" fillId="6" borderId="3" applyAlignment="1" pivotButton="0" quotePrefix="0" xfId="0">
      <alignment horizontal="left" vertical="center"/>
    </xf>
    <xf numFmtId="0" fontId="13" fillId="18" borderId="2" applyAlignment="1" pivotButton="0" quotePrefix="0" xfId="0">
      <alignment horizontal="center" vertical="center"/>
    </xf>
    <xf numFmtId="168" fontId="16" fillId="18" borderId="3" applyAlignment="1" pivotButton="0" quotePrefix="0" xfId="0">
      <alignment horizontal="center" vertical="center"/>
    </xf>
    <xf numFmtId="0" fontId="16" fillId="18" borderId="3" applyAlignment="1" pivotButton="0" quotePrefix="0" xfId="0">
      <alignment horizontal="center" vertical="center"/>
    </xf>
    <xf numFmtId="164" fontId="16" fillId="18" borderId="3" applyAlignment="1" pivotButton="0" quotePrefix="0" xfId="0">
      <alignment horizontal="center" vertical="center"/>
    </xf>
    <xf numFmtId="165" fontId="16" fillId="18" borderId="3" applyAlignment="1" pivotButton="0" quotePrefix="0" xfId="0">
      <alignment horizontal="center" vertical="center"/>
    </xf>
    <xf numFmtId="3" fontId="16" fillId="18" borderId="3" applyAlignment="1" pivotButton="0" quotePrefix="0" xfId="0">
      <alignment horizontal="center" vertical="center"/>
    </xf>
    <xf numFmtId="0" fontId="4" fillId="28" borderId="6" applyAlignment="1" pivotButton="0" quotePrefix="0" xfId="0">
      <alignment horizontal="center" vertical="center" wrapText="1"/>
    </xf>
    <xf numFmtId="0" fontId="41" fillId="6" borderId="2" applyAlignment="1" pivotButton="0" quotePrefix="0" xfId="0">
      <alignment horizontal="left" vertical="center"/>
    </xf>
    <xf numFmtId="0" fontId="28" fillId="5" borderId="3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Calibri"/>
        <charset val="1"/>
        <family val="0"/>
        <b val="1"/>
        <color rgb="FF276221"/>
        <sz val="9"/>
      </font>
      <fill>
        <patternFill>
          <bgColor rgb="FFC6EFCE"/>
        </patternFill>
      </fill>
    </dxf>
    <dxf>
      <font>
        <name val="Calibri"/>
        <charset val="1"/>
        <family val="0"/>
        <b val="1"/>
        <color rgb="FF9C0006"/>
        <sz val="9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BF5EB"/>
      <rgbColor rgb="FF0000FF"/>
      <rgbColor rgb="FFDFF0D8"/>
      <rgbColor rgb="FFFDEDEC"/>
      <rgbColor rgb="FFDCE9F8"/>
      <rgbColor rgb="FF8B0000"/>
      <rgbColor rgb="FF006400"/>
      <rgbColor rgb="FF2C3E50"/>
      <rgbColor rgb="FF955001"/>
      <rgbColor rgb="FFCC0000"/>
      <rgbColor rgb="FF2E5E4E"/>
      <rgbColor rgb="FFBBBBBB"/>
      <rgbColor rgb="FF7D7D7D"/>
      <rgbColor rgb="FFAAAAAA"/>
      <rgbColor rgb="FFC0392B"/>
      <rgbColor rgb="FFFFF9E6"/>
      <rgbColor rgb="FFD6EAF8"/>
      <rgbColor rgb="FF34495E"/>
      <rgbColor rgb="FFC9A84C"/>
      <rgbColor rgb="FF1A5276"/>
      <rgbColor rgb="FFCCCCCC"/>
      <rgbColor rgb="FF3A5068"/>
      <rgbColor rgb="FFEEEEEE"/>
      <rgbColor rgb="FFFEF9E7"/>
      <rgbColor rgb="FFEAF4EA"/>
      <rgbColor rgb="FF276220"/>
      <rgbColor rgb="FF9C0006"/>
      <rgbColor rgb="FF145A32"/>
      <rgbColor rgb="FFF2F4F6"/>
      <rgbColor rgb="FFEBF4FF"/>
      <rgbColor rgb="FFEAFAF1"/>
      <rgbColor rgb="FFC6EFCE"/>
      <rgbColor rgb="FFFFEB9C"/>
      <rgbColor rgb="FFA9DFBA"/>
      <rgbColor rgb="FFFDDCDC"/>
      <rgbColor rgb="FFD9D9D9"/>
      <rgbColor rgb="FFFFC7CE"/>
      <rgbColor rgb="FF4472C4"/>
      <rgbColor rgb="FF888888"/>
      <rgbColor rgb="FF70AD47"/>
      <rgbColor rgb="FFD9DDE2"/>
      <rgbColor rgb="FFFF8C00"/>
      <rgbColor rgb="FFE74C3C"/>
      <rgbColor rgb="FF666666"/>
      <rgbColor rgb="FF999999"/>
      <rgbColor rgb="FF1F2D3D"/>
      <rgbColor rgb="FF27AE60"/>
      <rgbColor rgb="FF145214"/>
      <rgbColor rgb="FF444444"/>
      <rgbColor rgb="FF7B241C"/>
      <rgbColor rgb="FF555555"/>
      <rgbColor rgb="FF2E4057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808080"/>
    <outlinePr summaryBelow="1" summaryRight="1"/>
    <pageSetUpPr fitToPage="1"/>
  </sheetPr>
  <dimension ref="B4:L7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289" min="1" max="1"/>
    <col width="27" customWidth="1" style="289" min="2" max="2"/>
    <col width="30" customWidth="1" style="289" min="3" max="3"/>
    <col width="18" customWidth="1" style="289" min="4" max="4"/>
    <col width="14" customWidth="1" style="289" min="5" max="12"/>
  </cols>
  <sheetData>
    <row r="1" ht="4.5" customHeight="1" s="290"/>
    <row r="2" ht="4.5" customHeight="1" s="290"/>
    <row r="3" ht="4.5" customHeight="1" s="290"/>
    <row r="4" ht="33.75" customHeight="1" s="290">
      <c r="B4" s="291" t="inlineStr">
        <is>
          <t>Commercial Brokerage Revenue Forecasting &amp; Pricing Model</t>
        </is>
      </c>
    </row>
    <row r="5" ht="21.75" customHeight="1" s="290">
      <c r="B5" s="292" t="inlineStr">
        <is>
          <t>Driver-Based Operating Model — Commercial Real Estate Advisory Firm</t>
        </is>
      </c>
    </row>
    <row r="6" ht="3.75" customHeight="1" s="290">
      <c r="B6" s="293" t="n"/>
    </row>
    <row r="7" ht="7.5" customHeight="1" s="290"/>
    <row r="8" ht="18" customHeight="1" s="290">
      <c r="B8" s="294" t="inlineStr">
        <is>
          <t xml:space="preserve">  MODEL METADATA</t>
        </is>
      </c>
    </row>
    <row r="9" ht="15.75" customHeight="1" s="290">
      <c r="B9" s="295" t="inlineStr">
        <is>
          <t>Company Name</t>
        </is>
      </c>
      <c r="C9" s="296" t="inlineStr">
        <is>
          <t>Apex CRE Advisors</t>
        </is>
      </c>
    </row>
    <row r="10" ht="15.75" customHeight="1" s="290">
      <c r="B10" s="297" t="inlineStr">
        <is>
          <t>Model Version</t>
        </is>
      </c>
      <c r="C10" s="296" t="inlineStr">
        <is>
          <t>V1.0</t>
        </is>
      </c>
    </row>
    <row r="11" ht="15.75" customHeight="1" s="290">
      <c r="B11" s="295" t="inlineStr">
        <is>
          <t>Prepared By</t>
        </is>
      </c>
      <c r="C11" s="296" t="inlineStr">
        <is>
          <t>[Your Name]</t>
        </is>
      </c>
    </row>
    <row r="12" ht="15.75" customHeight="1" s="290">
      <c r="B12" s="297" t="inlineStr">
        <is>
          <t>Date</t>
        </is>
      </c>
      <c r="C12" s="296" t="inlineStr">
        <is>
          <t>[MM/DD/YYYY]</t>
        </is>
      </c>
    </row>
    <row r="13" ht="15.75" customHeight="1" s="290">
      <c r="B13" s="295" t="inlineStr">
        <is>
          <t>Status</t>
        </is>
      </c>
      <c r="C13" s="296" t="inlineStr">
        <is>
          <t>Draft</t>
        </is>
      </c>
    </row>
    <row r="14" ht="15.75" customHeight="1" s="290">
      <c r="B14" s="297" t="inlineStr">
        <is>
          <t>Forecast Base Date</t>
        </is>
      </c>
      <c r="C14" s="296" t="inlineStr">
        <is>
          <t>Q1 2026</t>
        </is>
      </c>
    </row>
    <row r="15" ht="15.75" customHeight="1" s="290">
      <c r="B15" s="295" t="inlineStr">
        <is>
          <t>Historical Period</t>
        </is>
      </c>
      <c r="C15" s="296" t="inlineStr">
        <is>
          <t>2023A – 2025A</t>
        </is>
      </c>
    </row>
    <row r="16" ht="15.75" customHeight="1" s="290">
      <c r="B16" s="297" t="inlineStr">
        <is>
          <t>Forecast Period</t>
        </is>
      </c>
      <c r="C16" s="296" t="inlineStr">
        <is>
          <t>2026E – 2030E</t>
        </is>
      </c>
    </row>
    <row r="17" ht="7.5" customHeight="1" s="290"/>
    <row r="18" ht="18" customHeight="1" s="290">
      <c r="B18" s="298" t="inlineStr">
        <is>
          <t xml:space="preserve">  SCENARIO CONTROL</t>
        </is>
      </c>
    </row>
    <row r="19" ht="27.75" customHeight="1" s="290">
      <c r="B19" s="299" t="inlineStr">
        <is>
          <t>Active Scenario</t>
        </is>
      </c>
      <c r="C19" s="300" t="inlineStr">
        <is>
          <t>Base</t>
        </is>
      </c>
      <c r="D19" s="301" t="inlineStr">
        <is>
          <t>&lt;-- This cell drives all scenario-sensitive assumptions in Tabs 02 &amp; 03</t>
        </is>
      </c>
    </row>
    <row r="20" ht="15.75" customHeight="1" s="290">
      <c r="B20" s="295" t="inlineStr">
        <is>
          <t>Scenario Status</t>
        </is>
      </c>
      <c r="C20" s="302" t="inlineStr">
        <is>
          <t>[ PLACEHOLDER — conditional fmt: Green=Base, Yellow=Upside, Red=Downside ]</t>
        </is>
      </c>
    </row>
    <row r="21" ht="7.5" customHeight="1" s="290"/>
    <row r="22" ht="18" customHeight="1" s="290">
      <c r="B22" s="298" t="inlineStr">
        <is>
          <t xml:space="preserve">  MODEL INTEGRITY STATUS</t>
        </is>
      </c>
    </row>
    <row r="23" ht="21.75" customHeight="1" s="290">
      <c r="B23" s="303" t="inlineStr">
        <is>
          <t>Check Status</t>
        </is>
      </c>
      <c r="C23" s="304" t="inlineStr">
        <is>
          <t>[ PLACEHOLDER — Link to Tab 11 Checks, Cell B51 — Overall PASS/FAIL ]</t>
        </is>
      </c>
      <c r="D23" s="305" t="n"/>
      <c r="E23" s="305" t="n"/>
      <c r="F23" s="305" t="n"/>
      <c r="G23" s="305" t="n"/>
      <c r="H23" s="306" t="n"/>
    </row>
    <row r="24" ht="13.5" customHeight="1" s="290">
      <c r="C24" s="301" t="inlineStr">
        <is>
          <t>If any check fails this cell turns RED. See Tab 11 for full detail on all flags.</t>
        </is>
      </c>
    </row>
    <row r="25" ht="7.5" customHeight="1" s="290"/>
    <row r="26" ht="18" customHeight="1" s="290">
      <c r="B26" s="294" t="inlineStr">
        <is>
          <t xml:space="preserve">  TOP-LINE SUMMARY MIRROR   [ All cells = links from Tab 08 P&amp;L — placeholders shown ]</t>
        </is>
      </c>
    </row>
    <row r="27" ht="15.75" customHeight="1" s="290">
      <c r="B27" s="307" t="inlineStr">
        <is>
          <t>Metric</t>
        </is>
      </c>
      <c r="C27" s="308" t="inlineStr">
        <is>
          <t>Units</t>
        </is>
      </c>
      <c r="D27" s="308" t="inlineStr">
        <is>
          <t>2023A</t>
        </is>
      </c>
      <c r="E27" s="308" t="inlineStr">
        <is>
          <t>2024A</t>
        </is>
      </c>
      <c r="F27" s="308" t="inlineStr">
        <is>
          <t>2025A</t>
        </is>
      </c>
      <c r="G27" s="308" t="inlineStr">
        <is>
          <t>2026E</t>
        </is>
      </c>
      <c r="H27" s="308" t="inlineStr">
        <is>
          <t>2027E</t>
        </is>
      </c>
      <c r="I27" s="308" t="inlineStr">
        <is>
          <t>2028E</t>
        </is>
      </c>
      <c r="J27" s="308" t="inlineStr">
        <is>
          <t>2029E</t>
        </is>
      </c>
      <c r="K27" s="308" t="inlineStr">
        <is>
          <t>2030E</t>
        </is>
      </c>
    </row>
    <row r="28" ht="15" customHeight="1" s="290">
      <c r="B28" s="309" t="inlineStr">
        <is>
          <t>Total GCI</t>
        </is>
      </c>
      <c r="C28" s="310" t="inlineStr">
        <is>
          <t>$K</t>
        </is>
      </c>
      <c r="D28" s="311" t="inlineStr">
        <is>
          <t>[ Tab 08 ]</t>
        </is>
      </c>
      <c r="E28" s="311" t="inlineStr">
        <is>
          <t>[ Tab 08 ]</t>
        </is>
      </c>
      <c r="F28" s="311" t="inlineStr">
        <is>
          <t>[ Tab 08 ]</t>
        </is>
      </c>
      <c r="G28" s="311" t="inlineStr">
        <is>
          <t>[ Tab 08 ]</t>
        </is>
      </c>
      <c r="H28" s="311" t="inlineStr">
        <is>
          <t>[ Tab 08 ]</t>
        </is>
      </c>
      <c r="I28" s="311" t="inlineStr">
        <is>
          <t>[ Tab 08 ]</t>
        </is>
      </c>
      <c r="J28" s="311" t="inlineStr">
        <is>
          <t>[ Tab 08 ]</t>
        </is>
      </c>
      <c r="K28" s="311" t="inlineStr">
        <is>
          <t>[ Tab 08 ]</t>
        </is>
      </c>
    </row>
    <row r="29" ht="15" customHeight="1" s="290">
      <c r="B29" s="309" t="inlineStr">
        <is>
          <t xml:space="preserve">  Leasing GCI</t>
        </is>
      </c>
      <c r="C29" s="310" t="inlineStr">
        <is>
          <t>$K</t>
        </is>
      </c>
      <c r="D29" s="311" t="inlineStr">
        <is>
          <t>[ Tab 08 ]</t>
        </is>
      </c>
      <c r="E29" s="311" t="inlineStr">
        <is>
          <t>[ Tab 08 ]</t>
        </is>
      </c>
      <c r="F29" s="311" t="inlineStr">
        <is>
          <t>[ Tab 08 ]</t>
        </is>
      </c>
      <c r="G29" s="311" t="inlineStr">
        <is>
          <t>[ Tab 08 ]</t>
        </is>
      </c>
      <c r="H29" s="311" t="inlineStr">
        <is>
          <t>[ Tab 08 ]</t>
        </is>
      </c>
      <c r="I29" s="311" t="inlineStr">
        <is>
          <t>[ Tab 08 ]</t>
        </is>
      </c>
      <c r="J29" s="311" t="inlineStr">
        <is>
          <t>[ Tab 08 ]</t>
        </is>
      </c>
      <c r="K29" s="311" t="inlineStr">
        <is>
          <t>[ Tab 08 ]</t>
        </is>
      </c>
    </row>
    <row r="30" ht="15" customHeight="1" s="290">
      <c r="B30" s="309" t="inlineStr">
        <is>
          <t xml:space="preserve">  Investment Sales GCI</t>
        </is>
      </c>
      <c r="C30" s="310" t="inlineStr">
        <is>
          <t>$K</t>
        </is>
      </c>
      <c r="D30" s="311" t="inlineStr">
        <is>
          <t>[ Tab 08 ]</t>
        </is>
      </c>
      <c r="E30" s="311" t="inlineStr">
        <is>
          <t>[ Tab 08 ]</t>
        </is>
      </c>
      <c r="F30" s="311" t="inlineStr">
        <is>
          <t>[ Tab 08 ]</t>
        </is>
      </c>
      <c r="G30" s="311" t="inlineStr">
        <is>
          <t>[ Tab 08 ]</t>
        </is>
      </c>
      <c r="H30" s="311" t="inlineStr">
        <is>
          <t>[ Tab 08 ]</t>
        </is>
      </c>
      <c r="I30" s="311" t="inlineStr">
        <is>
          <t>[ Tab 08 ]</t>
        </is>
      </c>
      <c r="J30" s="311" t="inlineStr">
        <is>
          <t>[ Tab 08 ]</t>
        </is>
      </c>
      <c r="K30" s="311" t="inlineStr">
        <is>
          <t>[ Tab 08 ]</t>
        </is>
      </c>
    </row>
    <row r="31" ht="15" customHeight="1" s="290">
      <c r="B31" s="309" t="inlineStr">
        <is>
          <t xml:space="preserve">  D&amp;E Placement GCI</t>
        </is>
      </c>
      <c r="C31" s="310" t="inlineStr">
        <is>
          <t>$K</t>
        </is>
      </c>
      <c r="D31" s="311" t="inlineStr">
        <is>
          <t>[ Tab 08 ]</t>
        </is>
      </c>
      <c r="E31" s="311" t="inlineStr">
        <is>
          <t>[ Tab 08 ]</t>
        </is>
      </c>
      <c r="F31" s="311" t="inlineStr">
        <is>
          <t>[ Tab 08 ]</t>
        </is>
      </c>
      <c r="G31" s="311" t="inlineStr">
        <is>
          <t>[ Tab 08 ]</t>
        </is>
      </c>
      <c r="H31" s="311" t="inlineStr">
        <is>
          <t>[ Tab 08 ]</t>
        </is>
      </c>
      <c r="I31" s="311" t="inlineStr">
        <is>
          <t>[ Tab 08 ]</t>
        </is>
      </c>
      <c r="J31" s="311" t="inlineStr">
        <is>
          <t>[ Tab 08 ]</t>
        </is>
      </c>
      <c r="K31" s="311" t="inlineStr">
        <is>
          <t>[ Tab 08 ]</t>
        </is>
      </c>
    </row>
    <row r="32" ht="15" customHeight="1" s="290">
      <c r="B32" s="309" t="inlineStr">
        <is>
          <t xml:space="preserve">  Advisory Revenue</t>
        </is>
      </c>
      <c r="C32" s="310" t="inlineStr">
        <is>
          <t>$K</t>
        </is>
      </c>
      <c r="D32" s="311" t="inlineStr">
        <is>
          <t>[ Tab 08 ]</t>
        </is>
      </c>
      <c r="E32" s="311" t="inlineStr">
        <is>
          <t>[ Tab 08 ]</t>
        </is>
      </c>
      <c r="F32" s="311" t="inlineStr">
        <is>
          <t>[ Tab 08 ]</t>
        </is>
      </c>
      <c r="G32" s="311" t="inlineStr">
        <is>
          <t>[ Tab 08 ]</t>
        </is>
      </c>
      <c r="H32" s="311" t="inlineStr">
        <is>
          <t>[ Tab 08 ]</t>
        </is>
      </c>
      <c r="I32" s="311" t="inlineStr">
        <is>
          <t>[ Tab 08 ]</t>
        </is>
      </c>
      <c r="J32" s="311" t="inlineStr">
        <is>
          <t>[ Tab 08 ]</t>
        </is>
      </c>
      <c r="K32" s="311" t="inlineStr">
        <is>
          <t>[ Tab 08 ]</t>
        </is>
      </c>
    </row>
    <row r="33" ht="15" customHeight="1" s="290">
      <c r="B33" s="309" t="inlineStr">
        <is>
          <t>Producer Payouts</t>
        </is>
      </c>
      <c r="C33" s="310" t="inlineStr">
        <is>
          <t>$K</t>
        </is>
      </c>
      <c r="D33" s="311" t="inlineStr">
        <is>
          <t>[ Tab 08 ]</t>
        </is>
      </c>
      <c r="E33" s="311" t="inlineStr">
        <is>
          <t>[ Tab 08 ]</t>
        </is>
      </c>
      <c r="F33" s="311" t="inlineStr">
        <is>
          <t>[ Tab 08 ]</t>
        </is>
      </c>
      <c r="G33" s="311" t="inlineStr">
        <is>
          <t>[ Tab 08 ]</t>
        </is>
      </c>
      <c r="H33" s="311" t="inlineStr">
        <is>
          <t>[ Tab 08 ]</t>
        </is>
      </c>
      <c r="I33" s="311" t="inlineStr">
        <is>
          <t>[ Tab 08 ]</t>
        </is>
      </c>
      <c r="J33" s="311" t="inlineStr">
        <is>
          <t>[ Tab 08 ]</t>
        </is>
      </c>
      <c r="K33" s="311" t="inlineStr">
        <is>
          <t>[ Tab 08 ]</t>
        </is>
      </c>
    </row>
    <row r="34" ht="15" customHeight="1" s="290">
      <c r="B34" s="312" t="inlineStr">
        <is>
          <t>Company Dollar</t>
        </is>
      </c>
      <c r="C34" s="310" t="inlineStr">
        <is>
          <t>$K</t>
        </is>
      </c>
      <c r="D34" s="313" t="inlineStr">
        <is>
          <t>[ Tab 08 ]</t>
        </is>
      </c>
      <c r="E34" s="313" t="inlineStr">
        <is>
          <t>[ Tab 08 ]</t>
        </is>
      </c>
      <c r="F34" s="313" t="inlineStr">
        <is>
          <t>[ Tab 08 ]</t>
        </is>
      </c>
      <c r="G34" s="313" t="inlineStr">
        <is>
          <t>[ Tab 08 ]</t>
        </is>
      </c>
      <c r="H34" s="313" t="inlineStr">
        <is>
          <t>[ Tab 08 ]</t>
        </is>
      </c>
      <c r="I34" s="313" t="inlineStr">
        <is>
          <t>[ Tab 08 ]</t>
        </is>
      </c>
      <c r="J34" s="313" t="inlineStr">
        <is>
          <t>[ Tab 08 ]</t>
        </is>
      </c>
      <c r="K34" s="313" t="inlineStr">
        <is>
          <t>[ Tab 08 ]</t>
        </is>
      </c>
    </row>
    <row r="35" ht="15" customHeight="1" s="290">
      <c r="B35" s="312" t="inlineStr">
        <is>
          <t>Company Dollar Margin %</t>
        </is>
      </c>
      <c r="C35" s="310" t="inlineStr">
        <is>
          <t>%</t>
        </is>
      </c>
      <c r="D35" s="313" t="inlineStr">
        <is>
          <t>[ Tab 08 ]</t>
        </is>
      </c>
      <c r="E35" s="313" t="inlineStr">
        <is>
          <t>[ Tab 08 ]</t>
        </is>
      </c>
      <c r="F35" s="313" t="inlineStr">
        <is>
          <t>[ Tab 08 ]</t>
        </is>
      </c>
      <c r="G35" s="313" t="inlineStr">
        <is>
          <t>[ Tab 08 ]</t>
        </is>
      </c>
      <c r="H35" s="313" t="inlineStr">
        <is>
          <t>[ Tab 08 ]</t>
        </is>
      </c>
      <c r="I35" s="313" t="inlineStr">
        <is>
          <t>[ Tab 08 ]</t>
        </is>
      </c>
      <c r="J35" s="313" t="inlineStr">
        <is>
          <t>[ Tab 08 ]</t>
        </is>
      </c>
      <c r="K35" s="313" t="inlineStr">
        <is>
          <t>[ Tab 08 ]</t>
        </is>
      </c>
    </row>
    <row r="36" ht="15" customHeight="1" s="290">
      <c r="B36" s="309" t="inlineStr">
        <is>
          <t>Total Operating Expenses</t>
        </is>
      </c>
      <c r="C36" s="310" t="inlineStr">
        <is>
          <t>$K</t>
        </is>
      </c>
      <c r="D36" s="311" t="inlineStr">
        <is>
          <t>[ Tab 08 ]</t>
        </is>
      </c>
      <c r="E36" s="311" t="inlineStr">
        <is>
          <t>[ Tab 08 ]</t>
        </is>
      </c>
      <c r="F36" s="311" t="inlineStr">
        <is>
          <t>[ Tab 08 ]</t>
        </is>
      </c>
      <c r="G36" s="311" t="inlineStr">
        <is>
          <t>[ Tab 08 ]</t>
        </is>
      </c>
      <c r="H36" s="311" t="inlineStr">
        <is>
          <t>[ Tab 08 ]</t>
        </is>
      </c>
      <c r="I36" s="311" t="inlineStr">
        <is>
          <t>[ Tab 08 ]</t>
        </is>
      </c>
      <c r="J36" s="311" t="inlineStr">
        <is>
          <t>[ Tab 08 ]</t>
        </is>
      </c>
      <c r="K36" s="311" t="inlineStr">
        <is>
          <t>[ Tab 08 ]</t>
        </is>
      </c>
    </row>
    <row r="37" ht="15" customHeight="1" s="290">
      <c r="B37" s="312" t="inlineStr">
        <is>
          <t>EBITDA</t>
        </is>
      </c>
      <c r="C37" s="310" t="inlineStr">
        <is>
          <t>$K</t>
        </is>
      </c>
      <c r="D37" s="313" t="inlineStr">
        <is>
          <t>[ Tab 08 ]</t>
        </is>
      </c>
      <c r="E37" s="313" t="inlineStr">
        <is>
          <t>[ Tab 08 ]</t>
        </is>
      </c>
      <c r="F37" s="313" t="inlineStr">
        <is>
          <t>[ Tab 08 ]</t>
        </is>
      </c>
      <c r="G37" s="313" t="inlineStr">
        <is>
          <t>[ Tab 08 ]</t>
        </is>
      </c>
      <c r="H37" s="313" t="inlineStr">
        <is>
          <t>[ Tab 08 ]</t>
        </is>
      </c>
      <c r="I37" s="313" t="inlineStr">
        <is>
          <t>[ Tab 08 ]</t>
        </is>
      </c>
      <c r="J37" s="313" t="inlineStr">
        <is>
          <t>[ Tab 08 ]</t>
        </is>
      </c>
      <c r="K37" s="313" t="inlineStr">
        <is>
          <t>[ Tab 08 ]</t>
        </is>
      </c>
    </row>
    <row r="38" ht="15" customHeight="1" s="290">
      <c r="B38" s="312" t="inlineStr">
        <is>
          <t>EBITDA Margin on GCI %</t>
        </is>
      </c>
      <c r="C38" s="310" t="inlineStr">
        <is>
          <t>%</t>
        </is>
      </c>
      <c r="D38" s="313" t="inlineStr">
        <is>
          <t>[ Tab 08 ]</t>
        </is>
      </c>
      <c r="E38" s="313" t="inlineStr">
        <is>
          <t>[ Tab 08 ]</t>
        </is>
      </c>
      <c r="F38" s="313" t="inlineStr">
        <is>
          <t>[ Tab 08 ]</t>
        </is>
      </c>
      <c r="G38" s="313" t="inlineStr">
        <is>
          <t>[ Tab 08 ]</t>
        </is>
      </c>
      <c r="H38" s="313" t="inlineStr">
        <is>
          <t>[ Tab 08 ]</t>
        </is>
      </c>
      <c r="I38" s="313" t="inlineStr">
        <is>
          <t>[ Tab 08 ]</t>
        </is>
      </c>
      <c r="J38" s="313" t="inlineStr">
        <is>
          <t>[ Tab 08 ]</t>
        </is>
      </c>
      <c r="K38" s="313" t="inlineStr">
        <is>
          <t>[ Tab 08 ]</t>
        </is>
      </c>
    </row>
    <row r="39" ht="15" customHeight="1" s="290">
      <c r="B39" s="309" t="inlineStr">
        <is>
          <t>Total EPEs (Firm)</t>
        </is>
      </c>
      <c r="C39" s="310" t="inlineStr">
        <is>
          <t>#</t>
        </is>
      </c>
      <c r="D39" s="311" t="inlineStr">
        <is>
          <t>[ Tab 08 ]</t>
        </is>
      </c>
      <c r="E39" s="311" t="inlineStr">
        <is>
          <t>[ Tab 08 ]</t>
        </is>
      </c>
      <c r="F39" s="311" t="inlineStr">
        <is>
          <t>[ Tab 08 ]</t>
        </is>
      </c>
      <c r="G39" s="311" t="inlineStr">
        <is>
          <t>[ Tab 08 ]</t>
        </is>
      </c>
      <c r="H39" s="311" t="inlineStr">
        <is>
          <t>[ Tab 08 ]</t>
        </is>
      </c>
      <c r="I39" s="311" t="inlineStr">
        <is>
          <t>[ Tab 08 ]</t>
        </is>
      </c>
      <c r="J39" s="311" t="inlineStr">
        <is>
          <t>[ Tab 08 ]</t>
        </is>
      </c>
      <c r="K39" s="311" t="inlineStr">
        <is>
          <t>[ Tab 08 ]</t>
        </is>
      </c>
    </row>
    <row r="40" ht="15" customHeight="1" s="290">
      <c r="B40" s="309" t="inlineStr">
        <is>
          <t>Effective Payout Ratio</t>
        </is>
      </c>
      <c r="C40" s="310" t="inlineStr">
        <is>
          <t>%</t>
        </is>
      </c>
      <c r="D40" s="311" t="inlineStr">
        <is>
          <t>[ Tab 08 ]</t>
        </is>
      </c>
      <c r="E40" s="311" t="inlineStr">
        <is>
          <t>[ Tab 08 ]</t>
        </is>
      </c>
      <c r="F40" s="311" t="inlineStr">
        <is>
          <t>[ Tab 08 ]</t>
        </is>
      </c>
      <c r="G40" s="311" t="inlineStr">
        <is>
          <t>[ Tab 08 ]</t>
        </is>
      </c>
      <c r="H40" s="311" t="inlineStr">
        <is>
          <t>[ Tab 08 ]</t>
        </is>
      </c>
      <c r="I40" s="311" t="inlineStr">
        <is>
          <t>[ Tab 08 ]</t>
        </is>
      </c>
      <c r="J40" s="311" t="inlineStr">
        <is>
          <t>[ Tab 08 ]</t>
        </is>
      </c>
      <c r="K40" s="311" t="inlineStr">
        <is>
          <t>[ Tab 08 ]</t>
        </is>
      </c>
    </row>
    <row r="41" ht="7.5" customHeight="1" s="290"/>
    <row r="42" ht="18" customHeight="1" s="290">
      <c r="B42" s="298" t="inlineStr">
        <is>
          <t xml:space="preserve">  TAB DIRECTORY</t>
        </is>
      </c>
    </row>
    <row r="43" ht="15.75" customHeight="1" s="290">
      <c r="B43" s="308" t="inlineStr">
        <is>
          <t>Tab #</t>
        </is>
      </c>
      <c r="C43" s="308" t="inlineStr">
        <is>
          <t>Tab Name</t>
        </is>
      </c>
      <c r="E43" s="308" t="inlineStr">
        <is>
          <t>Type</t>
        </is>
      </c>
      <c r="F43" s="308" t="inlineStr">
        <is>
          <t>Purpose (one line)</t>
        </is>
      </c>
    </row>
    <row r="44" ht="15.75" customHeight="1" s="290">
      <c r="B44" s="314" t="inlineStr">
        <is>
          <t>01</t>
        </is>
      </c>
      <c r="C44" s="315" t="inlineStr">
        <is>
          <t>Cover &amp; Control</t>
        </is>
      </c>
      <c r="D44" s="316" t="n"/>
      <c r="E44" s="317" t="inlineStr">
        <is>
          <t>Input / Nav</t>
        </is>
      </c>
      <c r="F44" s="318" t="inlineStr">
        <is>
          <t>Model identity, scenario selector, summary mirror, tab directory, color legend.</t>
        </is>
      </c>
      <c r="G44" s="316" t="n"/>
      <c r="H44" s="316" t="n"/>
      <c r="I44" s="316" t="n"/>
      <c r="J44" s="316" t="n"/>
      <c r="K44" s="316" t="n"/>
      <c r="L44" s="316" t="n"/>
    </row>
    <row r="45" ht="15.75" customHeight="1" s="290">
      <c r="B45" s="319" t="inlineStr">
        <is>
          <t>02</t>
        </is>
      </c>
      <c r="C45" s="320" t="inlineStr">
        <is>
          <t>Market Assumptions</t>
        </is>
      </c>
      <c r="D45" s="316" t="n"/>
      <c r="E45" s="317" t="inlineStr">
        <is>
          <t>Input</t>
        </is>
      </c>
      <c r="F45" s="321" t="inlineStr">
        <is>
          <t>Exogenous market drivers: IS volume, leasing volume, originations, fee rates, macro context.</t>
        </is>
      </c>
      <c r="G45" s="316" t="n"/>
      <c r="H45" s="316" t="n"/>
      <c r="I45" s="316" t="n"/>
      <c r="J45" s="316" t="n"/>
      <c r="K45" s="316" t="n"/>
      <c r="L45" s="316" t="n"/>
    </row>
    <row r="46" ht="15.75" customHeight="1" s="290">
      <c r="B46" s="314" t="inlineStr">
        <is>
          <t>03</t>
        </is>
      </c>
      <c r="C46" s="315" t="inlineStr">
        <is>
          <t>Operational Assumptions</t>
        </is>
      </c>
      <c r="D46" s="316" t="n"/>
      <c r="E46" s="317" t="inlineStr">
        <is>
          <t>Input</t>
        </is>
      </c>
      <c r="F46" s="318" t="inlineStr">
        <is>
          <t>Firm-controlled drivers: headcount plan, productivity, comp structure, opex drivers.</t>
        </is>
      </c>
      <c r="G46" s="316" t="n"/>
      <c r="H46" s="316" t="n"/>
      <c r="I46" s="316" t="n"/>
      <c r="J46" s="316" t="n"/>
      <c r="K46" s="316" t="n"/>
      <c r="L46" s="316" t="n"/>
    </row>
    <row r="47" ht="15.75" customHeight="1" s="290">
      <c r="B47" s="319" t="inlineStr">
        <is>
          <t>04</t>
        </is>
      </c>
      <c r="C47" s="320" t="inlineStr">
        <is>
          <t>Producer Engine</t>
        </is>
      </c>
      <c r="D47" s="316" t="n"/>
      <c r="E47" s="322" t="inlineStr">
        <is>
          <t>Engine</t>
        </is>
      </c>
      <c r="F47" s="321" t="inlineStr">
        <is>
          <t>Headcount roll-forward → ramp-adjusted EPEs → book loss GCI drag by line and tier.</t>
        </is>
      </c>
      <c r="G47" s="316" t="n"/>
      <c r="H47" s="316" t="n"/>
      <c r="I47" s="316" t="n"/>
      <c r="J47" s="316" t="n"/>
      <c r="K47" s="316" t="n"/>
      <c r="L47" s="316" t="n"/>
    </row>
    <row r="48" ht="15.75" customHeight="1" s="290">
      <c r="B48" s="314" t="inlineStr">
        <is>
          <t>05</t>
        </is>
      </c>
      <c r="C48" s="315" t="inlineStr">
        <is>
          <t>Revenue Engine</t>
        </is>
      </c>
      <c r="D48" s="316" t="n"/>
      <c r="E48" s="322" t="inlineStr">
        <is>
          <t>Engine</t>
        </is>
      </c>
      <c r="F48" s="318" t="inlineStr">
        <is>
          <t>GCI build for Leasing, IS, D&amp;E, and Advisory; revenue bridge; market-share diagnostic.</t>
        </is>
      </c>
      <c r="G48" s="316" t="n"/>
      <c r="H48" s="316" t="n"/>
      <c r="I48" s="316" t="n"/>
      <c r="J48" s="316" t="n"/>
      <c r="K48" s="316" t="n"/>
      <c r="L48" s="316" t="n"/>
    </row>
    <row r="49" ht="15.75" customHeight="1" s="290">
      <c r="B49" s="319" t="inlineStr">
        <is>
          <t>06</t>
        </is>
      </c>
      <c r="C49" s="320" t="inlineStr">
        <is>
          <t>Compensation Engine</t>
        </is>
      </c>
      <c r="D49" s="316" t="n"/>
      <c r="E49" s="322" t="inlineStr">
        <is>
          <t>Engine</t>
        </is>
      </c>
      <c r="F49" s="321" t="inlineStr">
        <is>
          <t>Tiered splits → producer payouts → Company Dollar; Advisory &amp; support comp; bonus pool.</t>
        </is>
      </c>
      <c r="G49" s="316" t="n"/>
      <c r="H49" s="316" t="n"/>
      <c r="I49" s="316" t="n"/>
      <c r="J49" s="316" t="n"/>
      <c r="K49" s="316" t="n"/>
      <c r="L49" s="316" t="n"/>
    </row>
    <row r="50" ht="15.75" customHeight="1" s="290">
      <c r="B50" s="314" t="inlineStr">
        <is>
          <t>07</t>
        </is>
      </c>
      <c r="C50" s="315" t="inlineStr">
        <is>
          <t>Opex Engine</t>
        </is>
      </c>
      <c r="D50" s="316" t="n"/>
      <c r="E50" s="322" t="inlineStr">
        <is>
          <t>Engine</t>
        </is>
      </c>
      <c r="F50" s="318" t="inlineStr">
        <is>
          <t>Driver-based opex: fixed costs, variable costs, D&amp;A — linked to headcount and deal counts.</t>
        </is>
      </c>
      <c r="G50" s="316" t="n"/>
      <c r="H50" s="316" t="n"/>
      <c r="I50" s="316" t="n"/>
      <c r="J50" s="316" t="n"/>
      <c r="K50" s="316" t="n"/>
      <c r="L50" s="316" t="n"/>
    </row>
    <row r="51" ht="15.75" customHeight="1" s="290">
      <c r="B51" s="319" t="inlineStr">
        <is>
          <t>08</t>
        </is>
      </c>
      <c r="C51" s="320" t="inlineStr">
        <is>
          <t>P&amp;L</t>
        </is>
      </c>
      <c r="D51" s="316" t="n"/>
      <c r="E51" s="323" t="inlineStr">
        <is>
          <t>Output</t>
        </is>
      </c>
      <c r="F51" s="321" t="inlineStr">
        <is>
          <t>Brokerage waterfall: GCI → Producer Payouts → Company Dollar → Opex → EBITDA.</t>
        </is>
      </c>
      <c r="G51" s="316" t="n"/>
      <c r="H51" s="316" t="n"/>
      <c r="I51" s="316" t="n"/>
      <c r="J51" s="316" t="n"/>
      <c r="K51" s="316" t="n"/>
      <c r="L51" s="316" t="n"/>
    </row>
    <row r="52" ht="15.75" customHeight="1" s="290">
      <c r="B52" s="314" t="inlineStr">
        <is>
          <t>09</t>
        </is>
      </c>
      <c r="C52" s="315" t="inlineStr">
        <is>
          <t>Scenario Analysis</t>
        </is>
      </c>
      <c r="D52" s="316" t="n"/>
      <c r="E52" s="323" t="inlineStr">
        <is>
          <t>Output</t>
        </is>
      </c>
      <c r="F52" s="318" t="inlineStr">
        <is>
          <t>Base / Upside / Downside comparison; key assumption spread; EBITDA bridge by driver.</t>
        </is>
      </c>
      <c r="G52" s="316" t="n"/>
      <c r="H52" s="316" t="n"/>
      <c r="I52" s="316" t="n"/>
      <c r="J52" s="316" t="n"/>
      <c r="K52" s="316" t="n"/>
      <c r="L52" s="316" t="n"/>
    </row>
    <row r="53" ht="15.75" customHeight="1" s="290">
      <c r="B53" s="319" t="inlineStr">
        <is>
          <t>10</t>
        </is>
      </c>
      <c r="C53" s="320" t="inlineStr">
        <is>
          <t>Dashboard</t>
        </is>
      </c>
      <c r="D53" s="316" t="n"/>
      <c r="E53" s="323" t="inlineStr">
        <is>
          <t>Output</t>
        </is>
      </c>
      <c r="F53" s="321" t="inlineStr">
        <is>
          <t>Executive visual summary: KPI scorecard, 6 charts, KPI table — all linked, no calculations.</t>
        </is>
      </c>
      <c r="G53" s="316" t="n"/>
      <c r="H53" s="316" t="n"/>
      <c r="I53" s="316" t="n"/>
      <c r="J53" s="316" t="n"/>
      <c r="K53" s="316" t="n"/>
      <c r="L53" s="316" t="n"/>
    </row>
    <row r="54" ht="15.75" customHeight="1" s="290">
      <c r="B54" s="314" t="inlineStr">
        <is>
          <t>11</t>
        </is>
      </c>
      <c r="C54" s="315" t="inlineStr">
        <is>
          <t>Checks</t>
        </is>
      </c>
      <c r="D54" s="316" t="n"/>
      <c r="E54" s="324" t="inlineStr">
        <is>
          <t>Control</t>
        </is>
      </c>
      <c r="F54" s="318" t="inlineStr">
        <is>
          <t>Pass/fail integrity checks: structural, ratio, bridge, and market-share governor flags.</t>
        </is>
      </c>
      <c r="G54" s="316" t="n"/>
      <c r="H54" s="316" t="n"/>
      <c r="I54" s="316" t="n"/>
      <c r="J54" s="316" t="n"/>
      <c r="K54" s="316" t="n"/>
      <c r="L54" s="316" t="n"/>
    </row>
    <row r="55" ht="7.5" customHeight="1" s="290"/>
    <row r="56" ht="18" customHeight="1" s="290">
      <c r="B56" s="298" t="inlineStr">
        <is>
          <t xml:space="preserve">  COLOR CONVENTION LEGEND</t>
        </is>
      </c>
    </row>
    <row r="57" ht="15" customHeight="1" s="290">
      <c r="B57" s="308" t="inlineStr">
        <is>
          <t>Sample</t>
        </is>
      </c>
      <c r="C57" s="308" t="inlineStr">
        <is>
          <t>Cell Type</t>
        </is>
      </c>
      <c r="E57" s="308" t="inlineStr">
        <is>
          <t>Meaning</t>
        </is>
      </c>
    </row>
    <row r="58" ht="15.75" customHeight="1" s="290">
      <c r="B58" s="325" t="inlineStr">
        <is>
          <t>Input (Blue)</t>
        </is>
      </c>
      <c r="C58" s="315" t="inlineStr">
        <is>
          <t>Input (Blue)</t>
        </is>
      </c>
      <c r="D58" s="316" t="n"/>
      <c r="E58" s="318" t="inlineStr">
        <is>
          <t>Hardcoded input — analyst types value directly. Never referenced across tabs as a live calc.</t>
        </is>
      </c>
      <c r="F58" s="316" t="n"/>
      <c r="G58" s="316" t="n"/>
      <c r="H58" s="316" t="n"/>
      <c r="I58" s="316" t="n"/>
      <c r="J58" s="316" t="n"/>
      <c r="K58" s="316" t="n"/>
      <c r="L58" s="316" t="n"/>
    </row>
    <row r="59" ht="15.75" customHeight="1" s="290">
      <c r="B59" s="319" t="inlineStr">
        <is>
          <t>Calculation (Black)</t>
        </is>
      </c>
      <c r="C59" s="320" t="inlineStr">
        <is>
          <t>Calculation (Black)</t>
        </is>
      </c>
      <c r="D59" s="316" t="n"/>
      <c r="E59" s="321" t="inlineStr">
        <is>
          <t>Formula derived from cells in the same tab. No hardcoded values inside formulas.</t>
        </is>
      </c>
      <c r="F59" s="316" t="n"/>
      <c r="G59" s="316" t="n"/>
      <c r="H59" s="316" t="n"/>
      <c r="I59" s="316" t="n"/>
      <c r="J59" s="316" t="n"/>
      <c r="K59" s="316" t="n"/>
      <c r="L59" s="316" t="n"/>
    </row>
    <row r="60" ht="15.75" customHeight="1" s="290">
      <c r="B60" s="313" t="inlineStr">
        <is>
          <t>Link (Green)</t>
        </is>
      </c>
      <c r="C60" s="315" t="inlineStr">
        <is>
          <t>Link (Green)</t>
        </is>
      </c>
      <c r="D60" s="316" t="n"/>
      <c r="E60" s="318" t="inlineStr">
        <is>
          <t>Hard link pulling data from another tab. Always = 'TabName'!CellRef — no intermediaries.</t>
        </is>
      </c>
      <c r="F60" s="316" t="n"/>
      <c r="G60" s="316" t="n"/>
      <c r="H60" s="316" t="n"/>
      <c r="I60" s="316" t="n"/>
      <c r="J60" s="316" t="n"/>
      <c r="K60" s="316" t="n"/>
      <c r="L60" s="316" t="n"/>
    </row>
    <row r="61" ht="15.75" customHeight="1" s="290">
      <c r="B61" s="326" t="inlineStr">
        <is>
          <t>Error / Fail (Red)</t>
        </is>
      </c>
      <c r="C61" s="320" t="inlineStr">
        <is>
          <t>Error / Fail (Red)</t>
        </is>
      </c>
      <c r="D61" s="316" t="n"/>
      <c r="E61" s="321" t="inlineStr">
        <is>
          <t>Formula error (#REF!, #DIV/0!) or a Checks tab flag returning FAIL. Investigate immediately.</t>
        </is>
      </c>
      <c r="F61" s="316" t="n"/>
      <c r="G61" s="316" t="n"/>
      <c r="H61" s="316" t="n"/>
      <c r="I61" s="316" t="n"/>
      <c r="J61" s="316" t="n"/>
      <c r="K61" s="316" t="n"/>
      <c r="L61" s="316" t="n"/>
    </row>
    <row r="62" ht="15.75" customHeight="1" s="290">
      <c r="B62" s="327" t="inlineStr">
        <is>
          <t>Label (Grey)</t>
        </is>
      </c>
      <c r="C62" s="315" t="inlineStr">
        <is>
          <t>Label (Grey)</t>
        </is>
      </c>
      <c r="D62" s="316" t="n"/>
      <c r="E62" s="318" t="inlineStr">
        <is>
          <t>Section header or structural label. Non-data cell — no values, no formulas, never linked.</t>
        </is>
      </c>
      <c r="F62" s="316" t="n"/>
      <c r="G62" s="316" t="n"/>
      <c r="H62" s="316" t="n"/>
      <c r="I62" s="316" t="n"/>
      <c r="J62" s="316" t="n"/>
      <c r="K62" s="316" t="n"/>
      <c r="L62" s="316" t="n"/>
    </row>
    <row r="63" ht="7.5" customHeight="1" s="290"/>
    <row r="64" ht="18" customHeight="1" s="290">
      <c r="B64" s="298" t="inlineStr">
        <is>
          <t xml:space="preserve">  MODEL NOTES &amp; LIMITATIONS</t>
        </is>
      </c>
    </row>
    <row r="65" ht="13.5" customHeight="1" s="290">
      <c r="B65" s="328" t="inlineStr">
        <is>
          <t>Purpose</t>
        </is>
      </c>
    </row>
    <row r="66" ht="30" customHeight="1" s="290">
      <c r="B66" s="329" t="inlineStr">
        <is>
          <t>Portfolio-grade, driver-based operating model for Apex CRE Advisors (fictional). Demonstrates brokerage revenue economics, producer productivity (EPE), Company Dollar logic, driver-based opex, EBITDA forecasting, and scenario analysis.</t>
        </is>
      </c>
      <c r="C66" s="316" t="n"/>
      <c r="D66" s="316" t="n"/>
      <c r="E66" s="316" t="n"/>
      <c r="F66" s="316" t="n"/>
      <c r="G66" s="316" t="n"/>
      <c r="H66" s="316" t="n"/>
      <c r="I66" s="316" t="n"/>
      <c r="J66" s="316" t="n"/>
      <c r="K66" s="316" t="n"/>
      <c r="L66" s="316" t="n"/>
    </row>
    <row r="67" ht="13.5" customHeight="1" s="290">
      <c r="B67" s="328" t="inlineStr">
        <is>
          <t>What This Model Is NOT</t>
        </is>
      </c>
    </row>
    <row r="68" ht="30" customHeight="1" s="290">
      <c r="B68" s="329" t="inlineStr">
        <is>
          <t>Not a DCF. Not a valuation model. Not an M&amp;A model. Does not produce intrinsic value or a transaction price. This is a business forecasting and FP&amp;A planning tool.</t>
        </is>
      </c>
      <c r="C68" s="316" t="n"/>
      <c r="D68" s="316" t="n"/>
      <c r="E68" s="316" t="n"/>
      <c r="F68" s="316" t="n"/>
      <c r="G68" s="316" t="n"/>
      <c r="H68" s="316" t="n"/>
      <c r="I68" s="316" t="n"/>
      <c r="J68" s="316" t="n"/>
      <c r="K68" s="316" t="n"/>
      <c r="L68" s="316" t="n"/>
    </row>
    <row r="69" ht="13.5" customHeight="1" s="290">
      <c r="B69" s="328" t="inlineStr">
        <is>
          <t>Assumptions &amp; Benchmarks</t>
        </is>
      </c>
    </row>
    <row r="70" ht="30" customHeight="1" s="290">
      <c r="B70" s="329" t="inlineStr">
        <is>
          <t>Assumptions are illustrative and benchmarked against public CRE company disclosures (Marcus &amp; Millichap 10-K, CBRE, JLL, Newmark, Colliers) and industry data (MSCI/RCA, MBA Originations Survey, CBRE MarketView). No real company financials used.</t>
        </is>
      </c>
      <c r="C70" s="316" t="n"/>
      <c r="D70" s="316" t="n"/>
      <c r="E70" s="316" t="n"/>
      <c r="F70" s="316" t="n"/>
      <c r="G70" s="316" t="n"/>
      <c r="H70" s="316" t="n"/>
      <c r="I70" s="316" t="n"/>
      <c r="J70" s="316" t="n"/>
      <c r="K70" s="316" t="n"/>
      <c r="L70" s="316" t="n"/>
    </row>
    <row r="71" ht="13.5" customHeight="1" s="290">
      <c r="B71" s="328" t="inlineStr">
        <is>
          <t>Scenario Design</t>
        </is>
      </c>
    </row>
    <row r="72" ht="30" customHeight="1" s="290">
      <c r="B72" s="329" t="inlineStr">
        <is>
          <t>Base / Upside / Downside are internally consistent, correlated-driver scenarios — not single-variable flexes. Downside moves volume, fee rates, attrition, ramp, and pull-through together. Advisory provides a partial countercyclical buffer in all scenarios.</t>
        </is>
      </c>
      <c r="C72" s="316" t="n"/>
      <c r="D72" s="316" t="n"/>
      <c r="E72" s="316" t="n"/>
      <c r="F72" s="316" t="n"/>
      <c r="G72" s="316" t="n"/>
      <c r="H72" s="316" t="n"/>
      <c r="I72" s="316" t="n"/>
      <c r="J72" s="316" t="n"/>
      <c r="K72" s="316" t="n"/>
      <c r="L72" s="316" t="n"/>
    </row>
    <row r="73" ht="13.5" customHeight="1" s="290">
      <c r="B73" s="328" t="inlineStr">
        <is>
          <t>V1 Simplifications (V2 Backlog)</t>
        </is>
      </c>
    </row>
    <row r="74" ht="30" customHeight="1" s="290">
      <c r="B74" s="329" t="inlineStr">
        <is>
          <t>V1 omits: full cash flow / working capital, cohort-level producer tracking, draw recovery schedules, deferred comp, step-fixed office expansion, and two-way sensitivity tables. EPE formula: EPE = Beginning HC + (Hires × Ramp Factor) − Attrition.</t>
        </is>
      </c>
      <c r="C74" s="316" t="n"/>
      <c r="D74" s="316" t="n"/>
      <c r="E74" s="316" t="n"/>
      <c r="F74" s="316" t="n"/>
      <c r="G74" s="316" t="n"/>
      <c r="H74" s="316" t="n"/>
      <c r="I74" s="316" t="n"/>
      <c r="J74" s="316" t="n"/>
      <c r="K74" s="316" t="n"/>
      <c r="L74" s="316" t="n"/>
    </row>
    <row r="76" ht="3.75" customHeight="1" s="290">
      <c r="B76" s="293" t="n"/>
    </row>
    <row r="77" ht="6" customHeight="1" s="290"/>
  </sheetData>
  <mergeCells count="56">
    <mergeCell ref="B4:L4"/>
    <mergeCell ref="F46:L46"/>
    <mergeCell ref="B26:L26"/>
    <mergeCell ref="E58:L58"/>
    <mergeCell ref="C62:D62"/>
    <mergeCell ref="F52:L52"/>
    <mergeCell ref="B72:L72"/>
    <mergeCell ref="F43:L43"/>
    <mergeCell ref="C58:D58"/>
    <mergeCell ref="E62:L62"/>
    <mergeCell ref="C45:D45"/>
    <mergeCell ref="F48:L48"/>
    <mergeCell ref="B66:L66"/>
    <mergeCell ref="B56:L56"/>
    <mergeCell ref="F49:L49"/>
    <mergeCell ref="C47:D47"/>
    <mergeCell ref="C54:D54"/>
    <mergeCell ref="B70:L70"/>
    <mergeCell ref="F44:L44"/>
    <mergeCell ref="F53:L53"/>
    <mergeCell ref="C23:H23"/>
    <mergeCell ref="C50:D50"/>
    <mergeCell ref="C44:D44"/>
    <mergeCell ref="B42:L42"/>
    <mergeCell ref="F54:L54"/>
    <mergeCell ref="C24:L24"/>
    <mergeCell ref="E60:L60"/>
    <mergeCell ref="C59:D59"/>
    <mergeCell ref="C43:D43"/>
    <mergeCell ref="C46:D46"/>
    <mergeCell ref="C60:D60"/>
    <mergeCell ref="E59:L59"/>
    <mergeCell ref="C51:D51"/>
    <mergeCell ref="C61:D61"/>
    <mergeCell ref="C52:D52"/>
    <mergeCell ref="C48:D48"/>
    <mergeCell ref="F51:L51"/>
    <mergeCell ref="E61:L61"/>
    <mergeCell ref="F45:L45"/>
    <mergeCell ref="E57:L57"/>
    <mergeCell ref="D19:L19"/>
    <mergeCell ref="B8:E8"/>
    <mergeCell ref="F50:L50"/>
    <mergeCell ref="B6:L6"/>
    <mergeCell ref="B22:G22"/>
    <mergeCell ref="B68:L68"/>
    <mergeCell ref="B64:L64"/>
    <mergeCell ref="B74:L74"/>
    <mergeCell ref="C57:D57"/>
    <mergeCell ref="B5:L5"/>
    <mergeCell ref="F47:L47"/>
    <mergeCell ref="B18:G18"/>
    <mergeCell ref="C20:H20"/>
    <mergeCell ref="C53:D53"/>
    <mergeCell ref="B76:L76"/>
    <mergeCell ref="C49:D49"/>
  </mergeCells>
  <dataValidations count="1">
    <dataValidation sqref="C19" showDropDown="0" showInputMessage="0" showErrorMessage="0" allowBlank="0" promptTitle="Scenario Selector" prompt="Select scenario: Base, Upside, or Downside" type="list" errorStyle="stop" operator="between">
      <formula1>"Base,Upside,Downside"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4472C4"/>
    <outlinePr summaryBelow="1" summaryRight="1"/>
    <pageSetUpPr fitToPage="1"/>
  </sheetPr>
  <dimension ref="A1:AR18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2" customWidth="1" style="289" min="1" max="1"/>
    <col width="32" customWidth="1" style="289" min="2" max="2"/>
    <col width="10" customWidth="1" style="289" min="3" max="3"/>
    <col width="24" customWidth="1" style="289" min="4" max="4"/>
    <col width="9" customWidth="1" style="289" min="5" max="8"/>
    <col width="10.51" customWidth="1" style="289" min="9" max="9"/>
    <col width="9" customWidth="1" style="289" min="10" max="13"/>
    <col width="10.51" customWidth="1" style="289" min="14" max="14"/>
    <col width="9" customWidth="1" style="289" min="15" max="18"/>
    <col width="10.51" customWidth="1" style="289" min="19" max="19"/>
    <col width="9" customWidth="1" style="289" min="20" max="23"/>
    <col width="10.51" customWidth="1" style="289" min="24" max="24"/>
    <col width="9" customWidth="1" style="289" min="25" max="28"/>
    <col width="10.51" customWidth="1" style="289" min="29" max="29"/>
    <col width="9" customWidth="1" style="289" min="30" max="33"/>
    <col width="10.51" customWidth="1" style="289" min="34" max="34"/>
    <col width="9" customWidth="1" style="289" min="35" max="38"/>
    <col width="10.51" customWidth="1" style="289" min="39" max="39"/>
    <col width="9" customWidth="1" style="289" min="40" max="43"/>
    <col width="10.51" customWidth="1" style="289" min="44" max="44"/>
  </cols>
  <sheetData>
    <row r="1" ht="25.5" customHeight="1" s="290">
      <c r="A1" s="330" t="inlineStr">
        <is>
          <t xml:space="preserve">  02  |  MARKET ASSUMPTIONS — EXOGENOUS DRIVERS</t>
        </is>
      </c>
    </row>
    <row r="2" ht="15" customHeight="1" s="290">
      <c r="A2" s="331" t="inlineStr">
        <is>
          <t xml:space="preserve">  Scenario-sensitive rows use Base / Upside / Downside / Active pattern. Active rows link to Tab 01 C19.</t>
        </is>
      </c>
      <c r="E2" s="308">
        <f>'01 Cover &amp; Control'!C19</f>
        <v/>
      </c>
    </row>
    <row r="3" ht="30" customHeight="1" s="290">
      <c r="A3" s="332" t="n"/>
      <c r="B3" s="333" t="inlineStr">
        <is>
          <t>Assumption / Row</t>
        </is>
      </c>
      <c r="C3" s="333" t="inlineStr">
        <is>
          <t>Units</t>
        </is>
      </c>
      <c r="D3" s="333" t="inlineStr">
        <is>
          <t>Source / Notes</t>
        </is>
      </c>
      <c r="E3" s="334" t="inlineStr">
        <is>
          <t>2023A
Q1</t>
        </is>
      </c>
      <c r="F3" s="334" t="inlineStr">
        <is>
          <t>2023A
Q2</t>
        </is>
      </c>
      <c r="G3" s="334" t="inlineStr">
        <is>
          <t>2023A
Q3</t>
        </is>
      </c>
      <c r="H3" s="334" t="inlineStr">
        <is>
          <t>2023A
Q4</t>
        </is>
      </c>
      <c r="I3" s="335" t="inlineStr">
        <is>
          <t>2023A
Annual</t>
        </is>
      </c>
      <c r="J3" s="334" t="inlineStr">
        <is>
          <t>2024A
Q1</t>
        </is>
      </c>
      <c r="K3" s="334" t="inlineStr">
        <is>
          <t>2024A
Q2</t>
        </is>
      </c>
      <c r="L3" s="334" t="inlineStr">
        <is>
          <t>2024A
Q3</t>
        </is>
      </c>
      <c r="M3" s="334" t="inlineStr">
        <is>
          <t>2024A
Q4</t>
        </is>
      </c>
      <c r="N3" s="335" t="inlineStr">
        <is>
          <t>2024A
Annual</t>
        </is>
      </c>
      <c r="O3" s="334" t="inlineStr">
        <is>
          <t>2025A
Q1</t>
        </is>
      </c>
      <c r="P3" s="334" t="inlineStr">
        <is>
          <t>2025A
Q2</t>
        </is>
      </c>
      <c r="Q3" s="334" t="inlineStr">
        <is>
          <t>2025A
Q3</t>
        </is>
      </c>
      <c r="R3" s="334" t="inlineStr">
        <is>
          <t>2025A
Q4</t>
        </is>
      </c>
      <c r="S3" s="335" t="inlineStr">
        <is>
          <t>2025A
Annual</t>
        </is>
      </c>
      <c r="T3" s="336" t="inlineStr">
        <is>
          <t>2026E
Q1</t>
        </is>
      </c>
      <c r="U3" s="336" t="inlineStr">
        <is>
          <t>2026E
Q2</t>
        </is>
      </c>
      <c r="V3" s="336" t="inlineStr">
        <is>
          <t>2026E
Q3</t>
        </is>
      </c>
      <c r="W3" s="336" t="inlineStr">
        <is>
          <t>2026E
Q4</t>
        </is>
      </c>
      <c r="X3" s="337" t="inlineStr">
        <is>
          <t>2026E
Annual</t>
        </is>
      </c>
      <c r="Y3" s="336" t="inlineStr">
        <is>
          <t>2027E
Q1</t>
        </is>
      </c>
      <c r="Z3" s="336" t="inlineStr">
        <is>
          <t>2027E
Q2</t>
        </is>
      </c>
      <c r="AA3" s="336" t="inlineStr">
        <is>
          <t>2027E
Q3</t>
        </is>
      </c>
      <c r="AB3" s="336" t="inlineStr">
        <is>
          <t>2027E
Q4</t>
        </is>
      </c>
      <c r="AC3" s="337" t="inlineStr">
        <is>
          <t>2027E
Annual</t>
        </is>
      </c>
      <c r="AD3" s="336" t="inlineStr">
        <is>
          <t>2028E
Q1</t>
        </is>
      </c>
      <c r="AE3" s="336" t="inlineStr">
        <is>
          <t>2028E
Q2</t>
        </is>
      </c>
      <c r="AF3" s="336" t="inlineStr">
        <is>
          <t>2028E
Q3</t>
        </is>
      </c>
      <c r="AG3" s="336" t="inlineStr">
        <is>
          <t>2028E
Q4</t>
        </is>
      </c>
      <c r="AH3" s="337" t="inlineStr">
        <is>
          <t>2028E
Annual</t>
        </is>
      </c>
      <c r="AI3" s="336" t="inlineStr">
        <is>
          <t>2029E
Q1</t>
        </is>
      </c>
      <c r="AJ3" s="336" t="inlineStr">
        <is>
          <t>2029E
Q2</t>
        </is>
      </c>
      <c r="AK3" s="336" t="inlineStr">
        <is>
          <t>2029E
Q3</t>
        </is>
      </c>
      <c r="AL3" s="336" t="inlineStr">
        <is>
          <t>2029E
Q4</t>
        </is>
      </c>
      <c r="AM3" s="337" t="inlineStr">
        <is>
          <t>2029E
Annual</t>
        </is>
      </c>
      <c r="AN3" s="336" t="inlineStr">
        <is>
          <t>2030E
Q1</t>
        </is>
      </c>
      <c r="AO3" s="336" t="inlineStr">
        <is>
          <t>2030E
Q2</t>
        </is>
      </c>
      <c r="AP3" s="336" t="inlineStr">
        <is>
          <t>2030E
Q3</t>
        </is>
      </c>
      <c r="AQ3" s="336" t="inlineStr">
        <is>
          <t>2030E
Q4</t>
        </is>
      </c>
      <c r="AR3" s="337" t="inlineStr">
        <is>
          <t>2030E
Annual</t>
        </is>
      </c>
    </row>
    <row r="4" ht="4.5" customHeight="1" s="290"/>
    <row r="5" ht="15.75" customHeight="1" s="290">
      <c r="A5" s="338" t="inlineStr">
        <is>
          <t xml:space="preserve">  SECTION A — MACRO CONTEXT</t>
        </is>
      </c>
    </row>
    <row r="6" ht="3.75" customHeight="1" s="290"/>
    <row r="7" ht="13.5" customHeight="1" s="290">
      <c r="A7" s="339" t="n"/>
      <c r="B7" s="340" t="inlineStr">
        <is>
          <t xml:space="preserve">  Real GDP Growth (YoY)  —  Base</t>
        </is>
      </c>
      <c r="C7" s="341" t="inlineStr">
        <is>
          <t>% / yr</t>
        </is>
      </c>
      <c r="D7" s="342" t="inlineStr">
        <is>
          <t>BEA GDP Release; Bloomberg consensus forecast</t>
        </is>
      </c>
      <c r="E7" s="343" t="n">
        <v>1.8</v>
      </c>
      <c r="F7" s="343" t="n">
        <v>1.8</v>
      </c>
      <c r="G7" s="343" t="n">
        <v>1.8</v>
      </c>
      <c r="H7" s="343" t="n">
        <v>1.8</v>
      </c>
      <c r="I7" s="344">
        <f>SUM(E7:H7)</f>
        <v/>
      </c>
      <c r="J7" s="343" t="n">
        <v>2.1</v>
      </c>
      <c r="K7" s="343" t="n">
        <v>2.1</v>
      </c>
      <c r="L7" s="343" t="n">
        <v>2.1</v>
      </c>
      <c r="M7" s="343" t="n">
        <v>2.1</v>
      </c>
      <c r="N7" s="344">
        <f>SUM(J7:M7)</f>
        <v/>
      </c>
      <c r="O7" s="343" t="n">
        <v>2.4</v>
      </c>
      <c r="P7" s="343" t="n">
        <v>2.4</v>
      </c>
      <c r="Q7" s="343" t="n">
        <v>2.4</v>
      </c>
      <c r="R7" s="343" t="n">
        <v>2.4</v>
      </c>
      <c r="S7" s="344">
        <f>SUM(O7:R7)</f>
        <v/>
      </c>
      <c r="T7" s="343" t="n">
        <v>2.2</v>
      </c>
      <c r="U7" s="343" t="n">
        <v>2.2</v>
      </c>
      <c r="V7" s="343" t="n">
        <v>2.2</v>
      </c>
      <c r="W7" s="343" t="n">
        <v>2.2</v>
      </c>
      <c r="X7" s="344">
        <f>SUM(T7:W7)</f>
        <v/>
      </c>
      <c r="Y7" s="343" t="n">
        <v>2</v>
      </c>
      <c r="Z7" s="343" t="n">
        <v>2</v>
      </c>
      <c r="AA7" s="343" t="n">
        <v>2</v>
      </c>
      <c r="AB7" s="343" t="n">
        <v>2</v>
      </c>
      <c r="AC7" s="344">
        <f>SUM(Y7:AB7)</f>
        <v/>
      </c>
      <c r="AD7" s="343" t="n">
        <v>2</v>
      </c>
      <c r="AE7" s="343" t="n">
        <v>2</v>
      </c>
      <c r="AF7" s="343" t="n">
        <v>2</v>
      </c>
      <c r="AG7" s="343" t="n">
        <v>2</v>
      </c>
      <c r="AH7" s="344">
        <f>SUM(AD7:AG7)</f>
        <v/>
      </c>
      <c r="AI7" s="343" t="n">
        <v>2</v>
      </c>
      <c r="AJ7" s="343" t="n">
        <v>2</v>
      </c>
      <c r="AK7" s="343" t="n">
        <v>2</v>
      </c>
      <c r="AL7" s="343" t="n">
        <v>2</v>
      </c>
      <c r="AM7" s="344">
        <f>SUM(AI7:AL7)</f>
        <v/>
      </c>
      <c r="AN7" s="343" t="n">
        <v>2</v>
      </c>
      <c r="AO7" s="343" t="n">
        <v>2</v>
      </c>
      <c r="AP7" s="343" t="n">
        <v>2</v>
      </c>
      <c r="AQ7" s="343" t="n">
        <v>2</v>
      </c>
      <c r="AR7" s="344">
        <f>SUM(AN7:AQ7)</f>
        <v/>
      </c>
    </row>
    <row r="8" ht="13.5" customHeight="1" s="290">
      <c r="A8" s="339" t="n"/>
      <c r="B8" s="340" t="inlineStr">
        <is>
          <t xml:space="preserve">  Real GDP Growth (YoY)  —  Upside</t>
        </is>
      </c>
      <c r="E8" s="343" t="n">
        <v>1.8</v>
      </c>
      <c r="F8" s="343" t="n">
        <v>1.8</v>
      </c>
      <c r="G8" s="343" t="n">
        <v>1.8</v>
      </c>
      <c r="H8" s="343" t="n">
        <v>1.8</v>
      </c>
      <c r="I8" s="344">
        <f>SUM(E8:H8)</f>
        <v/>
      </c>
      <c r="J8" s="343" t="n">
        <v>2.1</v>
      </c>
      <c r="K8" s="343" t="n">
        <v>2.1</v>
      </c>
      <c r="L8" s="343" t="n">
        <v>2.1</v>
      </c>
      <c r="M8" s="343" t="n">
        <v>2.1</v>
      </c>
      <c r="N8" s="344">
        <f>SUM(J8:M8)</f>
        <v/>
      </c>
      <c r="O8" s="343" t="n">
        <v>2.6</v>
      </c>
      <c r="P8" s="343" t="n">
        <v>2.6</v>
      </c>
      <c r="Q8" s="343" t="n">
        <v>2.6</v>
      </c>
      <c r="R8" s="343" t="n">
        <v>2.6</v>
      </c>
      <c r="S8" s="344">
        <f>SUM(O8:R8)</f>
        <v/>
      </c>
      <c r="T8" s="343" t="n">
        <v>2.8</v>
      </c>
      <c r="U8" s="343" t="n">
        <v>2.8</v>
      </c>
      <c r="V8" s="343" t="n">
        <v>2.8</v>
      </c>
      <c r="W8" s="343" t="n">
        <v>2.8</v>
      </c>
      <c r="X8" s="344">
        <f>SUM(T8:W8)</f>
        <v/>
      </c>
      <c r="Y8" s="343" t="n">
        <v>2.7</v>
      </c>
      <c r="Z8" s="343" t="n">
        <v>2.7</v>
      </c>
      <c r="AA8" s="343" t="n">
        <v>2.7</v>
      </c>
      <c r="AB8" s="343" t="n">
        <v>2.7</v>
      </c>
      <c r="AC8" s="344">
        <f>SUM(Y8:AB8)</f>
        <v/>
      </c>
      <c r="AD8" s="343" t="n">
        <v>2.6</v>
      </c>
      <c r="AE8" s="343" t="n">
        <v>2.6</v>
      </c>
      <c r="AF8" s="343" t="n">
        <v>2.6</v>
      </c>
      <c r="AG8" s="343" t="n">
        <v>2.6</v>
      </c>
      <c r="AH8" s="344">
        <f>SUM(AD8:AG8)</f>
        <v/>
      </c>
      <c r="AI8" s="343" t="n">
        <v>2.5</v>
      </c>
      <c r="AJ8" s="343" t="n">
        <v>2.5</v>
      </c>
      <c r="AK8" s="343" t="n">
        <v>2.5</v>
      </c>
      <c r="AL8" s="343" t="n">
        <v>2.5</v>
      </c>
      <c r="AM8" s="344">
        <f>SUM(AI8:AL8)</f>
        <v/>
      </c>
      <c r="AN8" s="343" t="n">
        <v>2.5</v>
      </c>
      <c r="AO8" s="343" t="n">
        <v>2.5</v>
      </c>
      <c r="AP8" s="343" t="n">
        <v>2.5</v>
      </c>
      <c r="AQ8" s="343" t="n">
        <v>2.5</v>
      </c>
      <c r="AR8" s="344">
        <f>SUM(AN8:AQ8)</f>
        <v/>
      </c>
    </row>
    <row r="9" ht="13.5" customHeight="1" s="290">
      <c r="A9" s="339" t="n"/>
      <c r="B9" s="340" t="inlineStr">
        <is>
          <t xml:space="preserve">  Real GDP Growth (YoY)  —  Downside</t>
        </is>
      </c>
      <c r="E9" s="343" t="n">
        <v>1.8</v>
      </c>
      <c r="F9" s="343" t="n">
        <v>1.8</v>
      </c>
      <c r="G9" s="343" t="n">
        <v>1.8</v>
      </c>
      <c r="H9" s="343" t="n">
        <v>1.8</v>
      </c>
      <c r="I9" s="344">
        <f>SUM(E9:H9)</f>
        <v/>
      </c>
      <c r="J9" s="343" t="n">
        <v>2.1</v>
      </c>
      <c r="K9" s="343" t="n">
        <v>2.1</v>
      </c>
      <c r="L9" s="343" t="n">
        <v>2.1</v>
      </c>
      <c r="M9" s="343" t="n">
        <v>2.1</v>
      </c>
      <c r="N9" s="344">
        <f>SUM(J9:M9)</f>
        <v/>
      </c>
      <c r="O9" s="343" t="n">
        <v>1.2</v>
      </c>
      <c r="P9" s="343" t="n">
        <v>1.2</v>
      </c>
      <c r="Q9" s="343" t="n">
        <v>1.2</v>
      </c>
      <c r="R9" s="343" t="n">
        <v>1.2</v>
      </c>
      <c r="S9" s="344">
        <f>SUM(O9:R9)</f>
        <v/>
      </c>
      <c r="T9" s="343" t="n">
        <v>0.4</v>
      </c>
      <c r="U9" s="343" t="n">
        <v>0.4</v>
      </c>
      <c r="V9" s="343" t="n">
        <v>0.4</v>
      </c>
      <c r="W9" s="343" t="n">
        <v>0.4</v>
      </c>
      <c r="X9" s="344">
        <f>SUM(T9:W9)</f>
        <v/>
      </c>
      <c r="Y9" s="343" t="n">
        <v>0.8</v>
      </c>
      <c r="Z9" s="343" t="n">
        <v>0.8</v>
      </c>
      <c r="AA9" s="343" t="n">
        <v>0.8</v>
      </c>
      <c r="AB9" s="343" t="n">
        <v>0.8</v>
      </c>
      <c r="AC9" s="344">
        <f>SUM(Y9:AB9)</f>
        <v/>
      </c>
      <c r="AD9" s="343" t="n">
        <v>1.2</v>
      </c>
      <c r="AE9" s="343" t="n">
        <v>1.2</v>
      </c>
      <c r="AF9" s="343" t="n">
        <v>1.2</v>
      </c>
      <c r="AG9" s="343" t="n">
        <v>1.2</v>
      </c>
      <c r="AH9" s="344">
        <f>SUM(AD9:AG9)</f>
        <v/>
      </c>
      <c r="AI9" s="343" t="n">
        <v>1.5</v>
      </c>
      <c r="AJ9" s="343" t="n">
        <v>1.5</v>
      </c>
      <c r="AK9" s="343" t="n">
        <v>1.5</v>
      </c>
      <c r="AL9" s="343" t="n">
        <v>1.5</v>
      </c>
      <c r="AM9" s="344">
        <f>SUM(AI9:AL9)</f>
        <v/>
      </c>
      <c r="AN9" s="343" t="n">
        <v>1.6</v>
      </c>
      <c r="AO9" s="343" t="n">
        <v>1.6</v>
      </c>
      <c r="AP9" s="343" t="n">
        <v>1.6</v>
      </c>
      <c r="AQ9" s="343" t="n">
        <v>1.6</v>
      </c>
      <c r="AR9" s="344">
        <f>SUM(AN9:AQ9)</f>
        <v/>
      </c>
    </row>
    <row r="10" ht="13.5" customHeight="1" s="290">
      <c r="A10" s="345" t="n"/>
      <c r="B10" s="346" t="inlineStr">
        <is>
          <t xml:space="preserve">  Real GDP Growth (YoY)  —  ★ ACTIVE</t>
        </is>
      </c>
      <c r="E10" s="347">
        <f>IF('01 Cover &amp; Control'!$C$19="Base",E7,IF('01 Cover &amp; Control'!$C$19="Upside",E8,E9))</f>
        <v/>
      </c>
      <c r="F10" s="347">
        <f>IF('01 Cover &amp; Control'!$C$19="Base",F7,IF('01 Cover &amp; Control'!$C$19="Upside",F8,F9))</f>
        <v/>
      </c>
      <c r="G10" s="347">
        <f>IF('01 Cover &amp; Control'!$C$19="Base",G7,IF('01 Cover &amp; Control'!$C$19="Upside",G8,G9))</f>
        <v/>
      </c>
      <c r="H10" s="347">
        <f>IF('01 Cover &amp; Control'!$C$19="Base",H7,IF('01 Cover &amp; Control'!$C$19="Upside",H8,H9))</f>
        <v/>
      </c>
      <c r="I10" s="347">
        <f>SUM(E10:H10)</f>
        <v/>
      </c>
      <c r="J10" s="347">
        <f>IF('01 Cover &amp; Control'!$C$19="Base",J7,IF('01 Cover &amp; Control'!$C$19="Upside",J8,J9))</f>
        <v/>
      </c>
      <c r="K10" s="347">
        <f>IF('01 Cover &amp; Control'!$C$19="Base",K7,IF('01 Cover &amp; Control'!$C$19="Upside",K8,K9))</f>
        <v/>
      </c>
      <c r="L10" s="347">
        <f>IF('01 Cover &amp; Control'!$C$19="Base",L7,IF('01 Cover &amp; Control'!$C$19="Upside",L8,L9))</f>
        <v/>
      </c>
      <c r="M10" s="347">
        <f>IF('01 Cover &amp; Control'!$C$19="Base",M7,IF('01 Cover &amp; Control'!$C$19="Upside",M8,M9))</f>
        <v/>
      </c>
      <c r="N10" s="347">
        <f>SUM(J10:M10)</f>
        <v/>
      </c>
      <c r="O10" s="347">
        <f>IF('01 Cover &amp; Control'!$C$19="Base",O7,IF('01 Cover &amp; Control'!$C$19="Upside",O8,O9))</f>
        <v/>
      </c>
      <c r="P10" s="347">
        <f>IF('01 Cover &amp; Control'!$C$19="Base",P7,IF('01 Cover &amp; Control'!$C$19="Upside",P8,P9))</f>
        <v/>
      </c>
      <c r="Q10" s="347">
        <f>IF('01 Cover &amp; Control'!$C$19="Base",Q7,IF('01 Cover &amp; Control'!$C$19="Upside",Q8,Q9))</f>
        <v/>
      </c>
      <c r="R10" s="347">
        <f>IF('01 Cover &amp; Control'!$C$19="Base",R7,IF('01 Cover &amp; Control'!$C$19="Upside",R8,R9))</f>
        <v/>
      </c>
      <c r="S10" s="347">
        <f>SUM(O10:R10)</f>
        <v/>
      </c>
      <c r="T10" s="347">
        <f>IF('01 Cover &amp; Control'!$C$19="Base",T7,IF('01 Cover &amp; Control'!$C$19="Upside",T8,T9))</f>
        <v/>
      </c>
      <c r="U10" s="347">
        <f>IF('01 Cover &amp; Control'!$C$19="Base",U7,IF('01 Cover &amp; Control'!$C$19="Upside",U8,U9))</f>
        <v/>
      </c>
      <c r="V10" s="347">
        <f>IF('01 Cover &amp; Control'!$C$19="Base",V7,IF('01 Cover &amp; Control'!$C$19="Upside",V8,V9))</f>
        <v/>
      </c>
      <c r="W10" s="347">
        <f>IF('01 Cover &amp; Control'!$C$19="Base",W7,IF('01 Cover &amp; Control'!$C$19="Upside",W8,W9))</f>
        <v/>
      </c>
      <c r="X10" s="347">
        <f>SUM(T10:W10)</f>
        <v/>
      </c>
      <c r="Y10" s="347">
        <f>IF('01 Cover &amp; Control'!$C$19="Base",Y7,IF('01 Cover &amp; Control'!$C$19="Upside",Y8,Y9))</f>
        <v/>
      </c>
      <c r="Z10" s="347">
        <f>IF('01 Cover &amp; Control'!$C$19="Base",Z7,IF('01 Cover &amp; Control'!$C$19="Upside",Z8,Z9))</f>
        <v/>
      </c>
      <c r="AA10" s="347">
        <f>IF('01 Cover &amp; Control'!$C$19="Base",AA7,IF('01 Cover &amp; Control'!$C$19="Upside",AA8,AA9))</f>
        <v/>
      </c>
      <c r="AB10" s="347">
        <f>IF('01 Cover &amp; Control'!$C$19="Base",AB7,IF('01 Cover &amp; Control'!$C$19="Upside",AB8,AB9))</f>
        <v/>
      </c>
      <c r="AC10" s="347">
        <f>SUM(Y10:AB10)</f>
        <v/>
      </c>
      <c r="AD10" s="347">
        <f>IF('01 Cover &amp; Control'!$C$19="Base",AD7,IF('01 Cover &amp; Control'!$C$19="Upside",AD8,AD9))</f>
        <v/>
      </c>
      <c r="AE10" s="347">
        <f>IF('01 Cover &amp; Control'!$C$19="Base",AE7,IF('01 Cover &amp; Control'!$C$19="Upside",AE8,AE9))</f>
        <v/>
      </c>
      <c r="AF10" s="347">
        <f>IF('01 Cover &amp; Control'!$C$19="Base",AF7,IF('01 Cover &amp; Control'!$C$19="Upside",AF8,AF9))</f>
        <v/>
      </c>
      <c r="AG10" s="347">
        <f>IF('01 Cover &amp; Control'!$C$19="Base",AG7,IF('01 Cover &amp; Control'!$C$19="Upside",AG8,AG9))</f>
        <v/>
      </c>
      <c r="AH10" s="347">
        <f>SUM(AD10:AG10)</f>
        <v/>
      </c>
      <c r="AI10" s="347">
        <f>IF('01 Cover &amp; Control'!$C$19="Base",AI7,IF('01 Cover &amp; Control'!$C$19="Upside",AI8,AI9))</f>
        <v/>
      </c>
      <c r="AJ10" s="347">
        <f>IF('01 Cover &amp; Control'!$C$19="Base",AJ7,IF('01 Cover &amp; Control'!$C$19="Upside",AJ8,AJ9))</f>
        <v/>
      </c>
      <c r="AK10" s="347">
        <f>IF('01 Cover &amp; Control'!$C$19="Base",AK7,IF('01 Cover &amp; Control'!$C$19="Upside",AK8,AK9))</f>
        <v/>
      </c>
      <c r="AL10" s="347">
        <f>IF('01 Cover &amp; Control'!$C$19="Base",AL7,IF('01 Cover &amp; Control'!$C$19="Upside",AL8,AL9))</f>
        <v/>
      </c>
      <c r="AM10" s="347">
        <f>SUM(AI10:AL10)</f>
        <v/>
      </c>
      <c r="AN10" s="347">
        <f>IF('01 Cover &amp; Control'!$C$19="Base",AN7,IF('01 Cover &amp; Control'!$C$19="Upside",AN8,AN9))</f>
        <v/>
      </c>
      <c r="AO10" s="347">
        <f>IF('01 Cover &amp; Control'!$C$19="Base",AO7,IF('01 Cover &amp; Control'!$C$19="Upside",AO8,AO9))</f>
        <v/>
      </c>
      <c r="AP10" s="347">
        <f>IF('01 Cover &amp; Control'!$C$19="Base",AP7,IF('01 Cover &amp; Control'!$C$19="Upside",AP8,AP9))</f>
        <v/>
      </c>
      <c r="AQ10" s="347">
        <f>IF('01 Cover &amp; Control'!$C$19="Base",AQ7,IF('01 Cover &amp; Control'!$C$19="Upside",AQ8,AQ9))</f>
        <v/>
      </c>
      <c r="AR10" s="347">
        <f>SUM(AN10:AQ10)</f>
        <v/>
      </c>
    </row>
    <row r="11" ht="3.75" customHeight="1" s="290"/>
    <row r="12" ht="13.5" customHeight="1" s="290">
      <c r="A12" s="339" t="n"/>
      <c r="B12" s="340" t="inlineStr">
        <is>
          <t xml:space="preserve">  10-Year Treasury Yield  —  Base</t>
        </is>
      </c>
      <c r="C12" s="341" t="inlineStr">
        <is>
          <t>%</t>
        </is>
      </c>
      <c r="D12" s="342" t="inlineStr">
        <is>
          <t>Federal Reserve H.15; Bloomberg</t>
        </is>
      </c>
      <c r="E12" s="343" t="n">
        <v>3.9</v>
      </c>
      <c r="F12" s="343" t="n">
        <v>3.9</v>
      </c>
      <c r="G12" s="343" t="n">
        <v>3.9</v>
      </c>
      <c r="H12" s="343" t="n">
        <v>3.9</v>
      </c>
      <c r="I12" s="344">
        <f>SUM(E12:H12)</f>
        <v/>
      </c>
      <c r="J12" s="343" t="n">
        <v>4.2</v>
      </c>
      <c r="K12" s="343" t="n">
        <v>4.2</v>
      </c>
      <c r="L12" s="343" t="n">
        <v>4.2</v>
      </c>
      <c r="M12" s="343" t="n">
        <v>4.2</v>
      </c>
      <c r="N12" s="344">
        <f>SUM(J12:M12)</f>
        <v/>
      </c>
      <c r="O12" s="343" t="n">
        <v>4.3</v>
      </c>
      <c r="P12" s="343" t="n">
        <v>4.3</v>
      </c>
      <c r="Q12" s="343" t="n">
        <v>4.3</v>
      </c>
      <c r="R12" s="343" t="n">
        <v>4.3</v>
      </c>
      <c r="S12" s="344">
        <f>SUM(O12:R12)</f>
        <v/>
      </c>
      <c r="T12" s="343" t="n">
        <v>4</v>
      </c>
      <c r="U12" s="343" t="n">
        <v>4</v>
      </c>
      <c r="V12" s="343" t="n">
        <v>4</v>
      </c>
      <c r="W12" s="343" t="n">
        <v>4</v>
      </c>
      <c r="X12" s="344">
        <f>SUM(T12:W12)</f>
        <v/>
      </c>
      <c r="Y12" s="343" t="n">
        <v>3.8</v>
      </c>
      <c r="Z12" s="343" t="n">
        <v>3.8</v>
      </c>
      <c r="AA12" s="343" t="n">
        <v>3.8</v>
      </c>
      <c r="AB12" s="343" t="n">
        <v>3.8</v>
      </c>
      <c r="AC12" s="344">
        <f>SUM(Y12:AB12)</f>
        <v/>
      </c>
      <c r="AD12" s="343" t="n">
        <v>3.7</v>
      </c>
      <c r="AE12" s="343" t="n">
        <v>3.7</v>
      </c>
      <c r="AF12" s="343" t="n">
        <v>3.7</v>
      </c>
      <c r="AG12" s="343" t="n">
        <v>3.7</v>
      </c>
      <c r="AH12" s="344">
        <f>SUM(AD12:AG12)</f>
        <v/>
      </c>
      <c r="AI12" s="343" t="n">
        <v>3.7</v>
      </c>
      <c r="AJ12" s="343" t="n">
        <v>3.7</v>
      </c>
      <c r="AK12" s="343" t="n">
        <v>3.7</v>
      </c>
      <c r="AL12" s="343" t="n">
        <v>3.7</v>
      </c>
      <c r="AM12" s="344">
        <f>SUM(AI12:AL12)</f>
        <v/>
      </c>
      <c r="AN12" s="343" t="n">
        <v>3.7</v>
      </c>
      <c r="AO12" s="343" t="n">
        <v>3.7</v>
      </c>
      <c r="AP12" s="343" t="n">
        <v>3.7</v>
      </c>
      <c r="AQ12" s="343" t="n">
        <v>3.7</v>
      </c>
      <c r="AR12" s="344">
        <f>SUM(AN12:AQ12)</f>
        <v/>
      </c>
    </row>
    <row r="13" ht="13.5" customHeight="1" s="290">
      <c r="A13" s="339" t="n"/>
      <c r="B13" s="340" t="inlineStr">
        <is>
          <t xml:space="preserve">  10-Year Treasury Yield  —  Upside</t>
        </is>
      </c>
      <c r="E13" s="343" t="n">
        <v>3.9</v>
      </c>
      <c r="F13" s="343" t="n">
        <v>3.9</v>
      </c>
      <c r="G13" s="343" t="n">
        <v>3.9</v>
      </c>
      <c r="H13" s="343" t="n">
        <v>3.9</v>
      </c>
      <c r="I13" s="344">
        <f>SUM(E13:H13)</f>
        <v/>
      </c>
      <c r="J13" s="343" t="n">
        <v>4.2</v>
      </c>
      <c r="K13" s="343" t="n">
        <v>4.2</v>
      </c>
      <c r="L13" s="343" t="n">
        <v>4.2</v>
      </c>
      <c r="M13" s="343" t="n">
        <v>4.2</v>
      </c>
      <c r="N13" s="344">
        <f>SUM(J13:M13)</f>
        <v/>
      </c>
      <c r="O13" s="343" t="n">
        <v>4</v>
      </c>
      <c r="P13" s="343" t="n">
        <v>4</v>
      </c>
      <c r="Q13" s="343" t="n">
        <v>4</v>
      </c>
      <c r="R13" s="343" t="n">
        <v>4</v>
      </c>
      <c r="S13" s="344">
        <f>SUM(O13:R13)</f>
        <v/>
      </c>
      <c r="T13" s="343" t="n">
        <v>3.5</v>
      </c>
      <c r="U13" s="343" t="n">
        <v>3.5</v>
      </c>
      <c r="V13" s="343" t="n">
        <v>3.5</v>
      </c>
      <c r="W13" s="343" t="n">
        <v>3.5</v>
      </c>
      <c r="X13" s="344">
        <f>SUM(T13:W13)</f>
        <v/>
      </c>
      <c r="Y13" s="343" t="n">
        <v>3.3</v>
      </c>
      <c r="Z13" s="343" t="n">
        <v>3.3</v>
      </c>
      <c r="AA13" s="343" t="n">
        <v>3.3</v>
      </c>
      <c r="AB13" s="343" t="n">
        <v>3.3</v>
      </c>
      <c r="AC13" s="344">
        <f>SUM(Y13:AB13)</f>
        <v/>
      </c>
      <c r="AD13" s="343" t="n">
        <v>3.2</v>
      </c>
      <c r="AE13" s="343" t="n">
        <v>3.2</v>
      </c>
      <c r="AF13" s="343" t="n">
        <v>3.2</v>
      </c>
      <c r="AG13" s="343" t="n">
        <v>3.2</v>
      </c>
      <c r="AH13" s="344">
        <f>SUM(AD13:AG13)</f>
        <v/>
      </c>
      <c r="AI13" s="343" t="n">
        <v>3.2</v>
      </c>
      <c r="AJ13" s="343" t="n">
        <v>3.2</v>
      </c>
      <c r="AK13" s="343" t="n">
        <v>3.2</v>
      </c>
      <c r="AL13" s="343" t="n">
        <v>3.2</v>
      </c>
      <c r="AM13" s="344">
        <f>SUM(AI13:AL13)</f>
        <v/>
      </c>
      <c r="AN13" s="343" t="n">
        <v>3.2</v>
      </c>
      <c r="AO13" s="343" t="n">
        <v>3.2</v>
      </c>
      <c r="AP13" s="343" t="n">
        <v>3.2</v>
      </c>
      <c r="AQ13" s="343" t="n">
        <v>3.2</v>
      </c>
      <c r="AR13" s="344">
        <f>SUM(AN13:AQ13)</f>
        <v/>
      </c>
    </row>
    <row r="14" ht="13.5" customHeight="1" s="290">
      <c r="A14" s="339" t="n"/>
      <c r="B14" s="340" t="inlineStr">
        <is>
          <t xml:space="preserve">  10-Year Treasury Yield  —  Downside</t>
        </is>
      </c>
      <c r="E14" s="343" t="n">
        <v>3.9</v>
      </c>
      <c r="F14" s="343" t="n">
        <v>3.9</v>
      </c>
      <c r="G14" s="343" t="n">
        <v>3.9</v>
      </c>
      <c r="H14" s="343" t="n">
        <v>3.9</v>
      </c>
      <c r="I14" s="344">
        <f>SUM(E14:H14)</f>
        <v/>
      </c>
      <c r="J14" s="343" t="n">
        <v>4.2</v>
      </c>
      <c r="K14" s="343" t="n">
        <v>4.2</v>
      </c>
      <c r="L14" s="343" t="n">
        <v>4.2</v>
      </c>
      <c r="M14" s="343" t="n">
        <v>4.2</v>
      </c>
      <c r="N14" s="344">
        <f>SUM(J14:M14)</f>
        <v/>
      </c>
      <c r="O14" s="343" t="n">
        <v>4.8</v>
      </c>
      <c r="P14" s="343" t="n">
        <v>4.8</v>
      </c>
      <c r="Q14" s="343" t="n">
        <v>4.8</v>
      </c>
      <c r="R14" s="343" t="n">
        <v>4.8</v>
      </c>
      <c r="S14" s="344">
        <f>SUM(O14:R14)</f>
        <v/>
      </c>
      <c r="T14" s="343" t="n">
        <v>5</v>
      </c>
      <c r="U14" s="343" t="n">
        <v>5</v>
      </c>
      <c r="V14" s="343" t="n">
        <v>5</v>
      </c>
      <c r="W14" s="343" t="n">
        <v>5</v>
      </c>
      <c r="X14" s="344">
        <f>SUM(T14:W14)</f>
        <v/>
      </c>
      <c r="Y14" s="343" t="n">
        <v>4.8</v>
      </c>
      <c r="Z14" s="343" t="n">
        <v>4.8</v>
      </c>
      <c r="AA14" s="343" t="n">
        <v>4.8</v>
      </c>
      <c r="AB14" s="343" t="n">
        <v>4.8</v>
      </c>
      <c r="AC14" s="344">
        <f>SUM(Y14:AB14)</f>
        <v/>
      </c>
      <c r="AD14" s="343" t="n">
        <v>4.6</v>
      </c>
      <c r="AE14" s="343" t="n">
        <v>4.6</v>
      </c>
      <c r="AF14" s="343" t="n">
        <v>4.6</v>
      </c>
      <c r="AG14" s="343" t="n">
        <v>4.6</v>
      </c>
      <c r="AH14" s="344">
        <f>SUM(AD14:AG14)</f>
        <v/>
      </c>
      <c r="AI14" s="343" t="n">
        <v>4.5</v>
      </c>
      <c r="AJ14" s="343" t="n">
        <v>4.5</v>
      </c>
      <c r="AK14" s="343" t="n">
        <v>4.5</v>
      </c>
      <c r="AL14" s="343" t="n">
        <v>4.5</v>
      </c>
      <c r="AM14" s="344">
        <f>SUM(AI14:AL14)</f>
        <v/>
      </c>
      <c r="AN14" s="343" t="n">
        <v>4.4</v>
      </c>
      <c r="AO14" s="343" t="n">
        <v>4.4</v>
      </c>
      <c r="AP14" s="343" t="n">
        <v>4.4</v>
      </c>
      <c r="AQ14" s="343" t="n">
        <v>4.4</v>
      </c>
      <c r="AR14" s="344">
        <f>SUM(AN14:AQ14)</f>
        <v/>
      </c>
    </row>
    <row r="15" ht="13.5" customHeight="1" s="290">
      <c r="A15" s="345" t="n"/>
      <c r="B15" s="346" t="inlineStr">
        <is>
          <t xml:space="preserve">  10-Year Treasury Yield  —  ★ ACTIVE</t>
        </is>
      </c>
      <c r="E15" s="347">
        <f>IF('01 Cover &amp; Control'!$C$19="Base",E12,IF('01 Cover &amp; Control'!$C$19="Upside",E13,E14))</f>
        <v/>
      </c>
      <c r="F15" s="347">
        <f>IF('01 Cover &amp; Control'!$C$19="Base",F12,IF('01 Cover &amp; Control'!$C$19="Upside",F13,F14))</f>
        <v/>
      </c>
      <c r="G15" s="347">
        <f>IF('01 Cover &amp; Control'!$C$19="Base",G12,IF('01 Cover &amp; Control'!$C$19="Upside",G13,G14))</f>
        <v/>
      </c>
      <c r="H15" s="347">
        <f>IF('01 Cover &amp; Control'!$C$19="Base",H12,IF('01 Cover &amp; Control'!$C$19="Upside",H13,H14))</f>
        <v/>
      </c>
      <c r="I15" s="347">
        <f>SUM(E15:H15)</f>
        <v/>
      </c>
      <c r="J15" s="347">
        <f>IF('01 Cover &amp; Control'!$C$19="Base",J12,IF('01 Cover &amp; Control'!$C$19="Upside",J13,J14))</f>
        <v/>
      </c>
      <c r="K15" s="347">
        <f>IF('01 Cover &amp; Control'!$C$19="Base",K12,IF('01 Cover &amp; Control'!$C$19="Upside",K13,K14))</f>
        <v/>
      </c>
      <c r="L15" s="347">
        <f>IF('01 Cover &amp; Control'!$C$19="Base",L12,IF('01 Cover &amp; Control'!$C$19="Upside",L13,L14))</f>
        <v/>
      </c>
      <c r="M15" s="347">
        <f>IF('01 Cover &amp; Control'!$C$19="Base",M12,IF('01 Cover &amp; Control'!$C$19="Upside",M13,M14))</f>
        <v/>
      </c>
      <c r="N15" s="347">
        <f>SUM(J15:M15)</f>
        <v/>
      </c>
      <c r="O15" s="347">
        <f>IF('01 Cover &amp; Control'!$C$19="Base",O12,IF('01 Cover &amp; Control'!$C$19="Upside",O13,O14))</f>
        <v/>
      </c>
      <c r="P15" s="347">
        <f>IF('01 Cover &amp; Control'!$C$19="Base",P12,IF('01 Cover &amp; Control'!$C$19="Upside",P13,P14))</f>
        <v/>
      </c>
      <c r="Q15" s="347">
        <f>IF('01 Cover &amp; Control'!$C$19="Base",Q12,IF('01 Cover &amp; Control'!$C$19="Upside",Q13,Q14))</f>
        <v/>
      </c>
      <c r="R15" s="347">
        <f>IF('01 Cover &amp; Control'!$C$19="Base",R12,IF('01 Cover &amp; Control'!$C$19="Upside",R13,R14))</f>
        <v/>
      </c>
      <c r="S15" s="347">
        <f>SUM(O15:R15)</f>
        <v/>
      </c>
      <c r="T15" s="347">
        <f>IF('01 Cover &amp; Control'!$C$19="Base",T12,IF('01 Cover &amp; Control'!$C$19="Upside",T13,T14))</f>
        <v/>
      </c>
      <c r="U15" s="347">
        <f>IF('01 Cover &amp; Control'!$C$19="Base",U12,IF('01 Cover &amp; Control'!$C$19="Upside",U13,U14))</f>
        <v/>
      </c>
      <c r="V15" s="347">
        <f>IF('01 Cover &amp; Control'!$C$19="Base",V12,IF('01 Cover &amp; Control'!$C$19="Upside",V13,V14))</f>
        <v/>
      </c>
      <c r="W15" s="347">
        <f>IF('01 Cover &amp; Control'!$C$19="Base",W12,IF('01 Cover &amp; Control'!$C$19="Upside",W13,W14))</f>
        <v/>
      </c>
      <c r="X15" s="347">
        <f>SUM(T15:W15)</f>
        <v/>
      </c>
      <c r="Y15" s="347">
        <f>IF('01 Cover &amp; Control'!$C$19="Base",Y12,IF('01 Cover &amp; Control'!$C$19="Upside",Y13,Y14))</f>
        <v/>
      </c>
      <c r="Z15" s="347">
        <f>IF('01 Cover &amp; Control'!$C$19="Base",Z12,IF('01 Cover &amp; Control'!$C$19="Upside",Z13,Z14))</f>
        <v/>
      </c>
      <c r="AA15" s="347">
        <f>IF('01 Cover &amp; Control'!$C$19="Base",AA12,IF('01 Cover &amp; Control'!$C$19="Upside",AA13,AA14))</f>
        <v/>
      </c>
      <c r="AB15" s="347">
        <f>IF('01 Cover &amp; Control'!$C$19="Base",AB12,IF('01 Cover &amp; Control'!$C$19="Upside",AB13,AB14))</f>
        <v/>
      </c>
      <c r="AC15" s="347">
        <f>SUM(Y15:AB15)</f>
        <v/>
      </c>
      <c r="AD15" s="347">
        <f>IF('01 Cover &amp; Control'!$C$19="Base",AD12,IF('01 Cover &amp; Control'!$C$19="Upside",AD13,AD14))</f>
        <v/>
      </c>
      <c r="AE15" s="347">
        <f>IF('01 Cover &amp; Control'!$C$19="Base",AE12,IF('01 Cover &amp; Control'!$C$19="Upside",AE13,AE14))</f>
        <v/>
      </c>
      <c r="AF15" s="347">
        <f>IF('01 Cover &amp; Control'!$C$19="Base",AF12,IF('01 Cover &amp; Control'!$C$19="Upside",AF13,AF14))</f>
        <v/>
      </c>
      <c r="AG15" s="347">
        <f>IF('01 Cover &amp; Control'!$C$19="Base",AG12,IF('01 Cover &amp; Control'!$C$19="Upside",AG13,AG14))</f>
        <v/>
      </c>
      <c r="AH15" s="347">
        <f>SUM(AD15:AG15)</f>
        <v/>
      </c>
      <c r="AI15" s="347">
        <f>IF('01 Cover &amp; Control'!$C$19="Base",AI12,IF('01 Cover &amp; Control'!$C$19="Upside",AI13,AI14))</f>
        <v/>
      </c>
      <c r="AJ15" s="347">
        <f>IF('01 Cover &amp; Control'!$C$19="Base",AJ12,IF('01 Cover &amp; Control'!$C$19="Upside",AJ13,AJ14))</f>
        <v/>
      </c>
      <c r="AK15" s="347">
        <f>IF('01 Cover &amp; Control'!$C$19="Base",AK12,IF('01 Cover &amp; Control'!$C$19="Upside",AK13,AK14))</f>
        <v/>
      </c>
      <c r="AL15" s="347">
        <f>IF('01 Cover &amp; Control'!$C$19="Base",AL12,IF('01 Cover &amp; Control'!$C$19="Upside",AL13,AL14))</f>
        <v/>
      </c>
      <c r="AM15" s="347">
        <f>SUM(AI15:AL15)</f>
        <v/>
      </c>
      <c r="AN15" s="347">
        <f>IF('01 Cover &amp; Control'!$C$19="Base",AN12,IF('01 Cover &amp; Control'!$C$19="Upside",AN13,AN14))</f>
        <v/>
      </c>
      <c r="AO15" s="347">
        <f>IF('01 Cover &amp; Control'!$C$19="Base",AO12,IF('01 Cover &amp; Control'!$C$19="Upside",AO13,AO14))</f>
        <v/>
      </c>
      <c r="AP15" s="347">
        <f>IF('01 Cover &amp; Control'!$C$19="Base",AP12,IF('01 Cover &amp; Control'!$C$19="Upside",AP13,AP14))</f>
        <v/>
      </c>
      <c r="AQ15" s="347">
        <f>IF('01 Cover &amp; Control'!$C$19="Base",AQ12,IF('01 Cover &amp; Control'!$C$19="Upside",AQ13,AQ14))</f>
        <v/>
      </c>
      <c r="AR15" s="347">
        <f>SUM(AN15:AQ15)</f>
        <v/>
      </c>
    </row>
    <row r="16" ht="3.75" customHeight="1" s="290"/>
    <row r="17" ht="13.5" customHeight="1" s="290">
      <c r="B17" s="348" t="inlineStr">
        <is>
          <t xml:space="preserve">  Note: Lending Availability coded as 1=Tight, 2=Normal, 3=Loose. Used as qualitative context to calibrate Tab 03 deal count and pull-through assumptions.</t>
        </is>
      </c>
    </row>
    <row r="18" ht="13.5" customHeight="1" s="290">
      <c r="A18" s="339" t="n"/>
      <c r="B18" s="340" t="inlineStr">
        <is>
          <t xml:space="preserve">  CRE Lending Availability Index  —  Base</t>
        </is>
      </c>
      <c r="C18" s="341" t="inlineStr">
        <is>
          <t>1/2/3</t>
        </is>
      </c>
      <c r="D18" s="342" t="inlineStr">
        <is>
          <t>CBRE Senior Loan Officer Survey; Fed Survey of Credit Conditions</t>
        </is>
      </c>
      <c r="E18" s="343" t="n">
        <v>1.5</v>
      </c>
      <c r="F18" s="343" t="n">
        <v>1.5</v>
      </c>
      <c r="G18" s="343" t="n">
        <v>1.5</v>
      </c>
      <c r="H18" s="343" t="n">
        <v>1.5</v>
      </c>
      <c r="I18" s="344">
        <f>SUM(E18:H18)</f>
        <v/>
      </c>
      <c r="J18" s="343" t="n">
        <v>1.6</v>
      </c>
      <c r="K18" s="343" t="n">
        <v>1.6</v>
      </c>
      <c r="L18" s="343" t="n">
        <v>1.6</v>
      </c>
      <c r="M18" s="343" t="n">
        <v>1.6</v>
      </c>
      <c r="N18" s="344">
        <f>SUM(J18:M18)</f>
        <v/>
      </c>
      <c r="O18" s="343" t="n">
        <v>1.8</v>
      </c>
      <c r="P18" s="343" t="n">
        <v>1.8</v>
      </c>
      <c r="Q18" s="343" t="n">
        <v>1.8</v>
      </c>
      <c r="R18" s="343" t="n">
        <v>1.8</v>
      </c>
      <c r="S18" s="344">
        <f>SUM(O18:R18)</f>
        <v/>
      </c>
      <c r="T18" s="343" t="n">
        <v>2</v>
      </c>
      <c r="U18" s="343" t="n">
        <v>2</v>
      </c>
      <c r="V18" s="343" t="n">
        <v>2</v>
      </c>
      <c r="W18" s="343" t="n">
        <v>2</v>
      </c>
      <c r="X18" s="344">
        <f>SUM(T18:W18)</f>
        <v/>
      </c>
      <c r="Y18" s="343" t="n">
        <v>2.1</v>
      </c>
      <c r="Z18" s="343" t="n">
        <v>2.1</v>
      </c>
      <c r="AA18" s="343" t="n">
        <v>2.1</v>
      </c>
      <c r="AB18" s="343" t="n">
        <v>2.1</v>
      </c>
      <c r="AC18" s="344">
        <f>SUM(Y18:AB18)</f>
        <v/>
      </c>
      <c r="AD18" s="343" t="n">
        <v>2.2</v>
      </c>
      <c r="AE18" s="343" t="n">
        <v>2.2</v>
      </c>
      <c r="AF18" s="343" t="n">
        <v>2.2</v>
      </c>
      <c r="AG18" s="343" t="n">
        <v>2.2</v>
      </c>
      <c r="AH18" s="344">
        <f>SUM(AD18:AG18)</f>
        <v/>
      </c>
      <c r="AI18" s="343" t="n">
        <v>2.2</v>
      </c>
      <c r="AJ18" s="343" t="n">
        <v>2.2</v>
      </c>
      <c r="AK18" s="343" t="n">
        <v>2.2</v>
      </c>
      <c r="AL18" s="343" t="n">
        <v>2.2</v>
      </c>
      <c r="AM18" s="344">
        <f>SUM(AI18:AL18)</f>
        <v/>
      </c>
      <c r="AN18" s="343" t="n">
        <v>2.2</v>
      </c>
      <c r="AO18" s="343" t="n">
        <v>2.2</v>
      </c>
      <c r="AP18" s="343" t="n">
        <v>2.2</v>
      </c>
      <c r="AQ18" s="343" t="n">
        <v>2.2</v>
      </c>
      <c r="AR18" s="344">
        <f>SUM(AN18:AQ18)</f>
        <v/>
      </c>
    </row>
    <row r="19" ht="13.5" customHeight="1" s="290">
      <c r="A19" s="339" t="n"/>
      <c r="B19" s="340" t="inlineStr">
        <is>
          <t xml:space="preserve">  CRE Lending Availability Index  —  Upside</t>
        </is>
      </c>
      <c r="E19" s="343" t="n">
        <v>1.5</v>
      </c>
      <c r="F19" s="343" t="n">
        <v>1.5</v>
      </c>
      <c r="G19" s="343" t="n">
        <v>1.5</v>
      </c>
      <c r="H19" s="343" t="n">
        <v>1.5</v>
      </c>
      <c r="I19" s="344">
        <f>SUM(E19:H19)</f>
        <v/>
      </c>
      <c r="J19" s="343" t="n">
        <v>1.6</v>
      </c>
      <c r="K19" s="343" t="n">
        <v>1.6</v>
      </c>
      <c r="L19" s="343" t="n">
        <v>1.6</v>
      </c>
      <c r="M19" s="343" t="n">
        <v>1.6</v>
      </c>
      <c r="N19" s="344">
        <f>SUM(J19:M19)</f>
        <v/>
      </c>
      <c r="O19" s="343" t="n">
        <v>2</v>
      </c>
      <c r="P19" s="343" t="n">
        <v>2</v>
      </c>
      <c r="Q19" s="343" t="n">
        <v>2</v>
      </c>
      <c r="R19" s="343" t="n">
        <v>2</v>
      </c>
      <c r="S19" s="344">
        <f>SUM(O19:R19)</f>
        <v/>
      </c>
      <c r="T19" s="343" t="n">
        <v>2.3</v>
      </c>
      <c r="U19" s="343" t="n">
        <v>2.3</v>
      </c>
      <c r="V19" s="343" t="n">
        <v>2.3</v>
      </c>
      <c r="W19" s="343" t="n">
        <v>2.3</v>
      </c>
      <c r="X19" s="344">
        <f>SUM(T19:W19)</f>
        <v/>
      </c>
      <c r="Y19" s="343" t="n">
        <v>2.5</v>
      </c>
      <c r="Z19" s="343" t="n">
        <v>2.5</v>
      </c>
      <c r="AA19" s="343" t="n">
        <v>2.5</v>
      </c>
      <c r="AB19" s="343" t="n">
        <v>2.5</v>
      </c>
      <c r="AC19" s="344">
        <f>SUM(Y19:AB19)</f>
        <v/>
      </c>
      <c r="AD19" s="343" t="n">
        <v>2.6</v>
      </c>
      <c r="AE19" s="343" t="n">
        <v>2.6</v>
      </c>
      <c r="AF19" s="343" t="n">
        <v>2.6</v>
      </c>
      <c r="AG19" s="343" t="n">
        <v>2.6</v>
      </c>
      <c r="AH19" s="344">
        <f>SUM(AD19:AG19)</f>
        <v/>
      </c>
      <c r="AI19" s="343" t="n">
        <v>2.7</v>
      </c>
      <c r="AJ19" s="343" t="n">
        <v>2.7</v>
      </c>
      <c r="AK19" s="343" t="n">
        <v>2.7</v>
      </c>
      <c r="AL19" s="343" t="n">
        <v>2.7</v>
      </c>
      <c r="AM19" s="344">
        <f>SUM(AI19:AL19)</f>
        <v/>
      </c>
      <c r="AN19" s="343" t="n">
        <v>2.7</v>
      </c>
      <c r="AO19" s="343" t="n">
        <v>2.7</v>
      </c>
      <c r="AP19" s="343" t="n">
        <v>2.7</v>
      </c>
      <c r="AQ19" s="343" t="n">
        <v>2.7</v>
      </c>
      <c r="AR19" s="344">
        <f>SUM(AN19:AQ19)</f>
        <v/>
      </c>
    </row>
    <row r="20" ht="13.5" customHeight="1" s="290">
      <c r="A20" s="339" t="n"/>
      <c r="B20" s="340" t="inlineStr">
        <is>
          <t xml:space="preserve">  CRE Lending Availability Index  —  Downside</t>
        </is>
      </c>
      <c r="E20" s="343" t="n">
        <v>1.5</v>
      </c>
      <c r="F20" s="343" t="n">
        <v>1.5</v>
      </c>
      <c r="G20" s="343" t="n">
        <v>1.5</v>
      </c>
      <c r="H20" s="343" t="n">
        <v>1.5</v>
      </c>
      <c r="I20" s="344">
        <f>SUM(E20:H20)</f>
        <v/>
      </c>
      <c r="J20" s="343" t="n">
        <v>1.6</v>
      </c>
      <c r="K20" s="343" t="n">
        <v>1.6</v>
      </c>
      <c r="L20" s="343" t="n">
        <v>1.6</v>
      </c>
      <c r="M20" s="343" t="n">
        <v>1.6</v>
      </c>
      <c r="N20" s="344">
        <f>SUM(J20:M20)</f>
        <v/>
      </c>
      <c r="O20" s="343" t="n">
        <v>1.4</v>
      </c>
      <c r="P20" s="343" t="n">
        <v>1.4</v>
      </c>
      <c r="Q20" s="343" t="n">
        <v>1.4</v>
      </c>
      <c r="R20" s="343" t="n">
        <v>1.4</v>
      </c>
      <c r="S20" s="344">
        <f>SUM(O20:R20)</f>
        <v/>
      </c>
      <c r="T20" s="343" t="n">
        <v>1.2</v>
      </c>
      <c r="U20" s="343" t="n">
        <v>1.2</v>
      </c>
      <c r="V20" s="343" t="n">
        <v>1.2</v>
      </c>
      <c r="W20" s="343" t="n">
        <v>1.2</v>
      </c>
      <c r="X20" s="344">
        <f>SUM(T20:W20)</f>
        <v/>
      </c>
      <c r="Y20" s="343" t="n">
        <v>1.4</v>
      </c>
      <c r="Z20" s="343" t="n">
        <v>1.4</v>
      </c>
      <c r="AA20" s="343" t="n">
        <v>1.4</v>
      </c>
      <c r="AB20" s="343" t="n">
        <v>1.4</v>
      </c>
      <c r="AC20" s="344">
        <f>SUM(Y20:AB20)</f>
        <v/>
      </c>
      <c r="AD20" s="343" t="n">
        <v>1.6</v>
      </c>
      <c r="AE20" s="343" t="n">
        <v>1.6</v>
      </c>
      <c r="AF20" s="343" t="n">
        <v>1.6</v>
      </c>
      <c r="AG20" s="343" t="n">
        <v>1.6</v>
      </c>
      <c r="AH20" s="344">
        <f>SUM(AD20:AG20)</f>
        <v/>
      </c>
      <c r="AI20" s="343" t="n">
        <v>1.7</v>
      </c>
      <c r="AJ20" s="343" t="n">
        <v>1.7</v>
      </c>
      <c r="AK20" s="343" t="n">
        <v>1.7</v>
      </c>
      <c r="AL20" s="343" t="n">
        <v>1.7</v>
      </c>
      <c r="AM20" s="344">
        <f>SUM(AI20:AL20)</f>
        <v/>
      </c>
      <c r="AN20" s="343" t="n">
        <v>1.8</v>
      </c>
      <c r="AO20" s="343" t="n">
        <v>1.8</v>
      </c>
      <c r="AP20" s="343" t="n">
        <v>1.8</v>
      </c>
      <c r="AQ20" s="343" t="n">
        <v>1.8</v>
      </c>
      <c r="AR20" s="344">
        <f>SUM(AN20:AQ20)</f>
        <v/>
      </c>
    </row>
    <row r="21" ht="13.5" customHeight="1" s="290">
      <c r="A21" s="345" t="n"/>
      <c r="B21" s="346" t="inlineStr">
        <is>
          <t xml:space="preserve">  CRE Lending Availability Index  —  ★ ACTIVE</t>
        </is>
      </c>
      <c r="E21" s="347">
        <f>IF('01 Cover &amp; Control'!$C$19="Base",E18,IF('01 Cover &amp; Control'!$C$19="Upside",E19,E20))</f>
        <v/>
      </c>
      <c r="F21" s="347">
        <f>IF('01 Cover &amp; Control'!$C$19="Base",F18,IF('01 Cover &amp; Control'!$C$19="Upside",F19,F20))</f>
        <v/>
      </c>
      <c r="G21" s="347">
        <f>IF('01 Cover &amp; Control'!$C$19="Base",G18,IF('01 Cover &amp; Control'!$C$19="Upside",G19,G20))</f>
        <v/>
      </c>
      <c r="H21" s="347">
        <f>IF('01 Cover &amp; Control'!$C$19="Base",H18,IF('01 Cover &amp; Control'!$C$19="Upside",H19,H20))</f>
        <v/>
      </c>
      <c r="I21" s="347">
        <f>SUM(E21:H21)</f>
        <v/>
      </c>
      <c r="J21" s="347">
        <f>IF('01 Cover &amp; Control'!$C$19="Base",J18,IF('01 Cover &amp; Control'!$C$19="Upside",J19,J20))</f>
        <v/>
      </c>
      <c r="K21" s="347">
        <f>IF('01 Cover &amp; Control'!$C$19="Base",K18,IF('01 Cover &amp; Control'!$C$19="Upside",K19,K20))</f>
        <v/>
      </c>
      <c r="L21" s="347">
        <f>IF('01 Cover &amp; Control'!$C$19="Base",L18,IF('01 Cover &amp; Control'!$C$19="Upside",L19,L20))</f>
        <v/>
      </c>
      <c r="M21" s="347">
        <f>IF('01 Cover &amp; Control'!$C$19="Base",M18,IF('01 Cover &amp; Control'!$C$19="Upside",M19,M20))</f>
        <v/>
      </c>
      <c r="N21" s="347">
        <f>SUM(J21:M21)</f>
        <v/>
      </c>
      <c r="O21" s="347">
        <f>IF('01 Cover &amp; Control'!$C$19="Base",O18,IF('01 Cover &amp; Control'!$C$19="Upside",O19,O20))</f>
        <v/>
      </c>
      <c r="P21" s="347">
        <f>IF('01 Cover &amp; Control'!$C$19="Base",P18,IF('01 Cover &amp; Control'!$C$19="Upside",P19,P20))</f>
        <v/>
      </c>
      <c r="Q21" s="347">
        <f>IF('01 Cover &amp; Control'!$C$19="Base",Q18,IF('01 Cover &amp; Control'!$C$19="Upside",Q19,Q20))</f>
        <v/>
      </c>
      <c r="R21" s="347">
        <f>IF('01 Cover &amp; Control'!$C$19="Base",R18,IF('01 Cover &amp; Control'!$C$19="Upside",R19,R20))</f>
        <v/>
      </c>
      <c r="S21" s="347">
        <f>SUM(O21:R21)</f>
        <v/>
      </c>
      <c r="T21" s="347">
        <f>IF('01 Cover &amp; Control'!$C$19="Base",T18,IF('01 Cover &amp; Control'!$C$19="Upside",T19,T20))</f>
        <v/>
      </c>
      <c r="U21" s="347">
        <f>IF('01 Cover &amp; Control'!$C$19="Base",U18,IF('01 Cover &amp; Control'!$C$19="Upside",U19,U20))</f>
        <v/>
      </c>
      <c r="V21" s="347">
        <f>IF('01 Cover &amp; Control'!$C$19="Base",V18,IF('01 Cover &amp; Control'!$C$19="Upside",V19,V20))</f>
        <v/>
      </c>
      <c r="W21" s="347">
        <f>IF('01 Cover &amp; Control'!$C$19="Base",W18,IF('01 Cover &amp; Control'!$C$19="Upside",W19,W20))</f>
        <v/>
      </c>
      <c r="X21" s="347">
        <f>SUM(T21:W21)</f>
        <v/>
      </c>
      <c r="Y21" s="347">
        <f>IF('01 Cover &amp; Control'!$C$19="Base",Y18,IF('01 Cover &amp; Control'!$C$19="Upside",Y19,Y20))</f>
        <v/>
      </c>
      <c r="Z21" s="347">
        <f>IF('01 Cover &amp; Control'!$C$19="Base",Z18,IF('01 Cover &amp; Control'!$C$19="Upside",Z19,Z20))</f>
        <v/>
      </c>
      <c r="AA21" s="347">
        <f>IF('01 Cover &amp; Control'!$C$19="Base",AA18,IF('01 Cover &amp; Control'!$C$19="Upside",AA19,AA20))</f>
        <v/>
      </c>
      <c r="AB21" s="347">
        <f>IF('01 Cover &amp; Control'!$C$19="Base",AB18,IF('01 Cover &amp; Control'!$C$19="Upside",AB19,AB20))</f>
        <v/>
      </c>
      <c r="AC21" s="347">
        <f>SUM(Y21:AB21)</f>
        <v/>
      </c>
      <c r="AD21" s="347">
        <f>IF('01 Cover &amp; Control'!$C$19="Base",AD18,IF('01 Cover &amp; Control'!$C$19="Upside",AD19,AD20))</f>
        <v/>
      </c>
      <c r="AE21" s="347">
        <f>IF('01 Cover &amp; Control'!$C$19="Base",AE18,IF('01 Cover &amp; Control'!$C$19="Upside",AE19,AE20))</f>
        <v/>
      </c>
      <c r="AF21" s="347">
        <f>IF('01 Cover &amp; Control'!$C$19="Base",AF18,IF('01 Cover &amp; Control'!$C$19="Upside",AF19,AF20))</f>
        <v/>
      </c>
      <c r="AG21" s="347">
        <f>IF('01 Cover &amp; Control'!$C$19="Base",AG18,IF('01 Cover &amp; Control'!$C$19="Upside",AG19,AG20))</f>
        <v/>
      </c>
      <c r="AH21" s="347">
        <f>SUM(AD21:AG21)</f>
        <v/>
      </c>
      <c r="AI21" s="347">
        <f>IF('01 Cover &amp; Control'!$C$19="Base",AI18,IF('01 Cover &amp; Control'!$C$19="Upside",AI19,AI20))</f>
        <v/>
      </c>
      <c r="AJ21" s="347">
        <f>IF('01 Cover &amp; Control'!$C$19="Base",AJ18,IF('01 Cover &amp; Control'!$C$19="Upside",AJ19,AJ20))</f>
        <v/>
      </c>
      <c r="AK21" s="347">
        <f>IF('01 Cover &amp; Control'!$C$19="Base",AK18,IF('01 Cover &amp; Control'!$C$19="Upside",AK19,AK20))</f>
        <v/>
      </c>
      <c r="AL21" s="347">
        <f>IF('01 Cover &amp; Control'!$C$19="Base",AL18,IF('01 Cover &amp; Control'!$C$19="Upside",AL19,AL20))</f>
        <v/>
      </c>
      <c r="AM21" s="347">
        <f>SUM(AI21:AL21)</f>
        <v/>
      </c>
      <c r="AN21" s="347">
        <f>IF('01 Cover &amp; Control'!$C$19="Base",AN18,IF('01 Cover &amp; Control'!$C$19="Upside",AN19,AN20))</f>
        <v/>
      </c>
      <c r="AO21" s="347">
        <f>IF('01 Cover &amp; Control'!$C$19="Base",AO18,IF('01 Cover &amp; Control'!$C$19="Upside",AO19,AO20))</f>
        <v/>
      </c>
      <c r="AP21" s="347">
        <f>IF('01 Cover &amp; Control'!$C$19="Base",AP18,IF('01 Cover &amp; Control'!$C$19="Upside",AP19,AP20))</f>
        <v/>
      </c>
      <c r="AQ21" s="347">
        <f>IF('01 Cover &amp; Control'!$C$19="Base",AQ18,IF('01 Cover &amp; Control'!$C$19="Upside",AQ19,AQ20))</f>
        <v/>
      </c>
      <c r="AR21" s="347">
        <f>SUM(AN21:AQ21)</f>
        <v/>
      </c>
    </row>
    <row r="22" ht="3.75" customHeight="1" s="290"/>
    <row r="23" ht="13.5" customHeight="1" s="290">
      <c r="A23" s="339" t="n"/>
      <c r="B23" s="340" t="inlineStr">
        <is>
          <t xml:space="preserve">  Cap Rate — Blended CRE (Market Average)  —  Base</t>
        </is>
      </c>
      <c r="C23" s="341" t="inlineStr">
        <is>
          <t>%</t>
        </is>
      </c>
      <c r="D23" s="342" t="inlineStr">
        <is>
          <t>CBRE Cap Rate Survey; NCREIF; RCA/MSCI</t>
        </is>
      </c>
      <c r="E23" s="343" t="n">
        <v>6.2</v>
      </c>
      <c r="F23" s="343" t="n">
        <v>6.2</v>
      </c>
      <c r="G23" s="343" t="n">
        <v>6.2</v>
      </c>
      <c r="H23" s="343" t="n">
        <v>6.2</v>
      </c>
      <c r="I23" s="344">
        <f>SUM(E23:H23)</f>
        <v/>
      </c>
      <c r="J23" s="343" t="n">
        <v>6.5</v>
      </c>
      <c r="K23" s="343" t="n">
        <v>6.5</v>
      </c>
      <c r="L23" s="343" t="n">
        <v>6.5</v>
      </c>
      <c r="M23" s="343" t="n">
        <v>6.5</v>
      </c>
      <c r="N23" s="344">
        <f>SUM(J23:M23)</f>
        <v/>
      </c>
      <c r="O23" s="343" t="n">
        <v>6.4</v>
      </c>
      <c r="P23" s="343" t="n">
        <v>6.4</v>
      </c>
      <c r="Q23" s="343" t="n">
        <v>6.4</v>
      </c>
      <c r="R23" s="343" t="n">
        <v>6.4</v>
      </c>
      <c r="S23" s="344">
        <f>SUM(O23:R23)</f>
        <v/>
      </c>
      <c r="T23" s="343" t="n">
        <v>6.2</v>
      </c>
      <c r="U23" s="343" t="n">
        <v>6.2</v>
      </c>
      <c r="V23" s="343" t="n">
        <v>6.2</v>
      </c>
      <c r="W23" s="343" t="n">
        <v>6.2</v>
      </c>
      <c r="X23" s="344">
        <f>SUM(T23:W23)</f>
        <v/>
      </c>
      <c r="Y23" s="343" t="n">
        <v>6.1</v>
      </c>
      <c r="Z23" s="343" t="n">
        <v>6.1</v>
      </c>
      <c r="AA23" s="343" t="n">
        <v>6.1</v>
      </c>
      <c r="AB23" s="343" t="n">
        <v>6.1</v>
      </c>
      <c r="AC23" s="344">
        <f>SUM(Y23:AB23)</f>
        <v/>
      </c>
      <c r="AD23" s="343" t="n">
        <v>6</v>
      </c>
      <c r="AE23" s="343" t="n">
        <v>6</v>
      </c>
      <c r="AF23" s="343" t="n">
        <v>6</v>
      </c>
      <c r="AG23" s="343" t="n">
        <v>6</v>
      </c>
      <c r="AH23" s="344">
        <f>SUM(AD23:AG23)</f>
        <v/>
      </c>
      <c r="AI23" s="343" t="n">
        <v>6</v>
      </c>
      <c r="AJ23" s="343" t="n">
        <v>6</v>
      </c>
      <c r="AK23" s="343" t="n">
        <v>6</v>
      </c>
      <c r="AL23" s="343" t="n">
        <v>6</v>
      </c>
      <c r="AM23" s="344">
        <f>SUM(AI23:AL23)</f>
        <v/>
      </c>
      <c r="AN23" s="343" t="n">
        <v>6</v>
      </c>
      <c r="AO23" s="343" t="n">
        <v>6</v>
      </c>
      <c r="AP23" s="343" t="n">
        <v>6</v>
      </c>
      <c r="AQ23" s="343" t="n">
        <v>6</v>
      </c>
      <c r="AR23" s="344">
        <f>SUM(AN23:AQ23)</f>
        <v/>
      </c>
    </row>
    <row r="24" ht="13.5" customHeight="1" s="290">
      <c r="A24" s="339" t="n"/>
      <c r="B24" s="340" t="inlineStr">
        <is>
          <t xml:space="preserve">  Cap Rate — Blended CRE (Market Average)  —  Upside</t>
        </is>
      </c>
      <c r="E24" s="343" t="n">
        <v>6.2</v>
      </c>
      <c r="F24" s="343" t="n">
        <v>6.2</v>
      </c>
      <c r="G24" s="343" t="n">
        <v>6.2</v>
      </c>
      <c r="H24" s="343" t="n">
        <v>6.2</v>
      </c>
      <c r="I24" s="344">
        <f>SUM(E24:H24)</f>
        <v/>
      </c>
      <c r="J24" s="343" t="n">
        <v>6.5</v>
      </c>
      <c r="K24" s="343" t="n">
        <v>6.5</v>
      </c>
      <c r="L24" s="343" t="n">
        <v>6.5</v>
      </c>
      <c r="M24" s="343" t="n">
        <v>6.5</v>
      </c>
      <c r="N24" s="344">
        <f>SUM(J24:M24)</f>
        <v/>
      </c>
      <c r="O24" s="343" t="n">
        <v>6.2</v>
      </c>
      <c r="P24" s="343" t="n">
        <v>6.2</v>
      </c>
      <c r="Q24" s="343" t="n">
        <v>6.2</v>
      </c>
      <c r="R24" s="343" t="n">
        <v>6.2</v>
      </c>
      <c r="S24" s="344">
        <f>SUM(O24:R24)</f>
        <v/>
      </c>
      <c r="T24" s="343" t="n">
        <v>5.9</v>
      </c>
      <c r="U24" s="343" t="n">
        <v>5.9</v>
      </c>
      <c r="V24" s="343" t="n">
        <v>5.9</v>
      </c>
      <c r="W24" s="343" t="n">
        <v>5.9</v>
      </c>
      <c r="X24" s="344">
        <f>SUM(T24:W24)</f>
        <v/>
      </c>
      <c r="Y24" s="343" t="n">
        <v>5.7</v>
      </c>
      <c r="Z24" s="343" t="n">
        <v>5.7</v>
      </c>
      <c r="AA24" s="343" t="n">
        <v>5.7</v>
      </c>
      <c r="AB24" s="343" t="n">
        <v>5.7</v>
      </c>
      <c r="AC24" s="344">
        <f>SUM(Y24:AB24)</f>
        <v/>
      </c>
      <c r="AD24" s="343" t="n">
        <v>5.6</v>
      </c>
      <c r="AE24" s="343" t="n">
        <v>5.6</v>
      </c>
      <c r="AF24" s="343" t="n">
        <v>5.6</v>
      </c>
      <c r="AG24" s="343" t="n">
        <v>5.6</v>
      </c>
      <c r="AH24" s="344">
        <f>SUM(AD24:AG24)</f>
        <v/>
      </c>
      <c r="AI24" s="343" t="n">
        <v>5.5</v>
      </c>
      <c r="AJ24" s="343" t="n">
        <v>5.5</v>
      </c>
      <c r="AK24" s="343" t="n">
        <v>5.5</v>
      </c>
      <c r="AL24" s="343" t="n">
        <v>5.5</v>
      </c>
      <c r="AM24" s="344">
        <f>SUM(AI24:AL24)</f>
        <v/>
      </c>
      <c r="AN24" s="343" t="n">
        <v>5.5</v>
      </c>
      <c r="AO24" s="343" t="n">
        <v>5.5</v>
      </c>
      <c r="AP24" s="343" t="n">
        <v>5.5</v>
      </c>
      <c r="AQ24" s="343" t="n">
        <v>5.5</v>
      </c>
      <c r="AR24" s="344">
        <f>SUM(AN24:AQ24)</f>
        <v/>
      </c>
    </row>
    <row r="25" ht="13.5" customHeight="1" s="290">
      <c r="A25" s="339" t="n"/>
      <c r="B25" s="340" t="inlineStr">
        <is>
          <t xml:space="preserve">  Cap Rate — Blended CRE (Market Average)  —  Downside</t>
        </is>
      </c>
      <c r="E25" s="343" t="n">
        <v>6.2</v>
      </c>
      <c r="F25" s="343" t="n">
        <v>6.2</v>
      </c>
      <c r="G25" s="343" t="n">
        <v>6.2</v>
      </c>
      <c r="H25" s="343" t="n">
        <v>6.2</v>
      </c>
      <c r="I25" s="344">
        <f>SUM(E25:H25)</f>
        <v/>
      </c>
      <c r="J25" s="343" t="n">
        <v>6.5</v>
      </c>
      <c r="K25" s="343" t="n">
        <v>6.5</v>
      </c>
      <c r="L25" s="343" t="n">
        <v>6.5</v>
      </c>
      <c r="M25" s="343" t="n">
        <v>6.5</v>
      </c>
      <c r="N25" s="344">
        <f>SUM(J25:M25)</f>
        <v/>
      </c>
      <c r="O25" s="343" t="n">
        <v>6.8</v>
      </c>
      <c r="P25" s="343" t="n">
        <v>6.8</v>
      </c>
      <c r="Q25" s="343" t="n">
        <v>6.8</v>
      </c>
      <c r="R25" s="343" t="n">
        <v>6.8</v>
      </c>
      <c r="S25" s="344">
        <f>SUM(O25:R25)</f>
        <v/>
      </c>
      <c r="T25" s="343" t="n">
        <v>7.1</v>
      </c>
      <c r="U25" s="343" t="n">
        <v>7.1</v>
      </c>
      <c r="V25" s="343" t="n">
        <v>7.1</v>
      </c>
      <c r="W25" s="343" t="n">
        <v>7.1</v>
      </c>
      <c r="X25" s="344">
        <f>SUM(T25:W25)</f>
        <v/>
      </c>
      <c r="Y25" s="343" t="n">
        <v>7</v>
      </c>
      <c r="Z25" s="343" t="n">
        <v>7</v>
      </c>
      <c r="AA25" s="343" t="n">
        <v>7</v>
      </c>
      <c r="AB25" s="343" t="n">
        <v>7</v>
      </c>
      <c r="AC25" s="344">
        <f>SUM(Y25:AB25)</f>
        <v/>
      </c>
      <c r="AD25" s="343" t="n">
        <v>6.9</v>
      </c>
      <c r="AE25" s="343" t="n">
        <v>6.9</v>
      </c>
      <c r="AF25" s="343" t="n">
        <v>6.9</v>
      </c>
      <c r="AG25" s="343" t="n">
        <v>6.9</v>
      </c>
      <c r="AH25" s="344">
        <f>SUM(AD25:AG25)</f>
        <v/>
      </c>
      <c r="AI25" s="343" t="n">
        <v>6.8</v>
      </c>
      <c r="AJ25" s="343" t="n">
        <v>6.8</v>
      </c>
      <c r="AK25" s="343" t="n">
        <v>6.8</v>
      </c>
      <c r="AL25" s="343" t="n">
        <v>6.8</v>
      </c>
      <c r="AM25" s="344">
        <f>SUM(AI25:AL25)</f>
        <v/>
      </c>
      <c r="AN25" s="343" t="n">
        <v>6.7</v>
      </c>
      <c r="AO25" s="343" t="n">
        <v>6.7</v>
      </c>
      <c r="AP25" s="343" t="n">
        <v>6.7</v>
      </c>
      <c r="AQ25" s="343" t="n">
        <v>6.7</v>
      </c>
      <c r="AR25" s="344">
        <f>SUM(AN25:AQ25)</f>
        <v/>
      </c>
    </row>
    <row r="26" ht="13.5" customHeight="1" s="290">
      <c r="A26" s="345" t="n"/>
      <c r="B26" s="346" t="inlineStr">
        <is>
          <t xml:space="preserve">  Cap Rate — Blended CRE (Market Average)  —  ★ ACTIVE</t>
        </is>
      </c>
      <c r="E26" s="347">
        <f>IF('01 Cover &amp; Control'!$C$19="Base",E23,IF('01 Cover &amp; Control'!$C$19="Upside",E24,E25))</f>
        <v/>
      </c>
      <c r="F26" s="347">
        <f>IF('01 Cover &amp; Control'!$C$19="Base",F23,IF('01 Cover &amp; Control'!$C$19="Upside",F24,F25))</f>
        <v/>
      </c>
      <c r="G26" s="347">
        <f>IF('01 Cover &amp; Control'!$C$19="Base",G23,IF('01 Cover &amp; Control'!$C$19="Upside",G24,G25))</f>
        <v/>
      </c>
      <c r="H26" s="347">
        <f>IF('01 Cover &amp; Control'!$C$19="Base",H23,IF('01 Cover &amp; Control'!$C$19="Upside",H24,H25))</f>
        <v/>
      </c>
      <c r="I26" s="347">
        <f>SUM(E26:H26)</f>
        <v/>
      </c>
      <c r="J26" s="347">
        <f>IF('01 Cover &amp; Control'!$C$19="Base",J23,IF('01 Cover &amp; Control'!$C$19="Upside",J24,J25))</f>
        <v/>
      </c>
      <c r="K26" s="347">
        <f>IF('01 Cover &amp; Control'!$C$19="Base",K23,IF('01 Cover &amp; Control'!$C$19="Upside",K24,K25))</f>
        <v/>
      </c>
      <c r="L26" s="347">
        <f>IF('01 Cover &amp; Control'!$C$19="Base",L23,IF('01 Cover &amp; Control'!$C$19="Upside",L24,L25))</f>
        <v/>
      </c>
      <c r="M26" s="347">
        <f>IF('01 Cover &amp; Control'!$C$19="Base",M23,IF('01 Cover &amp; Control'!$C$19="Upside",M24,M25))</f>
        <v/>
      </c>
      <c r="N26" s="347">
        <f>SUM(J26:M26)</f>
        <v/>
      </c>
      <c r="O26" s="347">
        <f>IF('01 Cover &amp; Control'!$C$19="Base",O23,IF('01 Cover &amp; Control'!$C$19="Upside",O24,O25))</f>
        <v/>
      </c>
      <c r="P26" s="347">
        <f>IF('01 Cover &amp; Control'!$C$19="Base",P23,IF('01 Cover &amp; Control'!$C$19="Upside",P24,P25))</f>
        <v/>
      </c>
      <c r="Q26" s="347">
        <f>IF('01 Cover &amp; Control'!$C$19="Base",Q23,IF('01 Cover &amp; Control'!$C$19="Upside",Q24,Q25))</f>
        <v/>
      </c>
      <c r="R26" s="347">
        <f>IF('01 Cover &amp; Control'!$C$19="Base",R23,IF('01 Cover &amp; Control'!$C$19="Upside",R24,R25))</f>
        <v/>
      </c>
      <c r="S26" s="347">
        <f>SUM(O26:R26)</f>
        <v/>
      </c>
      <c r="T26" s="347">
        <f>IF('01 Cover &amp; Control'!$C$19="Base",T23,IF('01 Cover &amp; Control'!$C$19="Upside",T24,T25))</f>
        <v/>
      </c>
      <c r="U26" s="347">
        <f>IF('01 Cover &amp; Control'!$C$19="Base",U23,IF('01 Cover &amp; Control'!$C$19="Upside",U24,U25))</f>
        <v/>
      </c>
      <c r="V26" s="347">
        <f>IF('01 Cover &amp; Control'!$C$19="Base",V23,IF('01 Cover &amp; Control'!$C$19="Upside",V24,V25))</f>
        <v/>
      </c>
      <c r="W26" s="347">
        <f>IF('01 Cover &amp; Control'!$C$19="Base",W23,IF('01 Cover &amp; Control'!$C$19="Upside",W24,W25))</f>
        <v/>
      </c>
      <c r="X26" s="347">
        <f>SUM(T26:W26)</f>
        <v/>
      </c>
      <c r="Y26" s="347">
        <f>IF('01 Cover &amp; Control'!$C$19="Base",Y23,IF('01 Cover &amp; Control'!$C$19="Upside",Y24,Y25))</f>
        <v/>
      </c>
      <c r="Z26" s="347">
        <f>IF('01 Cover &amp; Control'!$C$19="Base",Z23,IF('01 Cover &amp; Control'!$C$19="Upside",Z24,Z25))</f>
        <v/>
      </c>
      <c r="AA26" s="347">
        <f>IF('01 Cover &amp; Control'!$C$19="Base",AA23,IF('01 Cover &amp; Control'!$C$19="Upside",AA24,AA25))</f>
        <v/>
      </c>
      <c r="AB26" s="347">
        <f>IF('01 Cover &amp; Control'!$C$19="Base",AB23,IF('01 Cover &amp; Control'!$C$19="Upside",AB24,AB25))</f>
        <v/>
      </c>
      <c r="AC26" s="347">
        <f>SUM(Y26:AB26)</f>
        <v/>
      </c>
      <c r="AD26" s="347">
        <f>IF('01 Cover &amp; Control'!$C$19="Base",AD23,IF('01 Cover &amp; Control'!$C$19="Upside",AD24,AD25))</f>
        <v/>
      </c>
      <c r="AE26" s="347">
        <f>IF('01 Cover &amp; Control'!$C$19="Base",AE23,IF('01 Cover &amp; Control'!$C$19="Upside",AE24,AE25))</f>
        <v/>
      </c>
      <c r="AF26" s="347">
        <f>IF('01 Cover &amp; Control'!$C$19="Base",AF23,IF('01 Cover &amp; Control'!$C$19="Upside",AF24,AF25))</f>
        <v/>
      </c>
      <c r="AG26" s="347">
        <f>IF('01 Cover &amp; Control'!$C$19="Base",AG23,IF('01 Cover &amp; Control'!$C$19="Upside",AG24,AG25))</f>
        <v/>
      </c>
      <c r="AH26" s="347">
        <f>SUM(AD26:AG26)</f>
        <v/>
      </c>
      <c r="AI26" s="347">
        <f>IF('01 Cover &amp; Control'!$C$19="Base",AI23,IF('01 Cover &amp; Control'!$C$19="Upside",AI24,AI25))</f>
        <v/>
      </c>
      <c r="AJ26" s="347">
        <f>IF('01 Cover &amp; Control'!$C$19="Base",AJ23,IF('01 Cover &amp; Control'!$C$19="Upside",AJ24,AJ25))</f>
        <v/>
      </c>
      <c r="AK26" s="347">
        <f>IF('01 Cover &amp; Control'!$C$19="Base",AK23,IF('01 Cover &amp; Control'!$C$19="Upside",AK24,AK25))</f>
        <v/>
      </c>
      <c r="AL26" s="347">
        <f>IF('01 Cover &amp; Control'!$C$19="Base",AL23,IF('01 Cover &amp; Control'!$C$19="Upside",AL24,AL25))</f>
        <v/>
      </c>
      <c r="AM26" s="347">
        <f>SUM(AI26:AL26)</f>
        <v/>
      </c>
      <c r="AN26" s="347">
        <f>IF('01 Cover &amp; Control'!$C$19="Base",AN23,IF('01 Cover &amp; Control'!$C$19="Upside",AN24,AN25))</f>
        <v/>
      </c>
      <c r="AO26" s="347">
        <f>IF('01 Cover &amp; Control'!$C$19="Base",AO23,IF('01 Cover &amp; Control'!$C$19="Upside",AO24,AO25))</f>
        <v/>
      </c>
      <c r="AP26" s="347">
        <f>IF('01 Cover &amp; Control'!$C$19="Base",AP23,IF('01 Cover &amp; Control'!$C$19="Upside",AP24,AP25))</f>
        <v/>
      </c>
      <c r="AQ26" s="347">
        <f>IF('01 Cover &amp; Control'!$C$19="Base",AQ23,IF('01 Cover &amp; Control'!$C$19="Upside",AQ24,AQ25))</f>
        <v/>
      </c>
      <c r="AR26" s="347">
        <f>SUM(AN26:AQ26)</f>
        <v/>
      </c>
    </row>
    <row r="27" ht="3.75" customHeight="1" s="290"/>
    <row r="28" ht="13.5" customHeight="1" s="290">
      <c r="A28" s="339" t="n"/>
      <c r="B28" s="340" t="inlineStr">
        <is>
          <t xml:space="preserve">  Market Rent Growth — National Blended  —  Base</t>
        </is>
      </c>
      <c r="C28" s="341" t="inlineStr">
        <is>
          <t>% / yr</t>
        </is>
      </c>
      <c r="D28" s="342" t="inlineStr">
        <is>
          <t>CBRE MarketView; JLL Research; Cushman &amp; Wakefield</t>
        </is>
      </c>
      <c r="E28" s="343" t="n">
        <v>2.5</v>
      </c>
      <c r="F28" s="343" t="n">
        <v>2.5</v>
      </c>
      <c r="G28" s="343" t="n">
        <v>2.5</v>
      </c>
      <c r="H28" s="343" t="n">
        <v>2.5</v>
      </c>
      <c r="I28" s="344">
        <f>SUM(E28:H28)</f>
        <v/>
      </c>
      <c r="J28" s="343" t="n">
        <v>2</v>
      </c>
      <c r="K28" s="343" t="n">
        <v>2</v>
      </c>
      <c r="L28" s="343" t="n">
        <v>2</v>
      </c>
      <c r="M28" s="343" t="n">
        <v>2</v>
      </c>
      <c r="N28" s="344">
        <f>SUM(J28:M28)</f>
        <v/>
      </c>
      <c r="O28" s="343" t="n">
        <v>2.2</v>
      </c>
      <c r="P28" s="343" t="n">
        <v>2.2</v>
      </c>
      <c r="Q28" s="343" t="n">
        <v>2.2</v>
      </c>
      <c r="R28" s="343" t="n">
        <v>2.2</v>
      </c>
      <c r="S28" s="344">
        <f>SUM(O28:R28)</f>
        <v/>
      </c>
      <c r="T28" s="343" t="n">
        <v>2.8</v>
      </c>
      <c r="U28" s="343" t="n">
        <v>2.8</v>
      </c>
      <c r="V28" s="343" t="n">
        <v>2.8</v>
      </c>
      <c r="W28" s="343" t="n">
        <v>2.8</v>
      </c>
      <c r="X28" s="344">
        <f>SUM(T28:W28)</f>
        <v/>
      </c>
      <c r="Y28" s="343" t="n">
        <v>3</v>
      </c>
      <c r="Z28" s="343" t="n">
        <v>3</v>
      </c>
      <c r="AA28" s="343" t="n">
        <v>3</v>
      </c>
      <c r="AB28" s="343" t="n">
        <v>3</v>
      </c>
      <c r="AC28" s="344">
        <f>SUM(Y28:AB28)</f>
        <v/>
      </c>
      <c r="AD28" s="343" t="n">
        <v>3</v>
      </c>
      <c r="AE28" s="343" t="n">
        <v>3</v>
      </c>
      <c r="AF28" s="343" t="n">
        <v>3</v>
      </c>
      <c r="AG28" s="343" t="n">
        <v>3</v>
      </c>
      <c r="AH28" s="344">
        <f>SUM(AD28:AG28)</f>
        <v/>
      </c>
      <c r="AI28" s="343" t="n">
        <v>3</v>
      </c>
      <c r="AJ28" s="343" t="n">
        <v>3</v>
      </c>
      <c r="AK28" s="343" t="n">
        <v>3</v>
      </c>
      <c r="AL28" s="343" t="n">
        <v>3</v>
      </c>
      <c r="AM28" s="344">
        <f>SUM(AI28:AL28)</f>
        <v/>
      </c>
      <c r="AN28" s="343" t="n">
        <v>3</v>
      </c>
      <c r="AO28" s="343" t="n">
        <v>3</v>
      </c>
      <c r="AP28" s="343" t="n">
        <v>3</v>
      </c>
      <c r="AQ28" s="343" t="n">
        <v>3</v>
      </c>
      <c r="AR28" s="344">
        <f>SUM(AN28:AQ28)</f>
        <v/>
      </c>
    </row>
    <row r="29" ht="13.5" customHeight="1" s="290">
      <c r="A29" s="339" t="n"/>
      <c r="B29" s="340" t="inlineStr">
        <is>
          <t xml:space="preserve">  Market Rent Growth — National Blended  —  Upside</t>
        </is>
      </c>
      <c r="E29" s="343" t="n">
        <v>2.5</v>
      </c>
      <c r="F29" s="343" t="n">
        <v>2.5</v>
      </c>
      <c r="G29" s="343" t="n">
        <v>2.5</v>
      </c>
      <c r="H29" s="343" t="n">
        <v>2.5</v>
      </c>
      <c r="I29" s="344">
        <f>SUM(E29:H29)</f>
        <v/>
      </c>
      <c r="J29" s="343" t="n">
        <v>2</v>
      </c>
      <c r="K29" s="343" t="n">
        <v>2</v>
      </c>
      <c r="L29" s="343" t="n">
        <v>2</v>
      </c>
      <c r="M29" s="343" t="n">
        <v>2</v>
      </c>
      <c r="N29" s="344">
        <f>SUM(J29:M29)</f>
        <v/>
      </c>
      <c r="O29" s="343" t="n">
        <v>2.8</v>
      </c>
      <c r="P29" s="343" t="n">
        <v>2.8</v>
      </c>
      <c r="Q29" s="343" t="n">
        <v>2.8</v>
      </c>
      <c r="R29" s="343" t="n">
        <v>2.8</v>
      </c>
      <c r="S29" s="344">
        <f>SUM(O29:R29)</f>
        <v/>
      </c>
      <c r="T29" s="343" t="n">
        <v>3.6</v>
      </c>
      <c r="U29" s="343" t="n">
        <v>3.6</v>
      </c>
      <c r="V29" s="343" t="n">
        <v>3.6</v>
      </c>
      <c r="W29" s="343" t="n">
        <v>3.6</v>
      </c>
      <c r="X29" s="344">
        <f>SUM(T29:W29)</f>
        <v/>
      </c>
      <c r="Y29" s="343" t="n">
        <v>3.8</v>
      </c>
      <c r="Z29" s="343" t="n">
        <v>3.8</v>
      </c>
      <c r="AA29" s="343" t="n">
        <v>3.8</v>
      </c>
      <c r="AB29" s="343" t="n">
        <v>3.8</v>
      </c>
      <c r="AC29" s="344">
        <f>SUM(Y29:AB29)</f>
        <v/>
      </c>
      <c r="AD29" s="343" t="n">
        <v>3.8</v>
      </c>
      <c r="AE29" s="343" t="n">
        <v>3.8</v>
      </c>
      <c r="AF29" s="343" t="n">
        <v>3.8</v>
      </c>
      <c r="AG29" s="343" t="n">
        <v>3.8</v>
      </c>
      <c r="AH29" s="344">
        <f>SUM(AD29:AG29)</f>
        <v/>
      </c>
      <c r="AI29" s="343" t="n">
        <v>3.7</v>
      </c>
      <c r="AJ29" s="343" t="n">
        <v>3.7</v>
      </c>
      <c r="AK29" s="343" t="n">
        <v>3.7</v>
      </c>
      <c r="AL29" s="343" t="n">
        <v>3.7</v>
      </c>
      <c r="AM29" s="344">
        <f>SUM(AI29:AL29)</f>
        <v/>
      </c>
      <c r="AN29" s="343" t="n">
        <v>3.6</v>
      </c>
      <c r="AO29" s="343" t="n">
        <v>3.6</v>
      </c>
      <c r="AP29" s="343" t="n">
        <v>3.6</v>
      </c>
      <c r="AQ29" s="343" t="n">
        <v>3.6</v>
      </c>
      <c r="AR29" s="344">
        <f>SUM(AN29:AQ29)</f>
        <v/>
      </c>
    </row>
    <row r="30" ht="13.5" customHeight="1" s="290">
      <c r="A30" s="339" t="n"/>
      <c r="B30" s="340" t="inlineStr">
        <is>
          <t xml:space="preserve">  Market Rent Growth — National Blended  —  Downside</t>
        </is>
      </c>
      <c r="E30" s="343" t="n">
        <v>2.5</v>
      </c>
      <c r="F30" s="343" t="n">
        <v>2.5</v>
      </c>
      <c r="G30" s="343" t="n">
        <v>2.5</v>
      </c>
      <c r="H30" s="343" t="n">
        <v>2.5</v>
      </c>
      <c r="I30" s="344">
        <f>SUM(E30:H30)</f>
        <v/>
      </c>
      <c r="J30" s="343" t="n">
        <v>2</v>
      </c>
      <c r="K30" s="343" t="n">
        <v>2</v>
      </c>
      <c r="L30" s="343" t="n">
        <v>2</v>
      </c>
      <c r="M30" s="343" t="n">
        <v>2</v>
      </c>
      <c r="N30" s="344">
        <f>SUM(J30:M30)</f>
        <v/>
      </c>
      <c r="O30" s="343" t="n">
        <v>1</v>
      </c>
      <c r="P30" s="343" t="n">
        <v>1</v>
      </c>
      <c r="Q30" s="343" t="n">
        <v>1</v>
      </c>
      <c r="R30" s="343" t="n">
        <v>1</v>
      </c>
      <c r="S30" s="344">
        <f>SUM(O30:R30)</f>
        <v/>
      </c>
      <c r="T30" s="343" t="n">
        <v>0.5</v>
      </c>
      <c r="U30" s="343" t="n">
        <v>0.5</v>
      </c>
      <c r="V30" s="343" t="n">
        <v>0.5</v>
      </c>
      <c r="W30" s="343" t="n">
        <v>0.5</v>
      </c>
      <c r="X30" s="344">
        <f>SUM(T30:W30)</f>
        <v/>
      </c>
      <c r="Y30" s="343" t="n">
        <v>1</v>
      </c>
      <c r="Z30" s="343" t="n">
        <v>1</v>
      </c>
      <c r="AA30" s="343" t="n">
        <v>1</v>
      </c>
      <c r="AB30" s="343" t="n">
        <v>1</v>
      </c>
      <c r="AC30" s="344">
        <f>SUM(Y30:AB30)</f>
        <v/>
      </c>
      <c r="AD30" s="343" t="n">
        <v>1.5</v>
      </c>
      <c r="AE30" s="343" t="n">
        <v>1.5</v>
      </c>
      <c r="AF30" s="343" t="n">
        <v>1.5</v>
      </c>
      <c r="AG30" s="343" t="n">
        <v>1.5</v>
      </c>
      <c r="AH30" s="344">
        <f>SUM(AD30:AG30)</f>
        <v/>
      </c>
      <c r="AI30" s="343" t="n">
        <v>1.8</v>
      </c>
      <c r="AJ30" s="343" t="n">
        <v>1.8</v>
      </c>
      <c r="AK30" s="343" t="n">
        <v>1.8</v>
      </c>
      <c r="AL30" s="343" t="n">
        <v>1.8</v>
      </c>
      <c r="AM30" s="344">
        <f>SUM(AI30:AL30)</f>
        <v/>
      </c>
      <c r="AN30" s="343" t="n">
        <v>2</v>
      </c>
      <c r="AO30" s="343" t="n">
        <v>2</v>
      </c>
      <c r="AP30" s="343" t="n">
        <v>2</v>
      </c>
      <c r="AQ30" s="343" t="n">
        <v>2</v>
      </c>
      <c r="AR30" s="344">
        <f>SUM(AN30:AQ30)</f>
        <v/>
      </c>
    </row>
    <row r="31" ht="13.5" customHeight="1" s="290">
      <c r="A31" s="345" t="n"/>
      <c r="B31" s="346" t="inlineStr">
        <is>
          <t xml:space="preserve">  Market Rent Growth — National Blended  —  ★ ACTIVE</t>
        </is>
      </c>
      <c r="E31" s="347">
        <f>IF('01 Cover &amp; Control'!$C$19="Base",E28,IF('01 Cover &amp; Control'!$C$19="Upside",E29,E30))</f>
        <v/>
      </c>
      <c r="F31" s="347">
        <f>IF('01 Cover &amp; Control'!$C$19="Base",F28,IF('01 Cover &amp; Control'!$C$19="Upside",F29,F30))</f>
        <v/>
      </c>
      <c r="G31" s="347">
        <f>IF('01 Cover &amp; Control'!$C$19="Base",G28,IF('01 Cover &amp; Control'!$C$19="Upside",G29,G30))</f>
        <v/>
      </c>
      <c r="H31" s="347">
        <f>IF('01 Cover &amp; Control'!$C$19="Base",H28,IF('01 Cover &amp; Control'!$C$19="Upside",H29,H30))</f>
        <v/>
      </c>
      <c r="I31" s="347">
        <f>SUM(E31:H31)</f>
        <v/>
      </c>
      <c r="J31" s="347">
        <f>IF('01 Cover &amp; Control'!$C$19="Base",J28,IF('01 Cover &amp; Control'!$C$19="Upside",J29,J30))</f>
        <v/>
      </c>
      <c r="K31" s="347">
        <f>IF('01 Cover &amp; Control'!$C$19="Base",K28,IF('01 Cover &amp; Control'!$C$19="Upside",K29,K30))</f>
        <v/>
      </c>
      <c r="L31" s="347">
        <f>IF('01 Cover &amp; Control'!$C$19="Base",L28,IF('01 Cover &amp; Control'!$C$19="Upside",L29,L30))</f>
        <v/>
      </c>
      <c r="M31" s="347">
        <f>IF('01 Cover &amp; Control'!$C$19="Base",M28,IF('01 Cover &amp; Control'!$C$19="Upside",M29,M30))</f>
        <v/>
      </c>
      <c r="N31" s="347">
        <f>SUM(J31:M31)</f>
        <v/>
      </c>
      <c r="O31" s="347">
        <f>IF('01 Cover &amp; Control'!$C$19="Base",O28,IF('01 Cover &amp; Control'!$C$19="Upside",O29,O30))</f>
        <v/>
      </c>
      <c r="P31" s="347">
        <f>IF('01 Cover &amp; Control'!$C$19="Base",P28,IF('01 Cover &amp; Control'!$C$19="Upside",P29,P30))</f>
        <v/>
      </c>
      <c r="Q31" s="347">
        <f>IF('01 Cover &amp; Control'!$C$19="Base",Q28,IF('01 Cover &amp; Control'!$C$19="Upside",Q29,Q30))</f>
        <v/>
      </c>
      <c r="R31" s="347">
        <f>IF('01 Cover &amp; Control'!$C$19="Base",R28,IF('01 Cover &amp; Control'!$C$19="Upside",R29,R30))</f>
        <v/>
      </c>
      <c r="S31" s="347">
        <f>SUM(O31:R31)</f>
        <v/>
      </c>
      <c r="T31" s="347">
        <f>IF('01 Cover &amp; Control'!$C$19="Base",T28,IF('01 Cover &amp; Control'!$C$19="Upside",T29,T30))</f>
        <v/>
      </c>
      <c r="U31" s="347">
        <f>IF('01 Cover &amp; Control'!$C$19="Base",U28,IF('01 Cover &amp; Control'!$C$19="Upside",U29,U30))</f>
        <v/>
      </c>
      <c r="V31" s="347">
        <f>IF('01 Cover &amp; Control'!$C$19="Base",V28,IF('01 Cover &amp; Control'!$C$19="Upside",V29,V30))</f>
        <v/>
      </c>
      <c r="W31" s="347">
        <f>IF('01 Cover &amp; Control'!$C$19="Base",W28,IF('01 Cover &amp; Control'!$C$19="Upside",W29,W30))</f>
        <v/>
      </c>
      <c r="X31" s="347">
        <f>SUM(T31:W31)</f>
        <v/>
      </c>
      <c r="Y31" s="347">
        <f>IF('01 Cover &amp; Control'!$C$19="Base",Y28,IF('01 Cover &amp; Control'!$C$19="Upside",Y29,Y30))</f>
        <v/>
      </c>
      <c r="Z31" s="347">
        <f>IF('01 Cover &amp; Control'!$C$19="Base",Z28,IF('01 Cover &amp; Control'!$C$19="Upside",Z29,Z30))</f>
        <v/>
      </c>
      <c r="AA31" s="347">
        <f>IF('01 Cover &amp; Control'!$C$19="Base",AA28,IF('01 Cover &amp; Control'!$C$19="Upside",AA29,AA30))</f>
        <v/>
      </c>
      <c r="AB31" s="347">
        <f>IF('01 Cover &amp; Control'!$C$19="Base",AB28,IF('01 Cover &amp; Control'!$C$19="Upside",AB29,AB30))</f>
        <v/>
      </c>
      <c r="AC31" s="347">
        <f>SUM(Y31:AB31)</f>
        <v/>
      </c>
      <c r="AD31" s="347">
        <f>IF('01 Cover &amp; Control'!$C$19="Base",AD28,IF('01 Cover &amp; Control'!$C$19="Upside",AD29,AD30))</f>
        <v/>
      </c>
      <c r="AE31" s="347">
        <f>IF('01 Cover &amp; Control'!$C$19="Base",AE28,IF('01 Cover &amp; Control'!$C$19="Upside",AE29,AE30))</f>
        <v/>
      </c>
      <c r="AF31" s="347">
        <f>IF('01 Cover &amp; Control'!$C$19="Base",AF28,IF('01 Cover &amp; Control'!$C$19="Upside",AF29,AF30))</f>
        <v/>
      </c>
      <c r="AG31" s="347">
        <f>IF('01 Cover &amp; Control'!$C$19="Base",AG28,IF('01 Cover &amp; Control'!$C$19="Upside",AG29,AG30))</f>
        <v/>
      </c>
      <c r="AH31" s="347">
        <f>SUM(AD31:AG31)</f>
        <v/>
      </c>
      <c r="AI31" s="347">
        <f>IF('01 Cover &amp; Control'!$C$19="Base",AI28,IF('01 Cover &amp; Control'!$C$19="Upside",AI29,AI30))</f>
        <v/>
      </c>
      <c r="AJ31" s="347">
        <f>IF('01 Cover &amp; Control'!$C$19="Base",AJ28,IF('01 Cover &amp; Control'!$C$19="Upside",AJ29,AJ30))</f>
        <v/>
      </c>
      <c r="AK31" s="347">
        <f>IF('01 Cover &amp; Control'!$C$19="Base",AK28,IF('01 Cover &amp; Control'!$C$19="Upside",AK29,AK30))</f>
        <v/>
      </c>
      <c r="AL31" s="347">
        <f>IF('01 Cover &amp; Control'!$C$19="Base",AL28,IF('01 Cover &amp; Control'!$C$19="Upside",AL29,AL30))</f>
        <v/>
      </c>
      <c r="AM31" s="347">
        <f>SUM(AI31:AL31)</f>
        <v/>
      </c>
      <c r="AN31" s="347">
        <f>IF('01 Cover &amp; Control'!$C$19="Base",AN28,IF('01 Cover &amp; Control'!$C$19="Upside",AN29,AN30))</f>
        <v/>
      </c>
      <c r="AO31" s="347">
        <f>IF('01 Cover &amp; Control'!$C$19="Base",AO28,IF('01 Cover &amp; Control'!$C$19="Upside",AO29,AO30))</f>
        <v/>
      </c>
      <c r="AP31" s="347">
        <f>IF('01 Cover &amp; Control'!$C$19="Base",AP28,IF('01 Cover &amp; Control'!$C$19="Upside",AP29,AP30))</f>
        <v/>
      </c>
      <c r="AQ31" s="347">
        <f>IF('01 Cover &amp; Control'!$C$19="Base",AQ28,IF('01 Cover &amp; Control'!$C$19="Upside",AQ29,AQ30))</f>
        <v/>
      </c>
      <c r="AR31" s="347">
        <f>SUM(AN31:AQ31)</f>
        <v/>
      </c>
    </row>
    <row r="32" ht="3.75" customHeight="1" s="290"/>
    <row r="33" ht="13.5" customHeight="1" s="290">
      <c r="A33" s="339" t="n"/>
      <c r="B33" s="340" t="inlineStr">
        <is>
          <t xml:space="preserve">  Inflation / CPI (YoY)  —  Base</t>
        </is>
      </c>
      <c r="C33" s="341" t="inlineStr">
        <is>
          <t>% / yr</t>
        </is>
      </c>
      <c r="D33" s="342" t="inlineStr">
        <is>
          <t>BLS CPI Release; Federal Reserve PCE</t>
        </is>
      </c>
      <c r="E33" s="343" t="n">
        <v>4.1</v>
      </c>
      <c r="F33" s="343" t="n">
        <v>4.1</v>
      </c>
      <c r="G33" s="343" t="n">
        <v>4.1</v>
      </c>
      <c r="H33" s="343" t="n">
        <v>4.1</v>
      </c>
      <c r="I33" s="344">
        <f>SUM(E33:H33)</f>
        <v/>
      </c>
      <c r="J33" s="343" t="n">
        <v>3.2</v>
      </c>
      <c r="K33" s="343" t="n">
        <v>3.2</v>
      </c>
      <c r="L33" s="343" t="n">
        <v>3.2</v>
      </c>
      <c r="M33" s="343" t="n">
        <v>3.2</v>
      </c>
      <c r="N33" s="344">
        <f>SUM(J33:M33)</f>
        <v/>
      </c>
      <c r="O33" s="343" t="n">
        <v>2.6</v>
      </c>
      <c r="P33" s="343" t="n">
        <v>2.6</v>
      </c>
      <c r="Q33" s="343" t="n">
        <v>2.6</v>
      </c>
      <c r="R33" s="343" t="n">
        <v>2.6</v>
      </c>
      <c r="S33" s="344">
        <f>SUM(O33:R33)</f>
        <v/>
      </c>
      <c r="T33" s="343" t="n">
        <v>2.3</v>
      </c>
      <c r="U33" s="343" t="n">
        <v>2.3</v>
      </c>
      <c r="V33" s="343" t="n">
        <v>2.3</v>
      </c>
      <c r="W33" s="343" t="n">
        <v>2.3</v>
      </c>
      <c r="X33" s="344">
        <f>SUM(T33:W33)</f>
        <v/>
      </c>
      <c r="Y33" s="343" t="n">
        <v>2.2</v>
      </c>
      <c r="Z33" s="343" t="n">
        <v>2.2</v>
      </c>
      <c r="AA33" s="343" t="n">
        <v>2.2</v>
      </c>
      <c r="AB33" s="343" t="n">
        <v>2.2</v>
      </c>
      <c r="AC33" s="344">
        <f>SUM(Y33:AB33)</f>
        <v/>
      </c>
      <c r="AD33" s="343" t="n">
        <v>2.1</v>
      </c>
      <c r="AE33" s="343" t="n">
        <v>2.1</v>
      </c>
      <c r="AF33" s="343" t="n">
        <v>2.1</v>
      </c>
      <c r="AG33" s="343" t="n">
        <v>2.1</v>
      </c>
      <c r="AH33" s="344">
        <f>SUM(AD33:AG33)</f>
        <v/>
      </c>
      <c r="AI33" s="343" t="n">
        <v>2</v>
      </c>
      <c r="AJ33" s="343" t="n">
        <v>2</v>
      </c>
      <c r="AK33" s="343" t="n">
        <v>2</v>
      </c>
      <c r="AL33" s="343" t="n">
        <v>2</v>
      </c>
      <c r="AM33" s="344">
        <f>SUM(AI33:AL33)</f>
        <v/>
      </c>
      <c r="AN33" s="343" t="n">
        <v>2</v>
      </c>
      <c r="AO33" s="343" t="n">
        <v>2</v>
      </c>
      <c r="AP33" s="343" t="n">
        <v>2</v>
      </c>
      <c r="AQ33" s="343" t="n">
        <v>2</v>
      </c>
      <c r="AR33" s="344">
        <f>SUM(AN33:AQ33)</f>
        <v/>
      </c>
    </row>
    <row r="34" ht="13.5" customHeight="1" s="290">
      <c r="A34" s="339" t="n"/>
      <c r="B34" s="340" t="inlineStr">
        <is>
          <t xml:space="preserve">  Inflation / CPI (YoY)  —  Upside</t>
        </is>
      </c>
      <c r="E34" s="343" t="n">
        <v>4.1</v>
      </c>
      <c r="F34" s="343" t="n">
        <v>4.1</v>
      </c>
      <c r="G34" s="343" t="n">
        <v>4.1</v>
      </c>
      <c r="H34" s="343" t="n">
        <v>4.1</v>
      </c>
      <c r="I34" s="344">
        <f>SUM(E34:H34)</f>
        <v/>
      </c>
      <c r="J34" s="343" t="n">
        <v>3.2</v>
      </c>
      <c r="K34" s="343" t="n">
        <v>3.2</v>
      </c>
      <c r="L34" s="343" t="n">
        <v>3.2</v>
      </c>
      <c r="M34" s="343" t="n">
        <v>3.2</v>
      </c>
      <c r="N34" s="344">
        <f>SUM(J34:M34)</f>
        <v/>
      </c>
      <c r="O34" s="343" t="n">
        <v>2.4</v>
      </c>
      <c r="P34" s="343" t="n">
        <v>2.4</v>
      </c>
      <c r="Q34" s="343" t="n">
        <v>2.4</v>
      </c>
      <c r="R34" s="343" t="n">
        <v>2.4</v>
      </c>
      <c r="S34" s="344">
        <f>SUM(O34:R34)</f>
        <v/>
      </c>
      <c r="T34" s="343" t="n">
        <v>2.1</v>
      </c>
      <c r="U34" s="343" t="n">
        <v>2.1</v>
      </c>
      <c r="V34" s="343" t="n">
        <v>2.1</v>
      </c>
      <c r="W34" s="343" t="n">
        <v>2.1</v>
      </c>
      <c r="X34" s="344">
        <f>SUM(T34:W34)</f>
        <v/>
      </c>
      <c r="Y34" s="343" t="n">
        <v>2</v>
      </c>
      <c r="Z34" s="343" t="n">
        <v>2</v>
      </c>
      <c r="AA34" s="343" t="n">
        <v>2</v>
      </c>
      <c r="AB34" s="343" t="n">
        <v>2</v>
      </c>
      <c r="AC34" s="344">
        <f>SUM(Y34:AB34)</f>
        <v/>
      </c>
      <c r="AD34" s="343" t="n">
        <v>2</v>
      </c>
      <c r="AE34" s="343" t="n">
        <v>2</v>
      </c>
      <c r="AF34" s="343" t="n">
        <v>2</v>
      </c>
      <c r="AG34" s="343" t="n">
        <v>2</v>
      </c>
      <c r="AH34" s="344">
        <f>SUM(AD34:AG34)</f>
        <v/>
      </c>
      <c r="AI34" s="343" t="n">
        <v>2</v>
      </c>
      <c r="AJ34" s="343" t="n">
        <v>2</v>
      </c>
      <c r="AK34" s="343" t="n">
        <v>2</v>
      </c>
      <c r="AL34" s="343" t="n">
        <v>2</v>
      </c>
      <c r="AM34" s="344">
        <f>SUM(AI34:AL34)</f>
        <v/>
      </c>
      <c r="AN34" s="343" t="n">
        <v>2</v>
      </c>
      <c r="AO34" s="343" t="n">
        <v>2</v>
      </c>
      <c r="AP34" s="343" t="n">
        <v>2</v>
      </c>
      <c r="AQ34" s="343" t="n">
        <v>2</v>
      </c>
      <c r="AR34" s="344">
        <f>SUM(AN34:AQ34)</f>
        <v/>
      </c>
    </row>
    <row r="35" ht="13.5" customHeight="1" s="290">
      <c r="A35" s="339" t="n"/>
      <c r="B35" s="340" t="inlineStr">
        <is>
          <t xml:space="preserve">  Inflation / CPI (YoY)  —  Downside</t>
        </is>
      </c>
      <c r="E35" s="343" t="n">
        <v>4.1</v>
      </c>
      <c r="F35" s="343" t="n">
        <v>4.1</v>
      </c>
      <c r="G35" s="343" t="n">
        <v>4.1</v>
      </c>
      <c r="H35" s="343" t="n">
        <v>4.1</v>
      </c>
      <c r="I35" s="344">
        <f>SUM(E35:H35)</f>
        <v/>
      </c>
      <c r="J35" s="343" t="n">
        <v>3.2</v>
      </c>
      <c r="K35" s="343" t="n">
        <v>3.2</v>
      </c>
      <c r="L35" s="343" t="n">
        <v>3.2</v>
      </c>
      <c r="M35" s="343" t="n">
        <v>3.2</v>
      </c>
      <c r="N35" s="344">
        <f>SUM(J35:M35)</f>
        <v/>
      </c>
      <c r="O35" s="343" t="n">
        <v>3</v>
      </c>
      <c r="P35" s="343" t="n">
        <v>3</v>
      </c>
      <c r="Q35" s="343" t="n">
        <v>3</v>
      </c>
      <c r="R35" s="343" t="n">
        <v>3</v>
      </c>
      <c r="S35" s="344">
        <f>SUM(O35:R35)</f>
        <v/>
      </c>
      <c r="T35" s="343" t="n">
        <v>3.2</v>
      </c>
      <c r="U35" s="343" t="n">
        <v>3.2</v>
      </c>
      <c r="V35" s="343" t="n">
        <v>3.2</v>
      </c>
      <c r="W35" s="343" t="n">
        <v>3.2</v>
      </c>
      <c r="X35" s="344">
        <f>SUM(T35:W35)</f>
        <v/>
      </c>
      <c r="Y35" s="343" t="n">
        <v>3</v>
      </c>
      <c r="Z35" s="343" t="n">
        <v>3</v>
      </c>
      <c r="AA35" s="343" t="n">
        <v>3</v>
      </c>
      <c r="AB35" s="343" t="n">
        <v>3</v>
      </c>
      <c r="AC35" s="344">
        <f>SUM(Y35:AB35)</f>
        <v/>
      </c>
      <c r="AD35" s="343" t="n">
        <v>2.8</v>
      </c>
      <c r="AE35" s="343" t="n">
        <v>2.8</v>
      </c>
      <c r="AF35" s="343" t="n">
        <v>2.8</v>
      </c>
      <c r="AG35" s="343" t="n">
        <v>2.8</v>
      </c>
      <c r="AH35" s="344">
        <f>SUM(AD35:AG35)</f>
        <v/>
      </c>
      <c r="AI35" s="343" t="n">
        <v>2.6</v>
      </c>
      <c r="AJ35" s="343" t="n">
        <v>2.6</v>
      </c>
      <c r="AK35" s="343" t="n">
        <v>2.6</v>
      </c>
      <c r="AL35" s="343" t="n">
        <v>2.6</v>
      </c>
      <c r="AM35" s="344">
        <f>SUM(AI35:AL35)</f>
        <v/>
      </c>
      <c r="AN35" s="343" t="n">
        <v>2.5</v>
      </c>
      <c r="AO35" s="343" t="n">
        <v>2.5</v>
      </c>
      <c r="AP35" s="343" t="n">
        <v>2.5</v>
      </c>
      <c r="AQ35" s="343" t="n">
        <v>2.5</v>
      </c>
      <c r="AR35" s="344">
        <f>SUM(AN35:AQ35)</f>
        <v/>
      </c>
    </row>
    <row r="36" ht="13.5" customHeight="1" s="290">
      <c r="A36" s="345" t="n"/>
      <c r="B36" s="346" t="inlineStr">
        <is>
          <t xml:space="preserve">  Inflation / CPI (YoY)  —  ★ ACTIVE</t>
        </is>
      </c>
      <c r="E36" s="347">
        <f>IF('01 Cover &amp; Control'!$C$19="Base",E33,IF('01 Cover &amp; Control'!$C$19="Upside",E34,E35))</f>
        <v/>
      </c>
      <c r="F36" s="347">
        <f>IF('01 Cover &amp; Control'!$C$19="Base",F33,IF('01 Cover &amp; Control'!$C$19="Upside",F34,F35))</f>
        <v/>
      </c>
      <c r="G36" s="347">
        <f>IF('01 Cover &amp; Control'!$C$19="Base",G33,IF('01 Cover &amp; Control'!$C$19="Upside",G34,G35))</f>
        <v/>
      </c>
      <c r="H36" s="347">
        <f>IF('01 Cover &amp; Control'!$C$19="Base",H33,IF('01 Cover &amp; Control'!$C$19="Upside",H34,H35))</f>
        <v/>
      </c>
      <c r="I36" s="347">
        <f>SUM(E36:H36)</f>
        <v/>
      </c>
      <c r="J36" s="347">
        <f>IF('01 Cover &amp; Control'!$C$19="Base",J33,IF('01 Cover &amp; Control'!$C$19="Upside",J34,J35))</f>
        <v/>
      </c>
      <c r="K36" s="347">
        <f>IF('01 Cover &amp; Control'!$C$19="Base",K33,IF('01 Cover &amp; Control'!$C$19="Upside",K34,K35))</f>
        <v/>
      </c>
      <c r="L36" s="347">
        <f>IF('01 Cover &amp; Control'!$C$19="Base",L33,IF('01 Cover &amp; Control'!$C$19="Upside",L34,L35))</f>
        <v/>
      </c>
      <c r="M36" s="347">
        <f>IF('01 Cover &amp; Control'!$C$19="Base",M33,IF('01 Cover &amp; Control'!$C$19="Upside",M34,M35))</f>
        <v/>
      </c>
      <c r="N36" s="347">
        <f>SUM(J36:M36)</f>
        <v/>
      </c>
      <c r="O36" s="347">
        <f>IF('01 Cover &amp; Control'!$C$19="Base",O33,IF('01 Cover &amp; Control'!$C$19="Upside",O34,O35))</f>
        <v/>
      </c>
      <c r="P36" s="347">
        <f>IF('01 Cover &amp; Control'!$C$19="Base",P33,IF('01 Cover &amp; Control'!$C$19="Upside",P34,P35))</f>
        <v/>
      </c>
      <c r="Q36" s="347">
        <f>IF('01 Cover &amp; Control'!$C$19="Base",Q33,IF('01 Cover &amp; Control'!$C$19="Upside",Q34,Q35))</f>
        <v/>
      </c>
      <c r="R36" s="347">
        <f>IF('01 Cover &amp; Control'!$C$19="Base",R33,IF('01 Cover &amp; Control'!$C$19="Upside",R34,R35))</f>
        <v/>
      </c>
      <c r="S36" s="347">
        <f>SUM(O36:R36)</f>
        <v/>
      </c>
      <c r="T36" s="347">
        <f>IF('01 Cover &amp; Control'!$C$19="Base",T33,IF('01 Cover &amp; Control'!$C$19="Upside",T34,T35))</f>
        <v/>
      </c>
      <c r="U36" s="347">
        <f>IF('01 Cover &amp; Control'!$C$19="Base",U33,IF('01 Cover &amp; Control'!$C$19="Upside",U34,U35))</f>
        <v/>
      </c>
      <c r="V36" s="347">
        <f>IF('01 Cover &amp; Control'!$C$19="Base",V33,IF('01 Cover &amp; Control'!$C$19="Upside",V34,V35))</f>
        <v/>
      </c>
      <c r="W36" s="347">
        <f>IF('01 Cover &amp; Control'!$C$19="Base",W33,IF('01 Cover &amp; Control'!$C$19="Upside",W34,W35))</f>
        <v/>
      </c>
      <c r="X36" s="347">
        <f>SUM(T36:W36)</f>
        <v/>
      </c>
      <c r="Y36" s="347">
        <f>IF('01 Cover &amp; Control'!$C$19="Base",Y33,IF('01 Cover &amp; Control'!$C$19="Upside",Y34,Y35))</f>
        <v/>
      </c>
      <c r="Z36" s="347">
        <f>IF('01 Cover &amp; Control'!$C$19="Base",Z33,IF('01 Cover &amp; Control'!$C$19="Upside",Z34,Z35))</f>
        <v/>
      </c>
      <c r="AA36" s="347">
        <f>IF('01 Cover &amp; Control'!$C$19="Base",AA33,IF('01 Cover &amp; Control'!$C$19="Upside",AA34,AA35))</f>
        <v/>
      </c>
      <c r="AB36" s="347">
        <f>IF('01 Cover &amp; Control'!$C$19="Base",AB33,IF('01 Cover &amp; Control'!$C$19="Upside",AB34,AB35))</f>
        <v/>
      </c>
      <c r="AC36" s="347">
        <f>SUM(Y36:AB36)</f>
        <v/>
      </c>
      <c r="AD36" s="347">
        <f>IF('01 Cover &amp; Control'!$C$19="Base",AD33,IF('01 Cover &amp; Control'!$C$19="Upside",AD34,AD35))</f>
        <v/>
      </c>
      <c r="AE36" s="347">
        <f>IF('01 Cover &amp; Control'!$C$19="Base",AE33,IF('01 Cover &amp; Control'!$C$19="Upside",AE34,AE35))</f>
        <v/>
      </c>
      <c r="AF36" s="347">
        <f>IF('01 Cover &amp; Control'!$C$19="Base",AF33,IF('01 Cover &amp; Control'!$C$19="Upside",AF34,AF35))</f>
        <v/>
      </c>
      <c r="AG36" s="347">
        <f>IF('01 Cover &amp; Control'!$C$19="Base",AG33,IF('01 Cover &amp; Control'!$C$19="Upside",AG34,AG35))</f>
        <v/>
      </c>
      <c r="AH36" s="347">
        <f>SUM(AD36:AG36)</f>
        <v/>
      </c>
      <c r="AI36" s="347">
        <f>IF('01 Cover &amp; Control'!$C$19="Base",AI33,IF('01 Cover &amp; Control'!$C$19="Upside",AI34,AI35))</f>
        <v/>
      </c>
      <c r="AJ36" s="347">
        <f>IF('01 Cover &amp; Control'!$C$19="Base",AJ33,IF('01 Cover &amp; Control'!$C$19="Upside",AJ34,AJ35))</f>
        <v/>
      </c>
      <c r="AK36" s="347">
        <f>IF('01 Cover &amp; Control'!$C$19="Base",AK33,IF('01 Cover &amp; Control'!$C$19="Upside",AK34,AK35))</f>
        <v/>
      </c>
      <c r="AL36" s="347">
        <f>IF('01 Cover &amp; Control'!$C$19="Base",AL33,IF('01 Cover &amp; Control'!$C$19="Upside",AL34,AL35))</f>
        <v/>
      </c>
      <c r="AM36" s="347">
        <f>SUM(AI36:AL36)</f>
        <v/>
      </c>
      <c r="AN36" s="347">
        <f>IF('01 Cover &amp; Control'!$C$19="Base",AN33,IF('01 Cover &amp; Control'!$C$19="Upside",AN34,AN35))</f>
        <v/>
      </c>
      <c r="AO36" s="347">
        <f>IF('01 Cover &amp; Control'!$C$19="Base",AO33,IF('01 Cover &amp; Control'!$C$19="Upside",AO34,AO35))</f>
        <v/>
      </c>
      <c r="AP36" s="347">
        <f>IF('01 Cover &amp; Control'!$C$19="Base",AP33,IF('01 Cover &amp; Control'!$C$19="Upside",AP34,AP35))</f>
        <v/>
      </c>
      <c r="AQ36" s="347">
        <f>IF('01 Cover &amp; Control'!$C$19="Base",AQ33,IF('01 Cover &amp; Control'!$C$19="Upside",AQ34,AQ35))</f>
        <v/>
      </c>
      <c r="AR36" s="347">
        <f>SUM(AN36:AQ36)</f>
        <v/>
      </c>
    </row>
    <row r="37" ht="3.75" customHeight="1" s="290"/>
    <row r="38" ht="13.5" customHeight="1" s="290">
      <c r="A38" s="339" t="n"/>
      <c r="B38" s="340" t="inlineStr">
        <is>
          <t xml:space="preserve">  Wage Growth — National Average (YoY)  —  Base</t>
        </is>
      </c>
      <c r="C38" s="341" t="inlineStr">
        <is>
          <t>% / yr</t>
        </is>
      </c>
      <c r="D38" s="342" t="inlineStr">
        <is>
          <t>BLS Employment Cost Index; ADP Workforce Vitality Report</t>
        </is>
      </c>
      <c r="E38" s="343" t="n">
        <v>4.4</v>
      </c>
      <c r="F38" s="343" t="n">
        <v>4.4</v>
      </c>
      <c r="G38" s="343" t="n">
        <v>4.4</v>
      </c>
      <c r="H38" s="343" t="n">
        <v>4.4</v>
      </c>
      <c r="I38" s="344">
        <f>SUM(E38:H38)</f>
        <v/>
      </c>
      <c r="J38" s="343" t="n">
        <v>4</v>
      </c>
      <c r="K38" s="343" t="n">
        <v>4</v>
      </c>
      <c r="L38" s="343" t="n">
        <v>4</v>
      </c>
      <c r="M38" s="343" t="n">
        <v>4</v>
      </c>
      <c r="N38" s="344">
        <f>SUM(J38:M38)</f>
        <v/>
      </c>
      <c r="O38" s="343" t="n">
        <v>3.6</v>
      </c>
      <c r="P38" s="343" t="n">
        <v>3.6</v>
      </c>
      <c r="Q38" s="343" t="n">
        <v>3.6</v>
      </c>
      <c r="R38" s="343" t="n">
        <v>3.6</v>
      </c>
      <c r="S38" s="344">
        <f>SUM(O38:R38)</f>
        <v/>
      </c>
      <c r="T38" s="343" t="n">
        <v>3.4</v>
      </c>
      <c r="U38" s="343" t="n">
        <v>3.4</v>
      </c>
      <c r="V38" s="343" t="n">
        <v>3.4</v>
      </c>
      <c r="W38" s="343" t="n">
        <v>3.4</v>
      </c>
      <c r="X38" s="344">
        <f>SUM(T38:W38)</f>
        <v/>
      </c>
      <c r="Y38" s="343" t="n">
        <v>3.3</v>
      </c>
      <c r="Z38" s="343" t="n">
        <v>3.3</v>
      </c>
      <c r="AA38" s="343" t="n">
        <v>3.3</v>
      </c>
      <c r="AB38" s="343" t="n">
        <v>3.3</v>
      </c>
      <c r="AC38" s="344">
        <f>SUM(Y38:AB38)</f>
        <v/>
      </c>
      <c r="AD38" s="343" t="n">
        <v>3.2</v>
      </c>
      <c r="AE38" s="343" t="n">
        <v>3.2</v>
      </c>
      <c r="AF38" s="343" t="n">
        <v>3.2</v>
      </c>
      <c r="AG38" s="343" t="n">
        <v>3.2</v>
      </c>
      <c r="AH38" s="344">
        <f>SUM(AD38:AG38)</f>
        <v/>
      </c>
      <c r="AI38" s="343" t="n">
        <v>3.2</v>
      </c>
      <c r="AJ38" s="343" t="n">
        <v>3.2</v>
      </c>
      <c r="AK38" s="343" t="n">
        <v>3.2</v>
      </c>
      <c r="AL38" s="343" t="n">
        <v>3.2</v>
      </c>
      <c r="AM38" s="344">
        <f>SUM(AI38:AL38)</f>
        <v/>
      </c>
      <c r="AN38" s="343" t="n">
        <v>3.2</v>
      </c>
      <c r="AO38" s="343" t="n">
        <v>3.2</v>
      </c>
      <c r="AP38" s="343" t="n">
        <v>3.2</v>
      </c>
      <c r="AQ38" s="343" t="n">
        <v>3.2</v>
      </c>
      <c r="AR38" s="344">
        <f>SUM(AN38:AQ38)</f>
        <v/>
      </c>
    </row>
    <row r="39" ht="13.5" customHeight="1" s="290">
      <c r="A39" s="339" t="n"/>
      <c r="B39" s="340" t="inlineStr">
        <is>
          <t xml:space="preserve">  Wage Growth — National Average (YoY)  —  Upside</t>
        </is>
      </c>
      <c r="E39" s="343" t="n">
        <v>4.4</v>
      </c>
      <c r="F39" s="343" t="n">
        <v>4.4</v>
      </c>
      <c r="G39" s="343" t="n">
        <v>4.4</v>
      </c>
      <c r="H39" s="343" t="n">
        <v>4.4</v>
      </c>
      <c r="I39" s="344">
        <f>SUM(E39:H39)</f>
        <v/>
      </c>
      <c r="J39" s="343" t="n">
        <v>4</v>
      </c>
      <c r="K39" s="343" t="n">
        <v>4</v>
      </c>
      <c r="L39" s="343" t="n">
        <v>4</v>
      </c>
      <c r="M39" s="343" t="n">
        <v>4</v>
      </c>
      <c r="N39" s="344">
        <f>SUM(J39:M39)</f>
        <v/>
      </c>
      <c r="O39" s="343" t="n">
        <v>3.8</v>
      </c>
      <c r="P39" s="343" t="n">
        <v>3.8</v>
      </c>
      <c r="Q39" s="343" t="n">
        <v>3.8</v>
      </c>
      <c r="R39" s="343" t="n">
        <v>3.8</v>
      </c>
      <c r="S39" s="344">
        <f>SUM(O39:R39)</f>
        <v/>
      </c>
      <c r="T39" s="343" t="n">
        <v>3.7</v>
      </c>
      <c r="U39" s="343" t="n">
        <v>3.7</v>
      </c>
      <c r="V39" s="343" t="n">
        <v>3.7</v>
      </c>
      <c r="W39" s="343" t="n">
        <v>3.7</v>
      </c>
      <c r="X39" s="344">
        <f>SUM(T39:W39)</f>
        <v/>
      </c>
      <c r="Y39" s="343" t="n">
        <v>3.6</v>
      </c>
      <c r="Z39" s="343" t="n">
        <v>3.6</v>
      </c>
      <c r="AA39" s="343" t="n">
        <v>3.6</v>
      </c>
      <c r="AB39" s="343" t="n">
        <v>3.6</v>
      </c>
      <c r="AC39" s="344">
        <f>SUM(Y39:AB39)</f>
        <v/>
      </c>
      <c r="AD39" s="343" t="n">
        <v>3.5</v>
      </c>
      <c r="AE39" s="343" t="n">
        <v>3.5</v>
      </c>
      <c r="AF39" s="343" t="n">
        <v>3.5</v>
      </c>
      <c r="AG39" s="343" t="n">
        <v>3.5</v>
      </c>
      <c r="AH39" s="344">
        <f>SUM(AD39:AG39)</f>
        <v/>
      </c>
      <c r="AI39" s="343" t="n">
        <v>3.4</v>
      </c>
      <c r="AJ39" s="343" t="n">
        <v>3.4</v>
      </c>
      <c r="AK39" s="343" t="n">
        <v>3.4</v>
      </c>
      <c r="AL39" s="343" t="n">
        <v>3.4</v>
      </c>
      <c r="AM39" s="344">
        <f>SUM(AI39:AL39)</f>
        <v/>
      </c>
      <c r="AN39" s="343" t="n">
        <v>3.4</v>
      </c>
      <c r="AO39" s="343" t="n">
        <v>3.4</v>
      </c>
      <c r="AP39" s="343" t="n">
        <v>3.4</v>
      </c>
      <c r="AQ39" s="343" t="n">
        <v>3.4</v>
      </c>
      <c r="AR39" s="344">
        <f>SUM(AN39:AQ39)</f>
        <v/>
      </c>
    </row>
    <row r="40" ht="13.5" customHeight="1" s="290">
      <c r="A40" s="339" t="n"/>
      <c r="B40" s="340" t="inlineStr">
        <is>
          <t xml:space="preserve">  Wage Growth — National Average (YoY)  —  Downside</t>
        </is>
      </c>
      <c r="E40" s="343" t="n">
        <v>4.4</v>
      </c>
      <c r="F40" s="343" t="n">
        <v>4.4</v>
      </c>
      <c r="G40" s="343" t="n">
        <v>4.4</v>
      </c>
      <c r="H40" s="343" t="n">
        <v>4.4</v>
      </c>
      <c r="I40" s="344">
        <f>SUM(E40:H40)</f>
        <v/>
      </c>
      <c r="J40" s="343" t="n">
        <v>4</v>
      </c>
      <c r="K40" s="343" t="n">
        <v>4</v>
      </c>
      <c r="L40" s="343" t="n">
        <v>4</v>
      </c>
      <c r="M40" s="343" t="n">
        <v>4</v>
      </c>
      <c r="N40" s="344">
        <f>SUM(J40:M40)</f>
        <v/>
      </c>
      <c r="O40" s="343" t="n">
        <v>3.4</v>
      </c>
      <c r="P40" s="343" t="n">
        <v>3.4</v>
      </c>
      <c r="Q40" s="343" t="n">
        <v>3.4</v>
      </c>
      <c r="R40" s="343" t="n">
        <v>3.4</v>
      </c>
      <c r="S40" s="344">
        <f>SUM(O40:R40)</f>
        <v/>
      </c>
      <c r="T40" s="343" t="n">
        <v>3.2</v>
      </c>
      <c r="U40" s="343" t="n">
        <v>3.2</v>
      </c>
      <c r="V40" s="343" t="n">
        <v>3.2</v>
      </c>
      <c r="W40" s="343" t="n">
        <v>3.2</v>
      </c>
      <c r="X40" s="344">
        <f>SUM(T40:W40)</f>
        <v/>
      </c>
      <c r="Y40" s="343" t="n">
        <v>3</v>
      </c>
      <c r="Z40" s="343" t="n">
        <v>3</v>
      </c>
      <c r="AA40" s="343" t="n">
        <v>3</v>
      </c>
      <c r="AB40" s="343" t="n">
        <v>3</v>
      </c>
      <c r="AC40" s="344">
        <f>SUM(Y40:AB40)</f>
        <v/>
      </c>
      <c r="AD40" s="343" t="n">
        <v>2.9</v>
      </c>
      <c r="AE40" s="343" t="n">
        <v>2.9</v>
      </c>
      <c r="AF40" s="343" t="n">
        <v>2.9</v>
      </c>
      <c r="AG40" s="343" t="n">
        <v>2.9</v>
      </c>
      <c r="AH40" s="344">
        <f>SUM(AD40:AG40)</f>
        <v/>
      </c>
      <c r="AI40" s="343" t="n">
        <v>2.8</v>
      </c>
      <c r="AJ40" s="343" t="n">
        <v>2.8</v>
      </c>
      <c r="AK40" s="343" t="n">
        <v>2.8</v>
      </c>
      <c r="AL40" s="343" t="n">
        <v>2.8</v>
      </c>
      <c r="AM40" s="344">
        <f>SUM(AI40:AL40)</f>
        <v/>
      </c>
      <c r="AN40" s="343" t="n">
        <v>2.8</v>
      </c>
      <c r="AO40" s="343" t="n">
        <v>2.8</v>
      </c>
      <c r="AP40" s="343" t="n">
        <v>2.8</v>
      </c>
      <c r="AQ40" s="343" t="n">
        <v>2.8</v>
      </c>
      <c r="AR40" s="344">
        <f>SUM(AN40:AQ40)</f>
        <v/>
      </c>
    </row>
    <row r="41" ht="13.5" customHeight="1" s="290">
      <c r="A41" s="345" t="n"/>
      <c r="B41" s="346" t="inlineStr">
        <is>
          <t xml:space="preserve">  Wage Growth — National Average (YoY)  —  ★ ACTIVE</t>
        </is>
      </c>
      <c r="E41" s="347">
        <f>IF('01 Cover &amp; Control'!$C$19="Base",E38,IF('01 Cover &amp; Control'!$C$19="Upside",E39,E40))</f>
        <v/>
      </c>
      <c r="F41" s="347">
        <f>IF('01 Cover &amp; Control'!$C$19="Base",F38,IF('01 Cover &amp; Control'!$C$19="Upside",F39,F40))</f>
        <v/>
      </c>
      <c r="G41" s="347">
        <f>IF('01 Cover &amp; Control'!$C$19="Base",G38,IF('01 Cover &amp; Control'!$C$19="Upside",G39,G40))</f>
        <v/>
      </c>
      <c r="H41" s="347">
        <f>IF('01 Cover &amp; Control'!$C$19="Base",H38,IF('01 Cover &amp; Control'!$C$19="Upside",H39,H40))</f>
        <v/>
      </c>
      <c r="I41" s="347">
        <f>SUM(E41:H41)</f>
        <v/>
      </c>
      <c r="J41" s="347">
        <f>IF('01 Cover &amp; Control'!$C$19="Base",J38,IF('01 Cover &amp; Control'!$C$19="Upside",J39,J40))</f>
        <v/>
      </c>
      <c r="K41" s="347">
        <f>IF('01 Cover &amp; Control'!$C$19="Base",K38,IF('01 Cover &amp; Control'!$C$19="Upside",K39,K40))</f>
        <v/>
      </c>
      <c r="L41" s="347">
        <f>IF('01 Cover &amp; Control'!$C$19="Base",L38,IF('01 Cover &amp; Control'!$C$19="Upside",L39,L40))</f>
        <v/>
      </c>
      <c r="M41" s="347">
        <f>IF('01 Cover &amp; Control'!$C$19="Base",M38,IF('01 Cover &amp; Control'!$C$19="Upside",M39,M40))</f>
        <v/>
      </c>
      <c r="N41" s="347">
        <f>SUM(J41:M41)</f>
        <v/>
      </c>
      <c r="O41" s="347">
        <f>IF('01 Cover &amp; Control'!$C$19="Base",O38,IF('01 Cover &amp; Control'!$C$19="Upside",O39,O40))</f>
        <v/>
      </c>
      <c r="P41" s="347">
        <f>IF('01 Cover &amp; Control'!$C$19="Base",P38,IF('01 Cover &amp; Control'!$C$19="Upside",P39,P40))</f>
        <v/>
      </c>
      <c r="Q41" s="347">
        <f>IF('01 Cover &amp; Control'!$C$19="Base",Q38,IF('01 Cover &amp; Control'!$C$19="Upside",Q39,Q40))</f>
        <v/>
      </c>
      <c r="R41" s="347">
        <f>IF('01 Cover &amp; Control'!$C$19="Base",R38,IF('01 Cover &amp; Control'!$C$19="Upside",R39,R40))</f>
        <v/>
      </c>
      <c r="S41" s="347">
        <f>SUM(O41:R41)</f>
        <v/>
      </c>
      <c r="T41" s="347">
        <f>IF('01 Cover &amp; Control'!$C$19="Base",T38,IF('01 Cover &amp; Control'!$C$19="Upside",T39,T40))</f>
        <v/>
      </c>
      <c r="U41" s="347">
        <f>IF('01 Cover &amp; Control'!$C$19="Base",U38,IF('01 Cover &amp; Control'!$C$19="Upside",U39,U40))</f>
        <v/>
      </c>
      <c r="V41" s="347">
        <f>IF('01 Cover &amp; Control'!$C$19="Base",V38,IF('01 Cover &amp; Control'!$C$19="Upside",V39,V40))</f>
        <v/>
      </c>
      <c r="W41" s="347">
        <f>IF('01 Cover &amp; Control'!$C$19="Base",W38,IF('01 Cover &amp; Control'!$C$19="Upside",W39,W40))</f>
        <v/>
      </c>
      <c r="X41" s="347">
        <f>SUM(T41:W41)</f>
        <v/>
      </c>
      <c r="Y41" s="347">
        <f>IF('01 Cover &amp; Control'!$C$19="Base",Y38,IF('01 Cover &amp; Control'!$C$19="Upside",Y39,Y40))</f>
        <v/>
      </c>
      <c r="Z41" s="347">
        <f>IF('01 Cover &amp; Control'!$C$19="Base",Z38,IF('01 Cover &amp; Control'!$C$19="Upside",Z39,Z40))</f>
        <v/>
      </c>
      <c r="AA41" s="347">
        <f>IF('01 Cover &amp; Control'!$C$19="Base",AA38,IF('01 Cover &amp; Control'!$C$19="Upside",AA39,AA40))</f>
        <v/>
      </c>
      <c r="AB41" s="347">
        <f>IF('01 Cover &amp; Control'!$C$19="Base",AB38,IF('01 Cover &amp; Control'!$C$19="Upside",AB39,AB40))</f>
        <v/>
      </c>
      <c r="AC41" s="347">
        <f>SUM(Y41:AB41)</f>
        <v/>
      </c>
      <c r="AD41" s="347">
        <f>IF('01 Cover &amp; Control'!$C$19="Base",AD38,IF('01 Cover &amp; Control'!$C$19="Upside",AD39,AD40))</f>
        <v/>
      </c>
      <c r="AE41" s="347">
        <f>IF('01 Cover &amp; Control'!$C$19="Base",AE38,IF('01 Cover &amp; Control'!$C$19="Upside",AE39,AE40))</f>
        <v/>
      </c>
      <c r="AF41" s="347">
        <f>IF('01 Cover &amp; Control'!$C$19="Base",AF38,IF('01 Cover &amp; Control'!$C$19="Upside",AF39,AF40))</f>
        <v/>
      </c>
      <c r="AG41" s="347">
        <f>IF('01 Cover &amp; Control'!$C$19="Base",AG38,IF('01 Cover &amp; Control'!$C$19="Upside",AG39,AG40))</f>
        <v/>
      </c>
      <c r="AH41" s="347">
        <f>SUM(AD41:AG41)</f>
        <v/>
      </c>
      <c r="AI41" s="347">
        <f>IF('01 Cover &amp; Control'!$C$19="Base",AI38,IF('01 Cover &amp; Control'!$C$19="Upside",AI39,AI40))</f>
        <v/>
      </c>
      <c r="AJ41" s="347">
        <f>IF('01 Cover &amp; Control'!$C$19="Base",AJ38,IF('01 Cover &amp; Control'!$C$19="Upside",AJ39,AJ40))</f>
        <v/>
      </c>
      <c r="AK41" s="347">
        <f>IF('01 Cover &amp; Control'!$C$19="Base",AK38,IF('01 Cover &amp; Control'!$C$19="Upside",AK39,AK40))</f>
        <v/>
      </c>
      <c r="AL41" s="347">
        <f>IF('01 Cover &amp; Control'!$C$19="Base",AL38,IF('01 Cover &amp; Control'!$C$19="Upside",AL39,AL40))</f>
        <v/>
      </c>
      <c r="AM41" s="347">
        <f>SUM(AI41:AL41)</f>
        <v/>
      </c>
      <c r="AN41" s="347">
        <f>IF('01 Cover &amp; Control'!$C$19="Base",AN38,IF('01 Cover &amp; Control'!$C$19="Upside",AN39,AN40))</f>
        <v/>
      </c>
      <c r="AO41" s="347">
        <f>IF('01 Cover &amp; Control'!$C$19="Base",AO38,IF('01 Cover &amp; Control'!$C$19="Upside",AO39,AO40))</f>
        <v/>
      </c>
      <c r="AP41" s="347">
        <f>IF('01 Cover &amp; Control'!$C$19="Base",AP38,IF('01 Cover &amp; Control'!$C$19="Upside",AP39,AP40))</f>
        <v/>
      </c>
      <c r="AQ41" s="347">
        <f>IF('01 Cover &amp; Control'!$C$19="Base",AQ38,IF('01 Cover &amp; Control'!$C$19="Upside",AQ39,AQ40))</f>
        <v/>
      </c>
      <c r="AR41" s="347">
        <f>SUM(AN41:AQ41)</f>
        <v/>
      </c>
    </row>
    <row r="42" ht="4.5" customHeight="1" s="290"/>
    <row r="43" ht="3" customHeight="1" s="290">
      <c r="A43" s="293" t="n"/>
    </row>
    <row r="44" ht="4.5" customHeight="1" s="290"/>
    <row r="45" ht="15.75" customHeight="1" s="290">
      <c r="A45" s="338" t="inlineStr">
        <is>
          <t xml:space="preserve">  SECTION B — CRE MARKET ACTIVITY</t>
        </is>
      </c>
    </row>
    <row r="46" ht="3.75" customHeight="1" s="290"/>
    <row r="47" ht="15" customHeight="1" s="290">
      <c r="A47" s="307" t="inlineStr">
        <is>
          <t xml:space="preserve">    B1 — INVESTMENT SALES MARKET</t>
        </is>
      </c>
    </row>
    <row r="48" ht="3" customHeight="1" s="290"/>
    <row r="49" ht="13.5" customHeight="1" s="290">
      <c r="A49" s="339" t="n"/>
      <c r="B49" s="340" t="inlineStr">
        <is>
          <t xml:space="preserve">  National IS Transaction Volume — Total Market  —  Base</t>
        </is>
      </c>
      <c r="C49" s="341" t="inlineStr">
        <is>
          <t>$B</t>
        </is>
      </c>
      <c r="D49" s="342" t="inlineStr">
        <is>
          <t>MSCI Real Capital Analytics (RCA) Quarterly Capital Trends</t>
        </is>
      </c>
      <c r="E49" s="343" t="n">
        <v>78</v>
      </c>
      <c r="F49" s="343" t="n">
        <v>78</v>
      </c>
      <c r="G49" s="343" t="n">
        <v>78</v>
      </c>
      <c r="H49" s="343" t="n">
        <v>78</v>
      </c>
      <c r="I49" s="344">
        <f>SUM(E49:H49)</f>
        <v/>
      </c>
      <c r="J49" s="343" t="n">
        <v>82</v>
      </c>
      <c r="K49" s="343" t="n">
        <v>82</v>
      </c>
      <c r="L49" s="343" t="n">
        <v>82</v>
      </c>
      <c r="M49" s="343" t="n">
        <v>82</v>
      </c>
      <c r="N49" s="344">
        <f>SUM(J49:M49)</f>
        <v/>
      </c>
      <c r="O49" s="343" t="n">
        <v>92</v>
      </c>
      <c r="P49" s="343" t="n">
        <v>92</v>
      </c>
      <c r="Q49" s="343" t="n">
        <v>92</v>
      </c>
      <c r="R49" s="343" t="n">
        <v>92</v>
      </c>
      <c r="S49" s="344">
        <f>SUM(O49:R49)</f>
        <v/>
      </c>
      <c r="T49" s="343" t="n">
        <v>105</v>
      </c>
      <c r="U49" s="343" t="n">
        <v>105</v>
      </c>
      <c r="V49" s="343" t="n">
        <v>105</v>
      </c>
      <c r="W49" s="343" t="n">
        <v>105</v>
      </c>
      <c r="X49" s="344">
        <f>SUM(T49:W49)</f>
        <v/>
      </c>
      <c r="Y49" s="343" t="n">
        <v>112</v>
      </c>
      <c r="Z49" s="343" t="n">
        <v>112</v>
      </c>
      <c r="AA49" s="343" t="n">
        <v>112</v>
      </c>
      <c r="AB49" s="343" t="n">
        <v>112</v>
      </c>
      <c r="AC49" s="344">
        <f>SUM(Y49:AB49)</f>
        <v/>
      </c>
      <c r="AD49" s="343" t="n">
        <v>118</v>
      </c>
      <c r="AE49" s="343" t="n">
        <v>118</v>
      </c>
      <c r="AF49" s="343" t="n">
        <v>118</v>
      </c>
      <c r="AG49" s="343" t="n">
        <v>118</v>
      </c>
      <c r="AH49" s="344">
        <f>SUM(AD49:AG49)</f>
        <v/>
      </c>
      <c r="AI49" s="343" t="n">
        <v>122</v>
      </c>
      <c r="AJ49" s="343" t="n">
        <v>122</v>
      </c>
      <c r="AK49" s="343" t="n">
        <v>122</v>
      </c>
      <c r="AL49" s="343" t="n">
        <v>122</v>
      </c>
      <c r="AM49" s="344">
        <f>SUM(AI49:AL49)</f>
        <v/>
      </c>
      <c r="AN49" s="343" t="n">
        <v>126</v>
      </c>
      <c r="AO49" s="343" t="n">
        <v>126</v>
      </c>
      <c r="AP49" s="343" t="n">
        <v>126</v>
      </c>
      <c r="AQ49" s="343" t="n">
        <v>126</v>
      </c>
      <c r="AR49" s="344">
        <f>SUM(AN49:AQ49)</f>
        <v/>
      </c>
    </row>
    <row r="50" ht="13.5" customHeight="1" s="290">
      <c r="A50" s="339" t="n"/>
      <c r="B50" s="340" t="inlineStr">
        <is>
          <t xml:space="preserve">  National IS Transaction Volume — Total Market  —  Upside</t>
        </is>
      </c>
      <c r="E50" s="343" t="n">
        <v>78</v>
      </c>
      <c r="F50" s="343" t="n">
        <v>78</v>
      </c>
      <c r="G50" s="343" t="n">
        <v>78</v>
      </c>
      <c r="H50" s="343" t="n">
        <v>78</v>
      </c>
      <c r="I50" s="344">
        <f>SUM(E50:H50)</f>
        <v/>
      </c>
      <c r="J50" s="343" t="n">
        <v>82</v>
      </c>
      <c r="K50" s="343" t="n">
        <v>82</v>
      </c>
      <c r="L50" s="343" t="n">
        <v>82</v>
      </c>
      <c r="M50" s="343" t="n">
        <v>82</v>
      </c>
      <c r="N50" s="344">
        <f>SUM(J50:M50)</f>
        <v/>
      </c>
      <c r="O50" s="343" t="n">
        <v>99</v>
      </c>
      <c r="P50" s="343" t="n">
        <v>99</v>
      </c>
      <c r="Q50" s="343" t="n">
        <v>99</v>
      </c>
      <c r="R50" s="343" t="n">
        <v>99</v>
      </c>
      <c r="S50" s="344">
        <f>SUM(O50:R50)</f>
        <v/>
      </c>
      <c r="T50" s="343" t="n">
        <v>118</v>
      </c>
      <c r="U50" s="343" t="n">
        <v>118</v>
      </c>
      <c r="V50" s="343" t="n">
        <v>118</v>
      </c>
      <c r="W50" s="343" t="n">
        <v>118</v>
      </c>
      <c r="X50" s="344">
        <f>SUM(T50:W50)</f>
        <v/>
      </c>
      <c r="Y50" s="343" t="n">
        <v>126</v>
      </c>
      <c r="Z50" s="343" t="n">
        <v>126</v>
      </c>
      <c r="AA50" s="343" t="n">
        <v>126</v>
      </c>
      <c r="AB50" s="343" t="n">
        <v>126</v>
      </c>
      <c r="AC50" s="344">
        <f>SUM(Y50:AB50)</f>
        <v/>
      </c>
      <c r="AD50" s="343" t="n">
        <v>133</v>
      </c>
      <c r="AE50" s="343" t="n">
        <v>133</v>
      </c>
      <c r="AF50" s="343" t="n">
        <v>133</v>
      </c>
      <c r="AG50" s="343" t="n">
        <v>133</v>
      </c>
      <c r="AH50" s="344">
        <f>SUM(AD50:AG50)</f>
        <v/>
      </c>
      <c r="AI50" s="343" t="n">
        <v>138</v>
      </c>
      <c r="AJ50" s="343" t="n">
        <v>138</v>
      </c>
      <c r="AK50" s="343" t="n">
        <v>138</v>
      </c>
      <c r="AL50" s="343" t="n">
        <v>138</v>
      </c>
      <c r="AM50" s="344">
        <f>SUM(AI50:AL50)</f>
        <v/>
      </c>
      <c r="AN50" s="343" t="n">
        <v>143</v>
      </c>
      <c r="AO50" s="343" t="n">
        <v>143</v>
      </c>
      <c r="AP50" s="343" t="n">
        <v>143</v>
      </c>
      <c r="AQ50" s="343" t="n">
        <v>143</v>
      </c>
      <c r="AR50" s="344">
        <f>SUM(AN50:AQ50)</f>
        <v/>
      </c>
    </row>
    <row r="51" ht="13.5" customHeight="1" s="290">
      <c r="A51" s="339" t="n"/>
      <c r="B51" s="340" t="inlineStr">
        <is>
          <t xml:space="preserve">  National IS Transaction Volume — Total Market  —  Downside</t>
        </is>
      </c>
      <c r="E51" s="343" t="n">
        <v>78</v>
      </c>
      <c r="F51" s="343" t="n">
        <v>78</v>
      </c>
      <c r="G51" s="343" t="n">
        <v>78</v>
      </c>
      <c r="H51" s="343" t="n">
        <v>78</v>
      </c>
      <c r="I51" s="344">
        <f>SUM(E51:H51)</f>
        <v/>
      </c>
      <c r="J51" s="343" t="n">
        <v>82</v>
      </c>
      <c r="K51" s="343" t="n">
        <v>82</v>
      </c>
      <c r="L51" s="343" t="n">
        <v>82</v>
      </c>
      <c r="M51" s="343" t="n">
        <v>82</v>
      </c>
      <c r="N51" s="344">
        <f>SUM(J51:M51)</f>
        <v/>
      </c>
      <c r="O51" s="343" t="n">
        <v>86</v>
      </c>
      <c r="P51" s="343" t="n">
        <v>86</v>
      </c>
      <c r="Q51" s="343" t="n">
        <v>86</v>
      </c>
      <c r="R51" s="343" t="n">
        <v>86</v>
      </c>
      <c r="S51" s="344">
        <f>SUM(O51:R51)</f>
        <v/>
      </c>
      <c r="T51" s="343" t="n">
        <v>90</v>
      </c>
      <c r="U51" s="343" t="n">
        <v>90</v>
      </c>
      <c r="V51" s="343" t="n">
        <v>90</v>
      </c>
      <c r="W51" s="343" t="n">
        <v>90</v>
      </c>
      <c r="X51" s="344">
        <f>SUM(T51:W51)</f>
        <v/>
      </c>
      <c r="Y51" s="343" t="n">
        <v>96</v>
      </c>
      <c r="Z51" s="343" t="n">
        <v>96</v>
      </c>
      <c r="AA51" s="343" t="n">
        <v>96</v>
      </c>
      <c r="AB51" s="343" t="n">
        <v>96</v>
      </c>
      <c r="AC51" s="344">
        <f>SUM(Y51:AB51)</f>
        <v/>
      </c>
      <c r="AD51" s="343" t="n">
        <v>102</v>
      </c>
      <c r="AE51" s="343" t="n">
        <v>102</v>
      </c>
      <c r="AF51" s="343" t="n">
        <v>102</v>
      </c>
      <c r="AG51" s="343" t="n">
        <v>102</v>
      </c>
      <c r="AH51" s="344">
        <f>SUM(AD51:AG51)</f>
        <v/>
      </c>
      <c r="AI51" s="343" t="n">
        <v>107</v>
      </c>
      <c r="AJ51" s="343" t="n">
        <v>107</v>
      </c>
      <c r="AK51" s="343" t="n">
        <v>107</v>
      </c>
      <c r="AL51" s="343" t="n">
        <v>107</v>
      </c>
      <c r="AM51" s="344">
        <f>SUM(AI51:AL51)</f>
        <v/>
      </c>
      <c r="AN51" s="343" t="n">
        <v>112</v>
      </c>
      <c r="AO51" s="343" t="n">
        <v>112</v>
      </c>
      <c r="AP51" s="343" t="n">
        <v>112</v>
      </c>
      <c r="AQ51" s="343" t="n">
        <v>112</v>
      </c>
      <c r="AR51" s="344">
        <f>SUM(AN51:AQ51)</f>
        <v/>
      </c>
    </row>
    <row r="52" ht="13.5" customHeight="1" s="290">
      <c r="A52" s="345" t="n"/>
      <c r="B52" s="346" t="inlineStr">
        <is>
          <t xml:space="preserve">  National IS Transaction Volume — Total Market  —  ★ ACTIVE</t>
        </is>
      </c>
      <c r="E52" s="347">
        <f>IF('01 Cover &amp; Control'!$C$19="Base",E49,IF('01 Cover &amp; Control'!$C$19="Upside",E50,E51))</f>
        <v/>
      </c>
      <c r="F52" s="347">
        <f>IF('01 Cover &amp; Control'!$C$19="Base",F49,IF('01 Cover &amp; Control'!$C$19="Upside",F50,F51))</f>
        <v/>
      </c>
      <c r="G52" s="347">
        <f>IF('01 Cover &amp; Control'!$C$19="Base",G49,IF('01 Cover &amp; Control'!$C$19="Upside",G50,G51))</f>
        <v/>
      </c>
      <c r="H52" s="347">
        <f>IF('01 Cover &amp; Control'!$C$19="Base",H49,IF('01 Cover &amp; Control'!$C$19="Upside",H50,H51))</f>
        <v/>
      </c>
      <c r="I52" s="347">
        <f>SUM(E52:H52)</f>
        <v/>
      </c>
      <c r="J52" s="347">
        <f>IF('01 Cover &amp; Control'!$C$19="Base",J49,IF('01 Cover &amp; Control'!$C$19="Upside",J50,J51))</f>
        <v/>
      </c>
      <c r="K52" s="347">
        <f>IF('01 Cover &amp; Control'!$C$19="Base",K49,IF('01 Cover &amp; Control'!$C$19="Upside",K50,K51))</f>
        <v/>
      </c>
      <c r="L52" s="347">
        <f>IF('01 Cover &amp; Control'!$C$19="Base",L49,IF('01 Cover &amp; Control'!$C$19="Upside",L50,L51))</f>
        <v/>
      </c>
      <c r="M52" s="347">
        <f>IF('01 Cover &amp; Control'!$C$19="Base",M49,IF('01 Cover &amp; Control'!$C$19="Upside",M50,M51))</f>
        <v/>
      </c>
      <c r="N52" s="347">
        <f>SUM(J52:M52)</f>
        <v/>
      </c>
      <c r="O52" s="347">
        <f>IF('01 Cover &amp; Control'!$C$19="Base",O49,IF('01 Cover &amp; Control'!$C$19="Upside",O50,O51))</f>
        <v/>
      </c>
      <c r="P52" s="347">
        <f>IF('01 Cover &amp; Control'!$C$19="Base",P49,IF('01 Cover &amp; Control'!$C$19="Upside",P50,P51))</f>
        <v/>
      </c>
      <c r="Q52" s="347">
        <f>IF('01 Cover &amp; Control'!$C$19="Base",Q49,IF('01 Cover &amp; Control'!$C$19="Upside",Q50,Q51))</f>
        <v/>
      </c>
      <c r="R52" s="347">
        <f>IF('01 Cover &amp; Control'!$C$19="Base",R49,IF('01 Cover &amp; Control'!$C$19="Upside",R50,R51))</f>
        <v/>
      </c>
      <c r="S52" s="347">
        <f>SUM(O52:R52)</f>
        <v/>
      </c>
      <c r="T52" s="347">
        <f>IF('01 Cover &amp; Control'!$C$19="Base",T49,IF('01 Cover &amp; Control'!$C$19="Upside",T50,T51))</f>
        <v/>
      </c>
      <c r="U52" s="347">
        <f>IF('01 Cover &amp; Control'!$C$19="Base",U49,IF('01 Cover &amp; Control'!$C$19="Upside",U50,U51))</f>
        <v/>
      </c>
      <c r="V52" s="347">
        <f>IF('01 Cover &amp; Control'!$C$19="Base",V49,IF('01 Cover &amp; Control'!$C$19="Upside",V50,V51))</f>
        <v/>
      </c>
      <c r="W52" s="347">
        <f>IF('01 Cover &amp; Control'!$C$19="Base",W49,IF('01 Cover &amp; Control'!$C$19="Upside",W50,W51))</f>
        <v/>
      </c>
      <c r="X52" s="347">
        <f>SUM(T52:W52)</f>
        <v/>
      </c>
      <c r="Y52" s="347">
        <f>IF('01 Cover &amp; Control'!$C$19="Base",Y49,IF('01 Cover &amp; Control'!$C$19="Upside",Y50,Y51))</f>
        <v/>
      </c>
      <c r="Z52" s="347">
        <f>IF('01 Cover &amp; Control'!$C$19="Base",Z49,IF('01 Cover &amp; Control'!$C$19="Upside",Z50,Z51))</f>
        <v/>
      </c>
      <c r="AA52" s="347">
        <f>IF('01 Cover &amp; Control'!$C$19="Base",AA49,IF('01 Cover &amp; Control'!$C$19="Upside",AA50,AA51))</f>
        <v/>
      </c>
      <c r="AB52" s="347">
        <f>IF('01 Cover &amp; Control'!$C$19="Base",AB49,IF('01 Cover &amp; Control'!$C$19="Upside",AB50,AB51))</f>
        <v/>
      </c>
      <c r="AC52" s="347">
        <f>SUM(Y52:AB52)</f>
        <v/>
      </c>
      <c r="AD52" s="347">
        <f>IF('01 Cover &amp; Control'!$C$19="Base",AD49,IF('01 Cover &amp; Control'!$C$19="Upside",AD50,AD51))</f>
        <v/>
      </c>
      <c r="AE52" s="347">
        <f>IF('01 Cover &amp; Control'!$C$19="Base",AE49,IF('01 Cover &amp; Control'!$C$19="Upside",AE50,AE51))</f>
        <v/>
      </c>
      <c r="AF52" s="347">
        <f>IF('01 Cover &amp; Control'!$C$19="Base",AF49,IF('01 Cover &amp; Control'!$C$19="Upside",AF50,AF51))</f>
        <v/>
      </c>
      <c r="AG52" s="347">
        <f>IF('01 Cover &amp; Control'!$C$19="Base",AG49,IF('01 Cover &amp; Control'!$C$19="Upside",AG50,AG51))</f>
        <v/>
      </c>
      <c r="AH52" s="347">
        <f>SUM(AD52:AG52)</f>
        <v/>
      </c>
      <c r="AI52" s="347">
        <f>IF('01 Cover &amp; Control'!$C$19="Base",AI49,IF('01 Cover &amp; Control'!$C$19="Upside",AI50,AI51))</f>
        <v/>
      </c>
      <c r="AJ52" s="347">
        <f>IF('01 Cover &amp; Control'!$C$19="Base",AJ49,IF('01 Cover &amp; Control'!$C$19="Upside",AJ50,AJ51))</f>
        <v/>
      </c>
      <c r="AK52" s="347">
        <f>IF('01 Cover &amp; Control'!$C$19="Base",AK49,IF('01 Cover &amp; Control'!$C$19="Upside",AK50,AK51))</f>
        <v/>
      </c>
      <c r="AL52" s="347">
        <f>IF('01 Cover &amp; Control'!$C$19="Base",AL49,IF('01 Cover &amp; Control'!$C$19="Upside",AL50,AL51))</f>
        <v/>
      </c>
      <c r="AM52" s="347">
        <f>SUM(AI52:AL52)</f>
        <v/>
      </c>
      <c r="AN52" s="347">
        <f>IF('01 Cover &amp; Control'!$C$19="Base",AN49,IF('01 Cover &amp; Control'!$C$19="Upside",AN50,AN51))</f>
        <v/>
      </c>
      <c r="AO52" s="347">
        <f>IF('01 Cover &amp; Control'!$C$19="Base",AO49,IF('01 Cover &amp; Control'!$C$19="Upside",AO50,AO51))</f>
        <v/>
      </c>
      <c r="AP52" s="347">
        <f>IF('01 Cover &amp; Control'!$C$19="Base",AP49,IF('01 Cover &amp; Control'!$C$19="Upside",AP50,AP51))</f>
        <v/>
      </c>
      <c r="AQ52" s="347">
        <f>IF('01 Cover &amp; Control'!$C$19="Base",AQ49,IF('01 Cover &amp; Control'!$C$19="Upside",AQ50,AQ51))</f>
        <v/>
      </c>
      <c r="AR52" s="347">
        <f>SUM(AN52:AQ52)</f>
        <v/>
      </c>
    </row>
    <row r="53" ht="3.75" customHeight="1" s="290"/>
    <row r="54" ht="13.5" customHeight="1" s="290">
      <c r="A54" s="339" t="n"/>
      <c r="B54" s="340" t="inlineStr">
        <is>
          <t xml:space="preserve">  IS Market Velocity Index (2023 = 100)  —  Base</t>
        </is>
      </c>
      <c r="C54" s="341" t="inlineStr">
        <is>
          <t>Index</t>
        </is>
      </c>
      <c r="D54" s="342" t="inlineStr">
        <is>
          <t>MSCI RCA; internal calibration. Reflects deal count velocity vs base year.</t>
        </is>
      </c>
      <c r="E54" s="343" t="n">
        <v>100</v>
      </c>
      <c r="F54" s="343" t="n">
        <v>100</v>
      </c>
      <c r="G54" s="343" t="n">
        <v>100</v>
      </c>
      <c r="H54" s="343" t="n">
        <v>100</v>
      </c>
      <c r="I54" s="344">
        <f>SUM(E54:H54)</f>
        <v/>
      </c>
      <c r="J54" s="343" t="n">
        <v>100</v>
      </c>
      <c r="K54" s="343" t="n">
        <v>100</v>
      </c>
      <c r="L54" s="343" t="n">
        <v>100</v>
      </c>
      <c r="M54" s="343" t="n">
        <v>100</v>
      </c>
      <c r="N54" s="344">
        <f>SUM(J54:M54)</f>
        <v/>
      </c>
      <c r="O54" s="343" t="n">
        <v>100</v>
      </c>
      <c r="P54" s="343" t="n">
        <v>100</v>
      </c>
      <c r="Q54" s="343" t="n">
        <v>100</v>
      </c>
      <c r="R54" s="343" t="n">
        <v>100</v>
      </c>
      <c r="S54" s="344">
        <f>SUM(O54:R54)</f>
        <v/>
      </c>
      <c r="T54" s="343" t="n">
        <v>100</v>
      </c>
      <c r="U54" s="343" t="n">
        <v>100</v>
      </c>
      <c r="V54" s="343" t="n">
        <v>100</v>
      </c>
      <c r="W54" s="343" t="n">
        <v>100</v>
      </c>
      <c r="X54" s="344">
        <f>SUM(T54:W54)</f>
        <v/>
      </c>
      <c r="Y54" s="343" t="n">
        <v>100</v>
      </c>
      <c r="Z54" s="343" t="n">
        <v>100</v>
      </c>
      <c r="AA54" s="343" t="n">
        <v>100</v>
      </c>
      <c r="AB54" s="343" t="n">
        <v>100</v>
      </c>
      <c r="AC54" s="344">
        <f>SUM(Y54:AB54)</f>
        <v/>
      </c>
      <c r="AD54" s="343" t="n">
        <v>100</v>
      </c>
      <c r="AE54" s="343" t="n">
        <v>100</v>
      </c>
      <c r="AF54" s="343" t="n">
        <v>100</v>
      </c>
      <c r="AG54" s="343" t="n">
        <v>100</v>
      </c>
      <c r="AH54" s="344">
        <f>SUM(AD54:AG54)</f>
        <v/>
      </c>
      <c r="AI54" s="343" t="n">
        <v>100</v>
      </c>
      <c r="AJ54" s="343" t="n">
        <v>100</v>
      </c>
      <c r="AK54" s="343" t="n">
        <v>100</v>
      </c>
      <c r="AL54" s="343" t="n">
        <v>100</v>
      </c>
      <c r="AM54" s="344">
        <f>SUM(AI54:AL54)</f>
        <v/>
      </c>
      <c r="AN54" s="343" t="n">
        <v>100</v>
      </c>
      <c r="AO54" s="343" t="n">
        <v>100</v>
      </c>
      <c r="AP54" s="343" t="n">
        <v>100</v>
      </c>
      <c r="AQ54" s="343" t="n">
        <v>100</v>
      </c>
      <c r="AR54" s="344">
        <f>SUM(AN54:AQ54)</f>
        <v/>
      </c>
    </row>
    <row r="55" ht="13.5" customHeight="1" s="290">
      <c r="A55" s="339" t="n"/>
      <c r="B55" s="340" t="inlineStr">
        <is>
          <t xml:space="preserve">  IS Market Velocity Index (2023 = 100)  —  Upside</t>
        </is>
      </c>
      <c r="E55" s="343" t="n">
        <v>110</v>
      </c>
      <c r="F55" s="343" t="n">
        <v>110</v>
      </c>
      <c r="G55" s="343" t="n">
        <v>110</v>
      </c>
      <c r="H55" s="343" t="n">
        <v>110</v>
      </c>
      <c r="I55" s="344">
        <f>SUM(E55:H55)</f>
        <v/>
      </c>
      <c r="J55" s="343" t="n">
        <v>110</v>
      </c>
      <c r="K55" s="343" t="n">
        <v>110</v>
      </c>
      <c r="L55" s="343" t="n">
        <v>110</v>
      </c>
      <c r="M55" s="343" t="n">
        <v>110</v>
      </c>
      <c r="N55" s="344">
        <f>SUM(J55:M55)</f>
        <v/>
      </c>
      <c r="O55" s="343" t="n">
        <v>110</v>
      </c>
      <c r="P55" s="343" t="n">
        <v>110</v>
      </c>
      <c r="Q55" s="343" t="n">
        <v>110</v>
      </c>
      <c r="R55" s="343" t="n">
        <v>110</v>
      </c>
      <c r="S55" s="344">
        <f>SUM(O55:R55)</f>
        <v/>
      </c>
      <c r="T55" s="343" t="n">
        <v>110</v>
      </c>
      <c r="U55" s="343" t="n">
        <v>110</v>
      </c>
      <c r="V55" s="343" t="n">
        <v>110</v>
      </c>
      <c r="W55" s="343" t="n">
        <v>110</v>
      </c>
      <c r="X55" s="344">
        <f>SUM(T55:W55)</f>
        <v/>
      </c>
      <c r="Y55" s="343" t="n">
        <v>110</v>
      </c>
      <c r="Z55" s="343" t="n">
        <v>110</v>
      </c>
      <c r="AA55" s="343" t="n">
        <v>110</v>
      </c>
      <c r="AB55" s="343" t="n">
        <v>110</v>
      </c>
      <c r="AC55" s="344">
        <f>SUM(Y55:AB55)</f>
        <v/>
      </c>
      <c r="AD55" s="343" t="n">
        <v>110</v>
      </c>
      <c r="AE55" s="343" t="n">
        <v>110</v>
      </c>
      <c r="AF55" s="343" t="n">
        <v>110</v>
      </c>
      <c r="AG55" s="343" t="n">
        <v>110</v>
      </c>
      <c r="AH55" s="344">
        <f>SUM(AD55:AG55)</f>
        <v/>
      </c>
      <c r="AI55" s="343" t="n">
        <v>110</v>
      </c>
      <c r="AJ55" s="343" t="n">
        <v>110</v>
      </c>
      <c r="AK55" s="343" t="n">
        <v>110</v>
      </c>
      <c r="AL55" s="343" t="n">
        <v>110</v>
      </c>
      <c r="AM55" s="344">
        <f>SUM(AI55:AL55)</f>
        <v/>
      </c>
      <c r="AN55" s="343" t="n">
        <v>110</v>
      </c>
      <c r="AO55" s="343" t="n">
        <v>110</v>
      </c>
      <c r="AP55" s="343" t="n">
        <v>110</v>
      </c>
      <c r="AQ55" s="343" t="n">
        <v>110</v>
      </c>
      <c r="AR55" s="344">
        <f>SUM(AN55:AQ55)</f>
        <v/>
      </c>
    </row>
    <row r="56" ht="13.5" customHeight="1" s="290">
      <c r="A56" s="339" t="n"/>
      <c r="B56" s="340" t="inlineStr">
        <is>
          <t xml:space="preserve">  IS Market Velocity Index (2023 = 100)  —  Downside</t>
        </is>
      </c>
      <c r="E56" s="343" t="n">
        <v>85</v>
      </c>
      <c r="F56" s="343" t="n">
        <v>85</v>
      </c>
      <c r="G56" s="343" t="n">
        <v>85</v>
      </c>
      <c r="H56" s="343" t="n">
        <v>85</v>
      </c>
      <c r="I56" s="344">
        <f>SUM(E56:H56)</f>
        <v/>
      </c>
      <c r="J56" s="343" t="n">
        <v>85</v>
      </c>
      <c r="K56" s="343" t="n">
        <v>85</v>
      </c>
      <c r="L56" s="343" t="n">
        <v>85</v>
      </c>
      <c r="M56" s="343" t="n">
        <v>85</v>
      </c>
      <c r="N56" s="344">
        <f>SUM(J56:M56)</f>
        <v/>
      </c>
      <c r="O56" s="343" t="n">
        <v>85</v>
      </c>
      <c r="P56" s="343" t="n">
        <v>85</v>
      </c>
      <c r="Q56" s="343" t="n">
        <v>85</v>
      </c>
      <c r="R56" s="343" t="n">
        <v>85</v>
      </c>
      <c r="S56" s="344">
        <f>SUM(O56:R56)</f>
        <v/>
      </c>
      <c r="T56" s="343" t="n">
        <v>85</v>
      </c>
      <c r="U56" s="343" t="n">
        <v>85</v>
      </c>
      <c r="V56" s="343" t="n">
        <v>85</v>
      </c>
      <c r="W56" s="343" t="n">
        <v>85</v>
      </c>
      <c r="X56" s="344">
        <f>SUM(T56:W56)</f>
        <v/>
      </c>
      <c r="Y56" s="343" t="n">
        <v>85</v>
      </c>
      <c r="Z56" s="343" t="n">
        <v>85</v>
      </c>
      <c r="AA56" s="343" t="n">
        <v>85</v>
      </c>
      <c r="AB56" s="343" t="n">
        <v>85</v>
      </c>
      <c r="AC56" s="344">
        <f>SUM(Y56:AB56)</f>
        <v/>
      </c>
      <c r="AD56" s="343" t="n">
        <v>85</v>
      </c>
      <c r="AE56" s="343" t="n">
        <v>85</v>
      </c>
      <c r="AF56" s="343" t="n">
        <v>85</v>
      </c>
      <c r="AG56" s="343" t="n">
        <v>85</v>
      </c>
      <c r="AH56" s="344">
        <f>SUM(AD56:AG56)</f>
        <v/>
      </c>
      <c r="AI56" s="343" t="n">
        <v>85</v>
      </c>
      <c r="AJ56" s="343" t="n">
        <v>85</v>
      </c>
      <c r="AK56" s="343" t="n">
        <v>85</v>
      </c>
      <c r="AL56" s="343" t="n">
        <v>85</v>
      </c>
      <c r="AM56" s="344">
        <f>SUM(AI56:AL56)</f>
        <v/>
      </c>
      <c r="AN56" s="343" t="n">
        <v>85</v>
      </c>
      <c r="AO56" s="343" t="n">
        <v>85</v>
      </c>
      <c r="AP56" s="343" t="n">
        <v>85</v>
      </c>
      <c r="AQ56" s="343" t="n">
        <v>85</v>
      </c>
      <c r="AR56" s="344">
        <f>SUM(AN56:AQ56)</f>
        <v/>
      </c>
    </row>
    <row r="57" ht="13.5" customHeight="1" s="290">
      <c r="A57" s="345" t="n"/>
      <c r="B57" s="349" t="inlineStr">
        <is>
          <t xml:space="preserve">  [V2 Ref]  IS Market Velocity Index (2023 = 100)  —  ★ ACTIVE</t>
        </is>
      </c>
      <c r="D57" s="350" t="inlineStr">
        <is>
          <t>V2 REFERENCE ONLY: IS transaction velocity not used in V1 revenue model. Reserved for V2 velocity-adjusted GCI forecasting.</t>
        </is>
      </c>
      <c r="E57" s="347">
        <f>IF('01 Cover &amp; Control'!$C$19="Base",E54,IF('01 Cover &amp; Control'!$C$19="Upside",E55,E56))</f>
        <v/>
      </c>
      <c r="F57" s="347">
        <f>IF('01 Cover &amp; Control'!$C$19="Base",F54,IF('01 Cover &amp; Control'!$C$19="Upside",F55,F56))</f>
        <v/>
      </c>
      <c r="G57" s="347">
        <f>IF('01 Cover &amp; Control'!$C$19="Base",G54,IF('01 Cover &amp; Control'!$C$19="Upside",G55,G56))</f>
        <v/>
      </c>
      <c r="H57" s="347">
        <f>IF('01 Cover &amp; Control'!$C$19="Base",H54,IF('01 Cover &amp; Control'!$C$19="Upside",H55,H56))</f>
        <v/>
      </c>
      <c r="I57" s="347">
        <f>SUM(E57:H57)</f>
        <v/>
      </c>
      <c r="J57" s="347">
        <f>IF('01 Cover &amp; Control'!$C$19="Base",J54,IF('01 Cover &amp; Control'!$C$19="Upside",J55,J56))</f>
        <v/>
      </c>
      <c r="K57" s="347">
        <f>IF('01 Cover &amp; Control'!$C$19="Base",K54,IF('01 Cover &amp; Control'!$C$19="Upside",K55,K56))</f>
        <v/>
      </c>
      <c r="L57" s="347">
        <f>IF('01 Cover &amp; Control'!$C$19="Base",L54,IF('01 Cover &amp; Control'!$C$19="Upside",L55,L56))</f>
        <v/>
      </c>
      <c r="M57" s="347">
        <f>IF('01 Cover &amp; Control'!$C$19="Base",M54,IF('01 Cover &amp; Control'!$C$19="Upside",M55,M56))</f>
        <v/>
      </c>
      <c r="N57" s="347">
        <f>SUM(J57:M57)</f>
        <v/>
      </c>
      <c r="O57" s="347">
        <f>IF('01 Cover &amp; Control'!$C$19="Base",O54,IF('01 Cover &amp; Control'!$C$19="Upside",O55,O56))</f>
        <v/>
      </c>
      <c r="P57" s="347">
        <f>IF('01 Cover &amp; Control'!$C$19="Base",P54,IF('01 Cover &amp; Control'!$C$19="Upside",P55,P56))</f>
        <v/>
      </c>
      <c r="Q57" s="347">
        <f>IF('01 Cover &amp; Control'!$C$19="Base",Q54,IF('01 Cover &amp; Control'!$C$19="Upside",Q55,Q56))</f>
        <v/>
      </c>
      <c r="R57" s="347">
        <f>IF('01 Cover &amp; Control'!$C$19="Base",R54,IF('01 Cover &amp; Control'!$C$19="Upside",R55,R56))</f>
        <v/>
      </c>
      <c r="S57" s="347">
        <f>SUM(O57:R57)</f>
        <v/>
      </c>
      <c r="T57" s="347">
        <f>IF('01 Cover &amp; Control'!$C$19="Base",T54,IF('01 Cover &amp; Control'!$C$19="Upside",T55,T56))</f>
        <v/>
      </c>
      <c r="U57" s="347">
        <f>IF('01 Cover &amp; Control'!$C$19="Base",U54,IF('01 Cover &amp; Control'!$C$19="Upside",U55,U56))</f>
        <v/>
      </c>
      <c r="V57" s="347">
        <f>IF('01 Cover &amp; Control'!$C$19="Base",V54,IF('01 Cover &amp; Control'!$C$19="Upside",V55,V56))</f>
        <v/>
      </c>
      <c r="W57" s="347">
        <f>IF('01 Cover &amp; Control'!$C$19="Base",W54,IF('01 Cover &amp; Control'!$C$19="Upside",W55,W56))</f>
        <v/>
      </c>
      <c r="X57" s="347">
        <f>SUM(T57:W57)</f>
        <v/>
      </c>
      <c r="Y57" s="347">
        <f>IF('01 Cover &amp; Control'!$C$19="Base",Y54,IF('01 Cover &amp; Control'!$C$19="Upside",Y55,Y56))</f>
        <v/>
      </c>
      <c r="Z57" s="347">
        <f>IF('01 Cover &amp; Control'!$C$19="Base",Z54,IF('01 Cover &amp; Control'!$C$19="Upside",Z55,Z56))</f>
        <v/>
      </c>
      <c r="AA57" s="347">
        <f>IF('01 Cover &amp; Control'!$C$19="Base",AA54,IF('01 Cover &amp; Control'!$C$19="Upside",AA55,AA56))</f>
        <v/>
      </c>
      <c r="AB57" s="347">
        <f>IF('01 Cover &amp; Control'!$C$19="Base",AB54,IF('01 Cover &amp; Control'!$C$19="Upside",AB55,AB56))</f>
        <v/>
      </c>
      <c r="AC57" s="347">
        <f>SUM(Y57:AB57)</f>
        <v/>
      </c>
      <c r="AD57" s="347">
        <f>IF('01 Cover &amp; Control'!$C$19="Base",AD54,IF('01 Cover &amp; Control'!$C$19="Upside",AD55,AD56))</f>
        <v/>
      </c>
      <c r="AE57" s="347">
        <f>IF('01 Cover &amp; Control'!$C$19="Base",AE54,IF('01 Cover &amp; Control'!$C$19="Upside",AE55,AE56))</f>
        <v/>
      </c>
      <c r="AF57" s="347">
        <f>IF('01 Cover &amp; Control'!$C$19="Base",AF54,IF('01 Cover &amp; Control'!$C$19="Upside",AF55,AF56))</f>
        <v/>
      </c>
      <c r="AG57" s="347">
        <f>IF('01 Cover &amp; Control'!$C$19="Base",AG54,IF('01 Cover &amp; Control'!$C$19="Upside",AG55,AG56))</f>
        <v/>
      </c>
      <c r="AH57" s="347">
        <f>SUM(AD57:AG57)</f>
        <v/>
      </c>
      <c r="AI57" s="347">
        <f>IF('01 Cover &amp; Control'!$C$19="Base",AI54,IF('01 Cover &amp; Control'!$C$19="Upside",AI55,AI56))</f>
        <v/>
      </c>
      <c r="AJ57" s="347">
        <f>IF('01 Cover &amp; Control'!$C$19="Base",AJ54,IF('01 Cover &amp; Control'!$C$19="Upside",AJ55,AJ56))</f>
        <v/>
      </c>
      <c r="AK57" s="347">
        <f>IF('01 Cover &amp; Control'!$C$19="Base",AK54,IF('01 Cover &amp; Control'!$C$19="Upside",AK55,AK56))</f>
        <v/>
      </c>
      <c r="AL57" s="347">
        <f>IF('01 Cover &amp; Control'!$C$19="Base",AL54,IF('01 Cover &amp; Control'!$C$19="Upside",AL55,AL56))</f>
        <v/>
      </c>
      <c r="AM57" s="347">
        <f>SUM(AI57:AL57)</f>
        <v/>
      </c>
      <c r="AN57" s="347">
        <f>IF('01 Cover &amp; Control'!$C$19="Base",AN54,IF('01 Cover &amp; Control'!$C$19="Upside",AN55,AN56))</f>
        <v/>
      </c>
      <c r="AO57" s="347">
        <f>IF('01 Cover &amp; Control'!$C$19="Base",AO54,IF('01 Cover &amp; Control'!$C$19="Upside",AO55,AO56))</f>
        <v/>
      </c>
      <c r="AP57" s="347">
        <f>IF('01 Cover &amp; Control'!$C$19="Base",AP54,IF('01 Cover &amp; Control'!$C$19="Upside",AP55,AP56))</f>
        <v/>
      </c>
      <c r="AQ57" s="347">
        <f>IF('01 Cover &amp; Control'!$C$19="Base",AQ54,IF('01 Cover &amp; Control'!$C$19="Upside",AQ55,AQ56))</f>
        <v/>
      </c>
      <c r="AR57" s="347">
        <f>SUM(AN57:AQ57)</f>
        <v/>
      </c>
    </row>
    <row r="58" ht="3.75" customHeight="1" s="290"/>
    <row r="59" ht="15" customHeight="1" s="290">
      <c r="A59" s="307" t="inlineStr">
        <is>
          <t xml:space="preserve">    B2 — IS PROPERTY MIX  (static structural inputs — not scenario-keyed)</t>
        </is>
      </c>
    </row>
    <row r="60" ht="3" customHeight="1" s="290"/>
    <row r="61" ht="15" customHeight="1" s="290">
      <c r="B61" s="351" t="inlineStr">
        <is>
          <t xml:space="preserve">  Property mix shifts slowly. Input annually. Rows must sum to 100% (see CHECK row below).</t>
        </is>
      </c>
    </row>
    <row r="62" ht="13.5" customHeight="1" s="290">
      <c r="A62" s="339" t="n"/>
      <c r="B62" s="352" t="inlineStr">
        <is>
          <t xml:space="preserve">  [V2 Ref]  IS Mix — Multifamily</t>
        </is>
      </c>
      <c r="C62" s="341" t="inlineStr">
        <is>
          <t>%</t>
        </is>
      </c>
      <c r="D62" s="350" t="inlineStr">
        <is>
          <t>V2 REFERENCE ONLY: IS property-type mix not used in V1 (tier maps 1:1 to deal size). Reserved for V2 cross-type analysis.</t>
        </is>
      </c>
      <c r="E62" s="343" t="n">
        <v>0.4</v>
      </c>
      <c r="F62" s="343" t="n">
        <v>0.4</v>
      </c>
      <c r="G62" s="343" t="n">
        <v>0.4</v>
      </c>
      <c r="H62" s="343" t="n">
        <v>0.4</v>
      </c>
      <c r="I62" s="344">
        <f>SUM(E62:H62)</f>
        <v/>
      </c>
      <c r="J62" s="343" t="n">
        <v>0.4</v>
      </c>
      <c r="K62" s="343" t="n">
        <v>0.4</v>
      </c>
      <c r="L62" s="343" t="n">
        <v>0.4</v>
      </c>
      <c r="M62" s="343" t="n">
        <v>0.4</v>
      </c>
      <c r="N62" s="344">
        <f>SUM(J62:M62)</f>
        <v/>
      </c>
      <c r="O62" s="343" t="n">
        <v>0.4</v>
      </c>
      <c r="P62" s="343" t="n">
        <v>0.4</v>
      </c>
      <c r="Q62" s="343" t="n">
        <v>0.4</v>
      </c>
      <c r="R62" s="343" t="n">
        <v>0.4</v>
      </c>
      <c r="S62" s="344">
        <f>SUM(O62:R62)</f>
        <v/>
      </c>
      <c r="T62" s="343" t="n">
        <v>0.4</v>
      </c>
      <c r="U62" s="343" t="n">
        <v>0.4</v>
      </c>
      <c r="V62" s="343" t="n">
        <v>0.4</v>
      </c>
      <c r="W62" s="343" t="n">
        <v>0.4</v>
      </c>
      <c r="X62" s="344">
        <f>SUM(T62:W62)</f>
        <v/>
      </c>
      <c r="Y62" s="343" t="n">
        <v>0.4</v>
      </c>
      <c r="Z62" s="343" t="n">
        <v>0.4</v>
      </c>
      <c r="AA62" s="343" t="n">
        <v>0.4</v>
      </c>
      <c r="AB62" s="343" t="n">
        <v>0.4</v>
      </c>
      <c r="AC62" s="344">
        <f>SUM(Y62:AB62)</f>
        <v/>
      </c>
      <c r="AD62" s="343" t="n">
        <v>0.4</v>
      </c>
      <c r="AE62" s="343" t="n">
        <v>0.4</v>
      </c>
      <c r="AF62" s="343" t="n">
        <v>0.4</v>
      </c>
      <c r="AG62" s="343" t="n">
        <v>0.4</v>
      </c>
      <c r="AH62" s="344">
        <f>SUM(AD62:AG62)</f>
        <v/>
      </c>
      <c r="AI62" s="343" t="n">
        <v>0.4</v>
      </c>
      <c r="AJ62" s="343" t="n">
        <v>0.4</v>
      </c>
      <c r="AK62" s="343" t="n">
        <v>0.4</v>
      </c>
      <c r="AL62" s="343" t="n">
        <v>0.4</v>
      </c>
      <c r="AM62" s="344">
        <f>SUM(AI62:AL62)</f>
        <v/>
      </c>
      <c r="AN62" s="343" t="n">
        <v>0.4</v>
      </c>
      <c r="AO62" s="343" t="n">
        <v>0.4</v>
      </c>
      <c r="AP62" s="343" t="n">
        <v>0.4</v>
      </c>
      <c r="AQ62" s="343" t="n">
        <v>0.4</v>
      </c>
      <c r="AR62" s="344">
        <f>SUM(AN62:AQ62)</f>
        <v/>
      </c>
    </row>
    <row r="63" ht="13.5" customHeight="1" s="290">
      <c r="A63" s="339" t="n"/>
      <c r="B63" s="352" t="inlineStr">
        <is>
          <t xml:space="preserve">  [V2 Ref]  IS Mix — Office &amp; Industrial (Blended)</t>
        </is>
      </c>
      <c r="C63" s="341" t="inlineStr">
        <is>
          <t>%</t>
        </is>
      </c>
      <c r="D63" s="350" t="inlineStr">
        <is>
          <t>V2 REFERENCE ONLY: same as row 62.</t>
        </is>
      </c>
      <c r="E63" s="343" t="n">
        <v>0.45</v>
      </c>
      <c r="F63" s="343" t="n">
        <v>0.45</v>
      </c>
      <c r="G63" s="343" t="n">
        <v>0.45</v>
      </c>
      <c r="H63" s="343" t="n">
        <v>0.45</v>
      </c>
      <c r="I63" s="344">
        <f>SUM(E63:H63)</f>
        <v/>
      </c>
      <c r="J63" s="343" t="n">
        <v>0.45</v>
      </c>
      <c r="K63" s="343" t="n">
        <v>0.45</v>
      </c>
      <c r="L63" s="343" t="n">
        <v>0.45</v>
      </c>
      <c r="M63" s="343" t="n">
        <v>0.45</v>
      </c>
      <c r="N63" s="344">
        <f>SUM(J63:M63)</f>
        <v/>
      </c>
      <c r="O63" s="343" t="n">
        <v>0.45</v>
      </c>
      <c r="P63" s="343" t="n">
        <v>0.45</v>
      </c>
      <c r="Q63" s="343" t="n">
        <v>0.45</v>
      </c>
      <c r="R63" s="343" t="n">
        <v>0.45</v>
      </c>
      <c r="S63" s="344">
        <f>SUM(O63:R63)</f>
        <v/>
      </c>
      <c r="T63" s="343" t="n">
        <v>0.45</v>
      </c>
      <c r="U63" s="343" t="n">
        <v>0.45</v>
      </c>
      <c r="V63" s="343" t="n">
        <v>0.45</v>
      </c>
      <c r="W63" s="343" t="n">
        <v>0.45</v>
      </c>
      <c r="X63" s="344">
        <f>SUM(T63:W63)</f>
        <v/>
      </c>
      <c r="Y63" s="343" t="n">
        <v>0.45</v>
      </c>
      <c r="Z63" s="343" t="n">
        <v>0.45</v>
      </c>
      <c r="AA63" s="343" t="n">
        <v>0.45</v>
      </c>
      <c r="AB63" s="343" t="n">
        <v>0.45</v>
      </c>
      <c r="AC63" s="344">
        <f>SUM(Y63:AB63)</f>
        <v/>
      </c>
      <c r="AD63" s="343" t="n">
        <v>0.45</v>
      </c>
      <c r="AE63" s="343" t="n">
        <v>0.45</v>
      </c>
      <c r="AF63" s="343" t="n">
        <v>0.45</v>
      </c>
      <c r="AG63" s="343" t="n">
        <v>0.45</v>
      </c>
      <c r="AH63" s="344">
        <f>SUM(AD63:AG63)</f>
        <v/>
      </c>
      <c r="AI63" s="343" t="n">
        <v>0.45</v>
      </c>
      <c r="AJ63" s="343" t="n">
        <v>0.45</v>
      </c>
      <c r="AK63" s="343" t="n">
        <v>0.45</v>
      </c>
      <c r="AL63" s="343" t="n">
        <v>0.45</v>
      </c>
      <c r="AM63" s="344">
        <f>SUM(AI63:AL63)</f>
        <v/>
      </c>
      <c r="AN63" s="343" t="n">
        <v>0.45</v>
      </c>
      <c r="AO63" s="343" t="n">
        <v>0.45</v>
      </c>
      <c r="AP63" s="343" t="n">
        <v>0.45</v>
      </c>
      <c r="AQ63" s="343" t="n">
        <v>0.45</v>
      </c>
      <c r="AR63" s="344">
        <f>SUM(AN63:AQ63)</f>
        <v/>
      </c>
    </row>
    <row r="64" ht="13.5" customHeight="1" s="290">
      <c r="A64" s="339" t="n"/>
      <c r="B64" s="352" t="inlineStr">
        <is>
          <t xml:space="preserve">  [V2 Ref]  IS Mix — Retail &amp; Other</t>
        </is>
      </c>
      <c r="C64" s="341" t="inlineStr">
        <is>
          <t>%</t>
        </is>
      </c>
      <c r="D64" s="350" t="inlineStr">
        <is>
          <t>V2 REFERENCE ONLY: same as row 62.</t>
        </is>
      </c>
      <c r="E64" s="343" t="n">
        <v>0.15</v>
      </c>
      <c r="F64" s="343" t="n">
        <v>0.15</v>
      </c>
      <c r="G64" s="343" t="n">
        <v>0.15</v>
      </c>
      <c r="H64" s="343" t="n">
        <v>0.15</v>
      </c>
      <c r="I64" s="344">
        <f>SUM(E64:H64)</f>
        <v/>
      </c>
      <c r="J64" s="343" t="n">
        <v>0.15</v>
      </c>
      <c r="K64" s="343" t="n">
        <v>0.15</v>
      </c>
      <c r="L64" s="343" t="n">
        <v>0.15</v>
      </c>
      <c r="M64" s="343" t="n">
        <v>0.15</v>
      </c>
      <c r="N64" s="344">
        <f>SUM(J64:M64)</f>
        <v/>
      </c>
      <c r="O64" s="343" t="n">
        <v>0.15</v>
      </c>
      <c r="P64" s="343" t="n">
        <v>0.15</v>
      </c>
      <c r="Q64" s="343" t="n">
        <v>0.15</v>
      </c>
      <c r="R64" s="343" t="n">
        <v>0.15</v>
      </c>
      <c r="S64" s="344">
        <f>SUM(O64:R64)</f>
        <v/>
      </c>
      <c r="T64" s="343" t="n">
        <v>0.15</v>
      </c>
      <c r="U64" s="343" t="n">
        <v>0.15</v>
      </c>
      <c r="V64" s="343" t="n">
        <v>0.15</v>
      </c>
      <c r="W64" s="343" t="n">
        <v>0.15</v>
      </c>
      <c r="X64" s="344">
        <f>SUM(T64:W64)</f>
        <v/>
      </c>
      <c r="Y64" s="343" t="n">
        <v>0.15</v>
      </c>
      <c r="Z64" s="343" t="n">
        <v>0.15</v>
      </c>
      <c r="AA64" s="343" t="n">
        <v>0.15</v>
      </c>
      <c r="AB64" s="343" t="n">
        <v>0.15</v>
      </c>
      <c r="AC64" s="344">
        <f>SUM(Y64:AB64)</f>
        <v/>
      </c>
      <c r="AD64" s="343" t="n">
        <v>0.15</v>
      </c>
      <c r="AE64" s="343" t="n">
        <v>0.15</v>
      </c>
      <c r="AF64" s="343" t="n">
        <v>0.15</v>
      </c>
      <c r="AG64" s="343" t="n">
        <v>0.15</v>
      </c>
      <c r="AH64" s="344">
        <f>SUM(AD64:AG64)</f>
        <v/>
      </c>
      <c r="AI64" s="343" t="n">
        <v>0.15</v>
      </c>
      <c r="AJ64" s="343" t="n">
        <v>0.15</v>
      </c>
      <c r="AK64" s="343" t="n">
        <v>0.15</v>
      </c>
      <c r="AL64" s="343" t="n">
        <v>0.15</v>
      </c>
      <c r="AM64" s="344">
        <f>SUM(AI64:AL64)</f>
        <v/>
      </c>
      <c r="AN64" s="343" t="n">
        <v>0.15</v>
      </c>
      <c r="AO64" s="343" t="n">
        <v>0.15</v>
      </c>
      <c r="AP64" s="343" t="n">
        <v>0.15</v>
      </c>
      <c r="AQ64" s="343" t="n">
        <v>0.15</v>
      </c>
      <c r="AR64" s="344">
        <f>SUM(AN64:AQ64)</f>
        <v/>
      </c>
    </row>
    <row r="65" ht="3.75" customHeight="1" s="290"/>
    <row r="66" ht="13.5" customHeight="1" s="290">
      <c r="A66" s="339" t="n"/>
      <c r="B66" s="353" t="inlineStr">
        <is>
          <t xml:space="preserve">  ✔  CHECK: IS Property Mix Sums to 100%</t>
        </is>
      </c>
      <c r="D66" s="354" t="inlineStr">
        <is>
          <t>Structural check. FAIL = property mix inputs do not total 100%.</t>
        </is>
      </c>
      <c r="E66" s="355" t="inlineStr">
        <is>
          <t>—</t>
        </is>
      </c>
      <c r="F66" s="355" t="inlineStr">
        <is>
          <t>—</t>
        </is>
      </c>
      <c r="G66" s="355" t="inlineStr">
        <is>
          <t>—</t>
        </is>
      </c>
      <c r="H66" s="355" t="inlineStr">
        <is>
          <t>—</t>
        </is>
      </c>
      <c r="I66" s="356">
        <f>IF(ABS(SUM(I62:I64)-1)&lt;0.001,"PASS","WARN — V2 Reference (not used in V1)")</f>
        <v/>
      </c>
      <c r="J66" s="355" t="inlineStr">
        <is>
          <t>—</t>
        </is>
      </c>
      <c r="K66" s="355" t="inlineStr">
        <is>
          <t>—</t>
        </is>
      </c>
      <c r="L66" s="355" t="inlineStr">
        <is>
          <t>—</t>
        </is>
      </c>
      <c r="M66" s="355" t="inlineStr">
        <is>
          <t>—</t>
        </is>
      </c>
      <c r="N66" s="356">
        <f>IF(ABS(SUM(N62:N64)-1)&lt;0.001,"PASS","WARN — V2 Reference (not used in V1)")</f>
        <v/>
      </c>
      <c r="O66" s="355" t="inlineStr">
        <is>
          <t>—</t>
        </is>
      </c>
      <c r="P66" s="355" t="inlineStr">
        <is>
          <t>—</t>
        </is>
      </c>
      <c r="Q66" s="355" t="inlineStr">
        <is>
          <t>—</t>
        </is>
      </c>
      <c r="R66" s="355" t="inlineStr">
        <is>
          <t>—</t>
        </is>
      </c>
      <c r="S66" s="356">
        <f>IF(ABS(SUM(S62:S64)-1)&lt;0.001,"PASS","WARN — V2 Reference (not used in V1)")</f>
        <v/>
      </c>
      <c r="T66" s="355" t="inlineStr">
        <is>
          <t>—</t>
        </is>
      </c>
      <c r="U66" s="355" t="inlineStr">
        <is>
          <t>—</t>
        </is>
      </c>
      <c r="V66" s="355" t="inlineStr">
        <is>
          <t>—</t>
        </is>
      </c>
      <c r="W66" s="355" t="inlineStr">
        <is>
          <t>—</t>
        </is>
      </c>
      <c r="X66" s="356">
        <f>IF(ABS(SUM(X62:X64)-1)&lt;0.001,"PASS","WARN — V2 Reference (not used in V1)")</f>
        <v/>
      </c>
      <c r="Y66" s="355" t="inlineStr">
        <is>
          <t>—</t>
        </is>
      </c>
      <c r="Z66" s="355" t="inlineStr">
        <is>
          <t>—</t>
        </is>
      </c>
      <c r="AA66" s="355" t="inlineStr">
        <is>
          <t>—</t>
        </is>
      </c>
      <c r="AB66" s="355" t="inlineStr">
        <is>
          <t>—</t>
        </is>
      </c>
      <c r="AC66" s="356">
        <f>IF(ABS(SUM(AC62:AC64)-1)&lt;0.001,"PASS","WARN — V2 Reference (not used in V1)")</f>
        <v/>
      </c>
      <c r="AD66" s="355" t="inlineStr">
        <is>
          <t>—</t>
        </is>
      </c>
      <c r="AE66" s="355" t="inlineStr">
        <is>
          <t>—</t>
        </is>
      </c>
      <c r="AF66" s="355" t="inlineStr">
        <is>
          <t>—</t>
        </is>
      </c>
      <c r="AG66" s="355" t="inlineStr">
        <is>
          <t>—</t>
        </is>
      </c>
      <c r="AH66" s="356">
        <f>IF(ABS(SUM(AH62:AH64)-1)&lt;0.001,"PASS","WARN — V2 Reference (not used in V1)")</f>
        <v/>
      </c>
      <c r="AI66" s="355" t="inlineStr">
        <is>
          <t>—</t>
        </is>
      </c>
      <c r="AJ66" s="355" t="inlineStr">
        <is>
          <t>—</t>
        </is>
      </c>
      <c r="AK66" s="355" t="inlineStr">
        <is>
          <t>—</t>
        </is>
      </c>
      <c r="AL66" s="355" t="inlineStr">
        <is>
          <t>—</t>
        </is>
      </c>
      <c r="AM66" s="356">
        <f>IF(ABS(SUM(AM62:AM64)-1)&lt;0.001,"PASS","WARN — V2 Reference (not used in V1)")</f>
        <v/>
      </c>
      <c r="AN66" s="355" t="inlineStr">
        <is>
          <t>—</t>
        </is>
      </c>
      <c r="AO66" s="355" t="inlineStr">
        <is>
          <t>—</t>
        </is>
      </c>
      <c r="AP66" s="355" t="inlineStr">
        <is>
          <t>—</t>
        </is>
      </c>
      <c r="AQ66" s="355" t="inlineStr">
        <is>
          <t>—</t>
        </is>
      </c>
      <c r="AR66" s="356">
        <f>IF(ABS(SUM(AR62:AR64)-1)&lt;0.001,"PASS","WARN — V2 Reference (not used in V1)")</f>
        <v/>
      </c>
    </row>
    <row r="67" ht="4.5" customHeight="1" s="290"/>
    <row r="68" ht="15" customHeight="1" s="290">
      <c r="A68" s="307" t="inlineStr">
        <is>
          <t xml:space="preserve">    B3 — AVERAGE IS DEAL SIZE BY TIER</t>
        </is>
      </c>
    </row>
    <row r="69" ht="3" customHeight="1" s="290"/>
    <row r="70" ht="13.5" customHeight="1" s="290">
      <c r="A70" s="339" t="n"/>
      <c r="B70" s="340" t="inlineStr">
        <is>
          <t xml:space="preserve">  Avg IS Deal Size — Institutional (&gt;$50M)  —  Base</t>
        </is>
      </c>
      <c r="C70" s="341" t="inlineStr">
        <is>
          <t>$M / deal</t>
        </is>
      </c>
      <c r="D70" s="342" t="inlineStr">
        <is>
          <t>MSCI RCA; Marcus &amp; Millichap 10-K avg deal value disclosures</t>
        </is>
      </c>
      <c r="E70" s="343" t="n">
        <v>80</v>
      </c>
      <c r="F70" s="343" t="n">
        <v>80</v>
      </c>
      <c r="G70" s="343" t="n">
        <v>80</v>
      </c>
      <c r="H70" s="343" t="n">
        <v>80</v>
      </c>
      <c r="I70" s="344">
        <f>SUM(E70:H70)</f>
        <v/>
      </c>
      <c r="J70" s="343" t="n">
        <v>82</v>
      </c>
      <c r="K70" s="343" t="n">
        <v>82</v>
      </c>
      <c r="L70" s="343" t="n">
        <v>82</v>
      </c>
      <c r="M70" s="343" t="n">
        <v>82</v>
      </c>
      <c r="N70" s="344">
        <f>SUM(J70:M70)</f>
        <v/>
      </c>
      <c r="O70" s="343" t="n">
        <v>84</v>
      </c>
      <c r="P70" s="343" t="n">
        <v>84</v>
      </c>
      <c r="Q70" s="343" t="n">
        <v>84</v>
      </c>
      <c r="R70" s="343" t="n">
        <v>84</v>
      </c>
      <c r="S70" s="344">
        <f>SUM(O70:R70)</f>
        <v/>
      </c>
      <c r="T70" s="343" t="n">
        <v>85</v>
      </c>
      <c r="U70" s="343" t="n">
        <v>85</v>
      </c>
      <c r="V70" s="343" t="n">
        <v>85</v>
      </c>
      <c r="W70" s="343" t="n">
        <v>85</v>
      </c>
      <c r="X70" s="344">
        <f>SUM(T70:W70)</f>
        <v/>
      </c>
      <c r="Y70" s="343" t="n">
        <v>86</v>
      </c>
      <c r="Z70" s="343" t="n">
        <v>86</v>
      </c>
      <c r="AA70" s="343" t="n">
        <v>86</v>
      </c>
      <c r="AB70" s="343" t="n">
        <v>86</v>
      </c>
      <c r="AC70" s="344">
        <f>SUM(Y70:AB70)</f>
        <v/>
      </c>
      <c r="AD70" s="343" t="n">
        <v>87</v>
      </c>
      <c r="AE70" s="343" t="n">
        <v>87</v>
      </c>
      <c r="AF70" s="343" t="n">
        <v>87</v>
      </c>
      <c r="AG70" s="343" t="n">
        <v>87</v>
      </c>
      <c r="AH70" s="344">
        <f>SUM(AD70:AG70)</f>
        <v/>
      </c>
      <c r="AI70" s="343" t="n">
        <v>88</v>
      </c>
      <c r="AJ70" s="343" t="n">
        <v>88</v>
      </c>
      <c r="AK70" s="343" t="n">
        <v>88</v>
      </c>
      <c r="AL70" s="343" t="n">
        <v>88</v>
      </c>
      <c r="AM70" s="344">
        <f>SUM(AI70:AL70)</f>
        <v/>
      </c>
      <c r="AN70" s="343" t="n">
        <v>89</v>
      </c>
      <c r="AO70" s="343" t="n">
        <v>89</v>
      </c>
      <c r="AP70" s="343" t="n">
        <v>89</v>
      </c>
      <c r="AQ70" s="343" t="n">
        <v>89</v>
      </c>
      <c r="AR70" s="344">
        <f>SUM(AN70:AQ70)</f>
        <v/>
      </c>
    </row>
    <row r="71" ht="13.5" customHeight="1" s="290">
      <c r="A71" s="339" t="n"/>
      <c r="B71" s="340" t="inlineStr">
        <is>
          <t xml:space="preserve">  Avg IS Deal Size — Institutional (&gt;$50M)  —  Upside</t>
        </is>
      </c>
      <c r="E71" s="343" t="n">
        <v>80</v>
      </c>
      <c r="F71" s="343" t="n">
        <v>80</v>
      </c>
      <c r="G71" s="343" t="n">
        <v>80</v>
      </c>
      <c r="H71" s="343" t="n">
        <v>80</v>
      </c>
      <c r="I71" s="344">
        <f>SUM(E71:H71)</f>
        <v/>
      </c>
      <c r="J71" s="343" t="n">
        <v>82</v>
      </c>
      <c r="K71" s="343" t="n">
        <v>82</v>
      </c>
      <c r="L71" s="343" t="n">
        <v>82</v>
      </c>
      <c r="M71" s="343" t="n">
        <v>82</v>
      </c>
      <c r="N71" s="344">
        <f>SUM(J71:M71)</f>
        <v/>
      </c>
      <c r="O71" s="343" t="n">
        <v>86</v>
      </c>
      <c r="P71" s="343" t="n">
        <v>86</v>
      </c>
      <c r="Q71" s="343" t="n">
        <v>86</v>
      </c>
      <c r="R71" s="343" t="n">
        <v>86</v>
      </c>
      <c r="S71" s="344">
        <f>SUM(O71:R71)</f>
        <v/>
      </c>
      <c r="T71" s="343" t="n">
        <v>89</v>
      </c>
      <c r="U71" s="343" t="n">
        <v>89</v>
      </c>
      <c r="V71" s="343" t="n">
        <v>89</v>
      </c>
      <c r="W71" s="343" t="n">
        <v>89</v>
      </c>
      <c r="X71" s="344">
        <f>SUM(T71:W71)</f>
        <v/>
      </c>
      <c r="Y71" s="343" t="n">
        <v>91</v>
      </c>
      <c r="Z71" s="343" t="n">
        <v>91</v>
      </c>
      <c r="AA71" s="343" t="n">
        <v>91</v>
      </c>
      <c r="AB71" s="343" t="n">
        <v>91</v>
      </c>
      <c r="AC71" s="344">
        <f>SUM(Y71:AB71)</f>
        <v/>
      </c>
      <c r="AD71" s="343" t="n">
        <v>93</v>
      </c>
      <c r="AE71" s="343" t="n">
        <v>93</v>
      </c>
      <c r="AF71" s="343" t="n">
        <v>93</v>
      </c>
      <c r="AG71" s="343" t="n">
        <v>93</v>
      </c>
      <c r="AH71" s="344">
        <f>SUM(AD71:AG71)</f>
        <v/>
      </c>
      <c r="AI71" s="343" t="n">
        <v>95</v>
      </c>
      <c r="AJ71" s="343" t="n">
        <v>95</v>
      </c>
      <c r="AK71" s="343" t="n">
        <v>95</v>
      </c>
      <c r="AL71" s="343" t="n">
        <v>95</v>
      </c>
      <c r="AM71" s="344">
        <f>SUM(AI71:AL71)</f>
        <v/>
      </c>
      <c r="AN71" s="343" t="n">
        <v>97</v>
      </c>
      <c r="AO71" s="343" t="n">
        <v>97</v>
      </c>
      <c r="AP71" s="343" t="n">
        <v>97</v>
      </c>
      <c r="AQ71" s="343" t="n">
        <v>97</v>
      </c>
      <c r="AR71" s="344">
        <f>SUM(AN71:AQ71)</f>
        <v/>
      </c>
    </row>
    <row r="72" ht="13.5" customHeight="1" s="290">
      <c r="A72" s="339" t="n"/>
      <c r="B72" s="340" t="inlineStr">
        <is>
          <t xml:space="preserve">  Avg IS Deal Size — Institutional (&gt;$50M)  —  Downside</t>
        </is>
      </c>
      <c r="E72" s="343" t="n">
        <v>80</v>
      </c>
      <c r="F72" s="343" t="n">
        <v>80</v>
      </c>
      <c r="G72" s="343" t="n">
        <v>80</v>
      </c>
      <c r="H72" s="343" t="n">
        <v>80</v>
      </c>
      <c r="I72" s="344">
        <f>SUM(E72:H72)</f>
        <v/>
      </c>
      <c r="J72" s="343" t="n">
        <v>82</v>
      </c>
      <c r="K72" s="343" t="n">
        <v>82</v>
      </c>
      <c r="L72" s="343" t="n">
        <v>82</v>
      </c>
      <c r="M72" s="343" t="n">
        <v>82</v>
      </c>
      <c r="N72" s="344">
        <f>SUM(J72:M72)</f>
        <v/>
      </c>
      <c r="O72" s="343" t="n">
        <v>79</v>
      </c>
      <c r="P72" s="343" t="n">
        <v>79</v>
      </c>
      <c r="Q72" s="343" t="n">
        <v>79</v>
      </c>
      <c r="R72" s="343" t="n">
        <v>79</v>
      </c>
      <c r="S72" s="344">
        <f>SUM(O72:R72)</f>
        <v/>
      </c>
      <c r="T72" s="343" t="n">
        <v>77</v>
      </c>
      <c r="U72" s="343" t="n">
        <v>77</v>
      </c>
      <c r="V72" s="343" t="n">
        <v>77</v>
      </c>
      <c r="W72" s="343" t="n">
        <v>77</v>
      </c>
      <c r="X72" s="344">
        <f>SUM(T72:W72)</f>
        <v/>
      </c>
      <c r="Y72" s="343" t="n">
        <v>78</v>
      </c>
      <c r="Z72" s="343" t="n">
        <v>78</v>
      </c>
      <c r="AA72" s="343" t="n">
        <v>78</v>
      </c>
      <c r="AB72" s="343" t="n">
        <v>78</v>
      </c>
      <c r="AC72" s="344">
        <f>SUM(Y72:AB72)</f>
        <v/>
      </c>
      <c r="AD72" s="343" t="n">
        <v>80</v>
      </c>
      <c r="AE72" s="343" t="n">
        <v>80</v>
      </c>
      <c r="AF72" s="343" t="n">
        <v>80</v>
      </c>
      <c r="AG72" s="343" t="n">
        <v>80</v>
      </c>
      <c r="AH72" s="344">
        <f>SUM(AD72:AG72)</f>
        <v/>
      </c>
      <c r="AI72" s="343" t="n">
        <v>82</v>
      </c>
      <c r="AJ72" s="343" t="n">
        <v>82</v>
      </c>
      <c r="AK72" s="343" t="n">
        <v>82</v>
      </c>
      <c r="AL72" s="343" t="n">
        <v>82</v>
      </c>
      <c r="AM72" s="344">
        <f>SUM(AI72:AL72)</f>
        <v/>
      </c>
      <c r="AN72" s="343" t="n">
        <v>84</v>
      </c>
      <c r="AO72" s="343" t="n">
        <v>84</v>
      </c>
      <c r="AP72" s="343" t="n">
        <v>84</v>
      </c>
      <c r="AQ72" s="343" t="n">
        <v>84</v>
      </c>
      <c r="AR72" s="344">
        <f>SUM(AN72:AQ72)</f>
        <v/>
      </c>
    </row>
    <row r="73" ht="13.5" customHeight="1" s="290">
      <c r="A73" s="345" t="n"/>
      <c r="B73" s="346" t="inlineStr">
        <is>
          <t xml:space="preserve">  Avg IS Deal Size — Institutional (&gt;$50M)  —  ★ ACTIVE</t>
        </is>
      </c>
      <c r="E73" s="347">
        <f>IF('01 Cover &amp; Control'!$C$19="Base",E70,IF('01 Cover &amp; Control'!$C$19="Upside",E71,E72))</f>
        <v/>
      </c>
      <c r="F73" s="347">
        <f>IF('01 Cover &amp; Control'!$C$19="Base",F70,IF('01 Cover &amp; Control'!$C$19="Upside",F71,F72))</f>
        <v/>
      </c>
      <c r="G73" s="347">
        <f>IF('01 Cover &amp; Control'!$C$19="Base",G70,IF('01 Cover &amp; Control'!$C$19="Upside",G71,G72))</f>
        <v/>
      </c>
      <c r="H73" s="347">
        <f>IF('01 Cover &amp; Control'!$C$19="Base",H70,IF('01 Cover &amp; Control'!$C$19="Upside",H71,H72))</f>
        <v/>
      </c>
      <c r="I73" s="347">
        <f>SUM(E73:H73)</f>
        <v/>
      </c>
      <c r="J73" s="347">
        <f>IF('01 Cover &amp; Control'!$C$19="Base",J70,IF('01 Cover &amp; Control'!$C$19="Upside",J71,J72))</f>
        <v/>
      </c>
      <c r="K73" s="347">
        <f>IF('01 Cover &amp; Control'!$C$19="Base",K70,IF('01 Cover &amp; Control'!$C$19="Upside",K71,K72))</f>
        <v/>
      </c>
      <c r="L73" s="347">
        <f>IF('01 Cover &amp; Control'!$C$19="Base",L70,IF('01 Cover &amp; Control'!$C$19="Upside",L71,L72))</f>
        <v/>
      </c>
      <c r="M73" s="347">
        <f>IF('01 Cover &amp; Control'!$C$19="Base",M70,IF('01 Cover &amp; Control'!$C$19="Upside",M71,M72))</f>
        <v/>
      </c>
      <c r="N73" s="347">
        <f>SUM(J73:M73)</f>
        <v/>
      </c>
      <c r="O73" s="347">
        <f>IF('01 Cover &amp; Control'!$C$19="Base",O70,IF('01 Cover &amp; Control'!$C$19="Upside",O71,O72))</f>
        <v/>
      </c>
      <c r="P73" s="347">
        <f>IF('01 Cover &amp; Control'!$C$19="Base",P70,IF('01 Cover &amp; Control'!$C$19="Upside",P71,P72))</f>
        <v/>
      </c>
      <c r="Q73" s="347">
        <f>IF('01 Cover &amp; Control'!$C$19="Base",Q70,IF('01 Cover &amp; Control'!$C$19="Upside",Q71,Q72))</f>
        <v/>
      </c>
      <c r="R73" s="347">
        <f>IF('01 Cover &amp; Control'!$C$19="Base",R70,IF('01 Cover &amp; Control'!$C$19="Upside",R71,R72))</f>
        <v/>
      </c>
      <c r="S73" s="347">
        <f>SUM(O73:R73)</f>
        <v/>
      </c>
      <c r="T73" s="347">
        <f>IF('01 Cover &amp; Control'!$C$19="Base",T70,IF('01 Cover &amp; Control'!$C$19="Upside",T71,T72))</f>
        <v/>
      </c>
      <c r="U73" s="347">
        <f>IF('01 Cover &amp; Control'!$C$19="Base",U70,IF('01 Cover &amp; Control'!$C$19="Upside",U71,U72))</f>
        <v/>
      </c>
      <c r="V73" s="347">
        <f>IF('01 Cover &amp; Control'!$C$19="Base",V70,IF('01 Cover &amp; Control'!$C$19="Upside",V71,V72))</f>
        <v/>
      </c>
      <c r="W73" s="347">
        <f>IF('01 Cover &amp; Control'!$C$19="Base",W70,IF('01 Cover &amp; Control'!$C$19="Upside",W71,W72))</f>
        <v/>
      </c>
      <c r="X73" s="347">
        <f>SUM(T73:W73)</f>
        <v/>
      </c>
      <c r="Y73" s="347">
        <f>IF('01 Cover &amp; Control'!$C$19="Base",Y70,IF('01 Cover &amp; Control'!$C$19="Upside",Y71,Y72))</f>
        <v/>
      </c>
      <c r="Z73" s="347">
        <f>IF('01 Cover &amp; Control'!$C$19="Base",Z70,IF('01 Cover &amp; Control'!$C$19="Upside",Z71,Z72))</f>
        <v/>
      </c>
      <c r="AA73" s="347">
        <f>IF('01 Cover &amp; Control'!$C$19="Base",AA70,IF('01 Cover &amp; Control'!$C$19="Upside",AA71,AA72))</f>
        <v/>
      </c>
      <c r="AB73" s="347">
        <f>IF('01 Cover &amp; Control'!$C$19="Base",AB70,IF('01 Cover &amp; Control'!$C$19="Upside",AB71,AB72))</f>
        <v/>
      </c>
      <c r="AC73" s="347">
        <f>SUM(Y73:AB73)</f>
        <v/>
      </c>
      <c r="AD73" s="347">
        <f>IF('01 Cover &amp; Control'!$C$19="Base",AD70,IF('01 Cover &amp; Control'!$C$19="Upside",AD71,AD72))</f>
        <v/>
      </c>
      <c r="AE73" s="347">
        <f>IF('01 Cover &amp; Control'!$C$19="Base",AE70,IF('01 Cover &amp; Control'!$C$19="Upside",AE71,AE72))</f>
        <v/>
      </c>
      <c r="AF73" s="347">
        <f>IF('01 Cover &amp; Control'!$C$19="Base",AF70,IF('01 Cover &amp; Control'!$C$19="Upside",AF71,AF72))</f>
        <v/>
      </c>
      <c r="AG73" s="347">
        <f>IF('01 Cover &amp; Control'!$C$19="Base",AG70,IF('01 Cover &amp; Control'!$C$19="Upside",AG71,AG72))</f>
        <v/>
      </c>
      <c r="AH73" s="347">
        <f>SUM(AD73:AG73)</f>
        <v/>
      </c>
      <c r="AI73" s="347">
        <f>IF('01 Cover &amp; Control'!$C$19="Base",AI70,IF('01 Cover &amp; Control'!$C$19="Upside",AI71,AI72))</f>
        <v/>
      </c>
      <c r="AJ73" s="347">
        <f>IF('01 Cover &amp; Control'!$C$19="Base",AJ70,IF('01 Cover &amp; Control'!$C$19="Upside",AJ71,AJ72))</f>
        <v/>
      </c>
      <c r="AK73" s="347">
        <f>IF('01 Cover &amp; Control'!$C$19="Base",AK70,IF('01 Cover &amp; Control'!$C$19="Upside",AK71,AK72))</f>
        <v/>
      </c>
      <c r="AL73" s="347">
        <f>IF('01 Cover &amp; Control'!$C$19="Base",AL70,IF('01 Cover &amp; Control'!$C$19="Upside",AL71,AL72))</f>
        <v/>
      </c>
      <c r="AM73" s="347">
        <f>SUM(AI73:AL73)</f>
        <v/>
      </c>
      <c r="AN73" s="347">
        <f>IF('01 Cover &amp; Control'!$C$19="Base",AN70,IF('01 Cover &amp; Control'!$C$19="Upside",AN71,AN72))</f>
        <v/>
      </c>
      <c r="AO73" s="347">
        <f>IF('01 Cover &amp; Control'!$C$19="Base",AO70,IF('01 Cover &amp; Control'!$C$19="Upside",AO71,AO72))</f>
        <v/>
      </c>
      <c r="AP73" s="347">
        <f>IF('01 Cover &amp; Control'!$C$19="Base",AP70,IF('01 Cover &amp; Control'!$C$19="Upside",AP71,AP72))</f>
        <v/>
      </c>
      <c r="AQ73" s="347">
        <f>IF('01 Cover &amp; Control'!$C$19="Base",AQ70,IF('01 Cover &amp; Control'!$C$19="Upside",AQ71,AQ72))</f>
        <v/>
      </c>
      <c r="AR73" s="347">
        <f>SUM(AN73:AQ73)</f>
        <v/>
      </c>
    </row>
    <row r="74" ht="3.75" customHeight="1" s="290"/>
    <row r="75" ht="13.5" customHeight="1" s="290">
      <c r="A75" s="339" t="n"/>
      <c r="B75" s="340" t="inlineStr">
        <is>
          <t xml:space="preserve">  Avg IS Deal Size — Mid Market ($10–$50M)  —  Base</t>
        </is>
      </c>
      <c r="C75" s="341" t="inlineStr">
        <is>
          <t>$M / deal</t>
        </is>
      </c>
      <c r="D75" s="342" t="inlineStr">
        <is>
          <t>MSCI RCA; CBRE Research</t>
        </is>
      </c>
      <c r="E75" s="343" t="n">
        <v>21</v>
      </c>
      <c r="F75" s="343" t="n">
        <v>21</v>
      </c>
      <c r="G75" s="343" t="n">
        <v>21</v>
      </c>
      <c r="H75" s="343" t="n">
        <v>21</v>
      </c>
      <c r="I75" s="344">
        <f>SUM(E75:H75)</f>
        <v/>
      </c>
      <c r="J75" s="343" t="n">
        <v>21</v>
      </c>
      <c r="K75" s="343" t="n">
        <v>21</v>
      </c>
      <c r="L75" s="343" t="n">
        <v>21</v>
      </c>
      <c r="M75" s="343" t="n">
        <v>21</v>
      </c>
      <c r="N75" s="344">
        <f>SUM(J75:M75)</f>
        <v/>
      </c>
      <c r="O75" s="343" t="n">
        <v>22</v>
      </c>
      <c r="P75" s="343" t="n">
        <v>22</v>
      </c>
      <c r="Q75" s="343" t="n">
        <v>22</v>
      </c>
      <c r="R75" s="343" t="n">
        <v>22</v>
      </c>
      <c r="S75" s="344">
        <f>SUM(O75:R75)</f>
        <v/>
      </c>
      <c r="T75" s="343" t="n">
        <v>22</v>
      </c>
      <c r="U75" s="343" t="n">
        <v>22</v>
      </c>
      <c r="V75" s="343" t="n">
        <v>22</v>
      </c>
      <c r="W75" s="343" t="n">
        <v>22</v>
      </c>
      <c r="X75" s="344">
        <f>SUM(T75:W75)</f>
        <v/>
      </c>
      <c r="Y75" s="343" t="n">
        <v>23</v>
      </c>
      <c r="Z75" s="343" t="n">
        <v>23</v>
      </c>
      <c r="AA75" s="343" t="n">
        <v>23</v>
      </c>
      <c r="AB75" s="343" t="n">
        <v>23</v>
      </c>
      <c r="AC75" s="344">
        <f>SUM(Y75:AB75)</f>
        <v/>
      </c>
      <c r="AD75" s="343" t="n">
        <v>23</v>
      </c>
      <c r="AE75" s="343" t="n">
        <v>23</v>
      </c>
      <c r="AF75" s="343" t="n">
        <v>23</v>
      </c>
      <c r="AG75" s="343" t="n">
        <v>23</v>
      </c>
      <c r="AH75" s="344">
        <f>SUM(AD75:AG75)</f>
        <v/>
      </c>
      <c r="AI75" s="343" t="n">
        <v>23</v>
      </c>
      <c r="AJ75" s="343" t="n">
        <v>23</v>
      </c>
      <c r="AK75" s="343" t="n">
        <v>23</v>
      </c>
      <c r="AL75" s="343" t="n">
        <v>23</v>
      </c>
      <c r="AM75" s="344">
        <f>SUM(AI75:AL75)</f>
        <v/>
      </c>
      <c r="AN75" s="343" t="n">
        <v>24</v>
      </c>
      <c r="AO75" s="343" t="n">
        <v>24</v>
      </c>
      <c r="AP75" s="343" t="n">
        <v>24</v>
      </c>
      <c r="AQ75" s="343" t="n">
        <v>24</v>
      </c>
      <c r="AR75" s="344">
        <f>SUM(AN75:AQ75)</f>
        <v/>
      </c>
    </row>
    <row r="76" ht="13.5" customHeight="1" s="290">
      <c r="A76" s="339" t="n"/>
      <c r="B76" s="340" t="inlineStr">
        <is>
          <t xml:space="preserve">  Avg IS Deal Size — Mid Market ($10–$50M)  —  Upside</t>
        </is>
      </c>
      <c r="E76" s="343" t="n">
        <v>21</v>
      </c>
      <c r="F76" s="343" t="n">
        <v>21</v>
      </c>
      <c r="G76" s="343" t="n">
        <v>21</v>
      </c>
      <c r="H76" s="343" t="n">
        <v>21</v>
      </c>
      <c r="I76" s="344">
        <f>SUM(E76:H76)</f>
        <v/>
      </c>
      <c r="J76" s="343" t="n">
        <v>21</v>
      </c>
      <c r="K76" s="343" t="n">
        <v>21</v>
      </c>
      <c r="L76" s="343" t="n">
        <v>21</v>
      </c>
      <c r="M76" s="343" t="n">
        <v>21</v>
      </c>
      <c r="N76" s="344">
        <f>SUM(J76:M76)</f>
        <v/>
      </c>
      <c r="O76" s="343" t="n">
        <v>22</v>
      </c>
      <c r="P76" s="343" t="n">
        <v>22</v>
      </c>
      <c r="Q76" s="343" t="n">
        <v>22</v>
      </c>
      <c r="R76" s="343" t="n">
        <v>22</v>
      </c>
      <c r="S76" s="344">
        <f>SUM(O76:R76)</f>
        <v/>
      </c>
      <c r="T76" s="343" t="n">
        <v>23</v>
      </c>
      <c r="U76" s="343" t="n">
        <v>23</v>
      </c>
      <c r="V76" s="343" t="n">
        <v>23</v>
      </c>
      <c r="W76" s="343" t="n">
        <v>23</v>
      </c>
      <c r="X76" s="344">
        <f>SUM(T76:W76)</f>
        <v/>
      </c>
      <c r="Y76" s="343" t="n">
        <v>24</v>
      </c>
      <c r="Z76" s="343" t="n">
        <v>24</v>
      </c>
      <c r="AA76" s="343" t="n">
        <v>24</v>
      </c>
      <c r="AB76" s="343" t="n">
        <v>24</v>
      </c>
      <c r="AC76" s="344">
        <f>SUM(Y76:AB76)</f>
        <v/>
      </c>
      <c r="AD76" s="343" t="n">
        <v>24</v>
      </c>
      <c r="AE76" s="343" t="n">
        <v>24</v>
      </c>
      <c r="AF76" s="343" t="n">
        <v>24</v>
      </c>
      <c r="AG76" s="343" t="n">
        <v>24</v>
      </c>
      <c r="AH76" s="344">
        <f>SUM(AD76:AG76)</f>
        <v/>
      </c>
      <c r="AI76" s="343" t="n">
        <v>25</v>
      </c>
      <c r="AJ76" s="343" t="n">
        <v>25</v>
      </c>
      <c r="AK76" s="343" t="n">
        <v>25</v>
      </c>
      <c r="AL76" s="343" t="n">
        <v>25</v>
      </c>
      <c r="AM76" s="344">
        <f>SUM(AI76:AL76)</f>
        <v/>
      </c>
      <c r="AN76" s="343" t="n">
        <v>25</v>
      </c>
      <c r="AO76" s="343" t="n">
        <v>25</v>
      </c>
      <c r="AP76" s="343" t="n">
        <v>25</v>
      </c>
      <c r="AQ76" s="343" t="n">
        <v>25</v>
      </c>
      <c r="AR76" s="344">
        <f>SUM(AN76:AQ76)</f>
        <v/>
      </c>
    </row>
    <row r="77" ht="13.5" customHeight="1" s="290">
      <c r="A77" s="339" t="n"/>
      <c r="B77" s="340" t="inlineStr">
        <is>
          <t xml:space="preserve">  Avg IS Deal Size — Mid Market ($10–$50M)  —  Downside</t>
        </is>
      </c>
      <c r="E77" s="343" t="n">
        <v>21</v>
      </c>
      <c r="F77" s="343" t="n">
        <v>21</v>
      </c>
      <c r="G77" s="343" t="n">
        <v>21</v>
      </c>
      <c r="H77" s="343" t="n">
        <v>21</v>
      </c>
      <c r="I77" s="344">
        <f>SUM(E77:H77)</f>
        <v/>
      </c>
      <c r="J77" s="343" t="n">
        <v>21</v>
      </c>
      <c r="K77" s="343" t="n">
        <v>21</v>
      </c>
      <c r="L77" s="343" t="n">
        <v>21</v>
      </c>
      <c r="M77" s="343" t="n">
        <v>21</v>
      </c>
      <c r="N77" s="344">
        <f>SUM(J77:M77)</f>
        <v/>
      </c>
      <c r="O77" s="343" t="n">
        <v>20</v>
      </c>
      <c r="P77" s="343" t="n">
        <v>20</v>
      </c>
      <c r="Q77" s="343" t="n">
        <v>20</v>
      </c>
      <c r="R77" s="343" t="n">
        <v>20</v>
      </c>
      <c r="S77" s="344">
        <f>SUM(O77:R77)</f>
        <v/>
      </c>
      <c r="T77" s="343" t="n">
        <v>20</v>
      </c>
      <c r="U77" s="343" t="n">
        <v>20</v>
      </c>
      <c r="V77" s="343" t="n">
        <v>20</v>
      </c>
      <c r="W77" s="343" t="n">
        <v>20</v>
      </c>
      <c r="X77" s="344">
        <f>SUM(T77:W77)</f>
        <v/>
      </c>
      <c r="Y77" s="343" t="n">
        <v>20</v>
      </c>
      <c r="Z77" s="343" t="n">
        <v>20</v>
      </c>
      <c r="AA77" s="343" t="n">
        <v>20</v>
      </c>
      <c r="AB77" s="343" t="n">
        <v>20</v>
      </c>
      <c r="AC77" s="344">
        <f>SUM(Y77:AB77)</f>
        <v/>
      </c>
      <c r="AD77" s="343" t="n">
        <v>21</v>
      </c>
      <c r="AE77" s="343" t="n">
        <v>21</v>
      </c>
      <c r="AF77" s="343" t="n">
        <v>21</v>
      </c>
      <c r="AG77" s="343" t="n">
        <v>21</v>
      </c>
      <c r="AH77" s="344">
        <f>SUM(AD77:AG77)</f>
        <v/>
      </c>
      <c r="AI77" s="343" t="n">
        <v>21</v>
      </c>
      <c r="AJ77" s="343" t="n">
        <v>21</v>
      </c>
      <c r="AK77" s="343" t="n">
        <v>21</v>
      </c>
      <c r="AL77" s="343" t="n">
        <v>21</v>
      </c>
      <c r="AM77" s="344">
        <f>SUM(AI77:AL77)</f>
        <v/>
      </c>
      <c r="AN77" s="343" t="n">
        <v>22</v>
      </c>
      <c r="AO77" s="343" t="n">
        <v>22</v>
      </c>
      <c r="AP77" s="343" t="n">
        <v>22</v>
      </c>
      <c r="AQ77" s="343" t="n">
        <v>22</v>
      </c>
      <c r="AR77" s="344">
        <f>SUM(AN77:AQ77)</f>
        <v/>
      </c>
    </row>
    <row r="78" ht="13.5" customHeight="1" s="290">
      <c r="A78" s="345" t="n"/>
      <c r="B78" s="346" t="inlineStr">
        <is>
          <t xml:space="preserve">  Avg IS Deal Size — Mid Market ($10–$50M)  —  ★ ACTIVE</t>
        </is>
      </c>
      <c r="E78" s="347">
        <f>IF('01 Cover &amp; Control'!$C$19="Base",E75,IF('01 Cover &amp; Control'!$C$19="Upside",E76,E77))</f>
        <v/>
      </c>
      <c r="F78" s="347">
        <f>IF('01 Cover &amp; Control'!$C$19="Base",F75,IF('01 Cover &amp; Control'!$C$19="Upside",F76,F77))</f>
        <v/>
      </c>
      <c r="G78" s="347">
        <f>IF('01 Cover &amp; Control'!$C$19="Base",G75,IF('01 Cover &amp; Control'!$C$19="Upside",G76,G77))</f>
        <v/>
      </c>
      <c r="H78" s="347">
        <f>IF('01 Cover &amp; Control'!$C$19="Base",H75,IF('01 Cover &amp; Control'!$C$19="Upside",H76,H77))</f>
        <v/>
      </c>
      <c r="I78" s="347">
        <f>SUM(E78:H78)</f>
        <v/>
      </c>
      <c r="J78" s="347">
        <f>IF('01 Cover &amp; Control'!$C$19="Base",J75,IF('01 Cover &amp; Control'!$C$19="Upside",J76,J77))</f>
        <v/>
      </c>
      <c r="K78" s="347">
        <f>IF('01 Cover &amp; Control'!$C$19="Base",K75,IF('01 Cover &amp; Control'!$C$19="Upside",K76,K77))</f>
        <v/>
      </c>
      <c r="L78" s="347">
        <f>IF('01 Cover &amp; Control'!$C$19="Base",L75,IF('01 Cover &amp; Control'!$C$19="Upside",L76,L77))</f>
        <v/>
      </c>
      <c r="M78" s="347">
        <f>IF('01 Cover &amp; Control'!$C$19="Base",M75,IF('01 Cover &amp; Control'!$C$19="Upside",M76,M77))</f>
        <v/>
      </c>
      <c r="N78" s="347">
        <f>SUM(J78:M78)</f>
        <v/>
      </c>
      <c r="O78" s="347">
        <f>IF('01 Cover &amp; Control'!$C$19="Base",O75,IF('01 Cover &amp; Control'!$C$19="Upside",O76,O77))</f>
        <v/>
      </c>
      <c r="P78" s="347">
        <f>IF('01 Cover &amp; Control'!$C$19="Base",P75,IF('01 Cover &amp; Control'!$C$19="Upside",P76,P77))</f>
        <v/>
      </c>
      <c r="Q78" s="347">
        <f>IF('01 Cover &amp; Control'!$C$19="Base",Q75,IF('01 Cover &amp; Control'!$C$19="Upside",Q76,Q77))</f>
        <v/>
      </c>
      <c r="R78" s="347">
        <f>IF('01 Cover &amp; Control'!$C$19="Base",R75,IF('01 Cover &amp; Control'!$C$19="Upside",R76,R77))</f>
        <v/>
      </c>
      <c r="S78" s="347">
        <f>SUM(O78:R78)</f>
        <v/>
      </c>
      <c r="T78" s="347">
        <f>IF('01 Cover &amp; Control'!$C$19="Base",T75,IF('01 Cover &amp; Control'!$C$19="Upside",T76,T77))</f>
        <v/>
      </c>
      <c r="U78" s="347">
        <f>IF('01 Cover &amp; Control'!$C$19="Base",U75,IF('01 Cover &amp; Control'!$C$19="Upside",U76,U77))</f>
        <v/>
      </c>
      <c r="V78" s="347">
        <f>IF('01 Cover &amp; Control'!$C$19="Base",V75,IF('01 Cover &amp; Control'!$C$19="Upside",V76,V77))</f>
        <v/>
      </c>
      <c r="W78" s="347">
        <f>IF('01 Cover &amp; Control'!$C$19="Base",W75,IF('01 Cover &amp; Control'!$C$19="Upside",W76,W77))</f>
        <v/>
      </c>
      <c r="X78" s="347">
        <f>SUM(T78:W78)</f>
        <v/>
      </c>
      <c r="Y78" s="347">
        <f>IF('01 Cover &amp; Control'!$C$19="Base",Y75,IF('01 Cover &amp; Control'!$C$19="Upside",Y76,Y77))</f>
        <v/>
      </c>
      <c r="Z78" s="347">
        <f>IF('01 Cover &amp; Control'!$C$19="Base",Z75,IF('01 Cover &amp; Control'!$C$19="Upside",Z76,Z77))</f>
        <v/>
      </c>
      <c r="AA78" s="347">
        <f>IF('01 Cover &amp; Control'!$C$19="Base",AA75,IF('01 Cover &amp; Control'!$C$19="Upside",AA76,AA77))</f>
        <v/>
      </c>
      <c r="AB78" s="347">
        <f>IF('01 Cover &amp; Control'!$C$19="Base",AB75,IF('01 Cover &amp; Control'!$C$19="Upside",AB76,AB77))</f>
        <v/>
      </c>
      <c r="AC78" s="347">
        <f>SUM(Y78:AB78)</f>
        <v/>
      </c>
      <c r="AD78" s="347">
        <f>IF('01 Cover &amp; Control'!$C$19="Base",AD75,IF('01 Cover &amp; Control'!$C$19="Upside",AD76,AD77))</f>
        <v/>
      </c>
      <c r="AE78" s="347">
        <f>IF('01 Cover &amp; Control'!$C$19="Base",AE75,IF('01 Cover &amp; Control'!$C$19="Upside",AE76,AE77))</f>
        <v/>
      </c>
      <c r="AF78" s="347">
        <f>IF('01 Cover &amp; Control'!$C$19="Base",AF75,IF('01 Cover &amp; Control'!$C$19="Upside",AF76,AF77))</f>
        <v/>
      </c>
      <c r="AG78" s="347">
        <f>IF('01 Cover &amp; Control'!$C$19="Base",AG75,IF('01 Cover &amp; Control'!$C$19="Upside",AG76,AG77))</f>
        <v/>
      </c>
      <c r="AH78" s="347">
        <f>SUM(AD78:AG78)</f>
        <v/>
      </c>
      <c r="AI78" s="347">
        <f>IF('01 Cover &amp; Control'!$C$19="Base",AI75,IF('01 Cover &amp; Control'!$C$19="Upside",AI76,AI77))</f>
        <v/>
      </c>
      <c r="AJ78" s="347">
        <f>IF('01 Cover &amp; Control'!$C$19="Base",AJ75,IF('01 Cover &amp; Control'!$C$19="Upside",AJ76,AJ77))</f>
        <v/>
      </c>
      <c r="AK78" s="347">
        <f>IF('01 Cover &amp; Control'!$C$19="Base",AK75,IF('01 Cover &amp; Control'!$C$19="Upside",AK76,AK77))</f>
        <v/>
      </c>
      <c r="AL78" s="347">
        <f>IF('01 Cover &amp; Control'!$C$19="Base",AL75,IF('01 Cover &amp; Control'!$C$19="Upside",AL76,AL77))</f>
        <v/>
      </c>
      <c r="AM78" s="347">
        <f>SUM(AI78:AL78)</f>
        <v/>
      </c>
      <c r="AN78" s="347">
        <f>IF('01 Cover &amp; Control'!$C$19="Base",AN75,IF('01 Cover &amp; Control'!$C$19="Upside",AN76,AN77))</f>
        <v/>
      </c>
      <c r="AO78" s="347">
        <f>IF('01 Cover &amp; Control'!$C$19="Base",AO75,IF('01 Cover &amp; Control'!$C$19="Upside",AO76,AO77))</f>
        <v/>
      </c>
      <c r="AP78" s="347">
        <f>IF('01 Cover &amp; Control'!$C$19="Base",AP75,IF('01 Cover &amp; Control'!$C$19="Upside",AP76,AP77))</f>
        <v/>
      </c>
      <c r="AQ78" s="347">
        <f>IF('01 Cover &amp; Control'!$C$19="Base",AQ75,IF('01 Cover &amp; Control'!$C$19="Upside",AQ76,AQ77))</f>
        <v/>
      </c>
      <c r="AR78" s="347">
        <f>SUM(AN78:AQ78)</f>
        <v/>
      </c>
    </row>
    <row r="79" ht="3.75" customHeight="1" s="290"/>
    <row r="80" ht="13.5" customHeight="1" s="290">
      <c r="A80" s="339" t="n"/>
      <c r="B80" s="340" t="inlineStr">
        <is>
          <t xml:space="preserve">  Avg IS Deal Size — Small (&lt;$10M)  —  Base</t>
        </is>
      </c>
      <c r="C80" s="341" t="inlineStr">
        <is>
          <t>$M / deal</t>
        </is>
      </c>
      <c r="D80" s="342" t="inlineStr">
        <is>
          <t>Marcus &amp; Millichap 10-K; CoStar transaction data</t>
        </is>
      </c>
      <c r="E80" s="343" t="n">
        <v>4.3</v>
      </c>
      <c r="F80" s="343" t="n">
        <v>4.3</v>
      </c>
      <c r="G80" s="343" t="n">
        <v>4.3</v>
      </c>
      <c r="H80" s="343" t="n">
        <v>4.3</v>
      </c>
      <c r="I80" s="344">
        <f>SUM(E80:H80)</f>
        <v/>
      </c>
      <c r="J80" s="343" t="n">
        <v>4.4</v>
      </c>
      <c r="K80" s="343" t="n">
        <v>4.4</v>
      </c>
      <c r="L80" s="343" t="n">
        <v>4.4</v>
      </c>
      <c r="M80" s="343" t="n">
        <v>4.4</v>
      </c>
      <c r="N80" s="344">
        <f>SUM(J80:M80)</f>
        <v/>
      </c>
      <c r="O80" s="343" t="n">
        <v>4.5</v>
      </c>
      <c r="P80" s="343" t="n">
        <v>4.5</v>
      </c>
      <c r="Q80" s="343" t="n">
        <v>4.5</v>
      </c>
      <c r="R80" s="343" t="n">
        <v>4.5</v>
      </c>
      <c r="S80" s="344">
        <f>SUM(O80:R80)</f>
        <v/>
      </c>
      <c r="T80" s="343" t="n">
        <v>4.6</v>
      </c>
      <c r="U80" s="343" t="n">
        <v>4.6</v>
      </c>
      <c r="V80" s="343" t="n">
        <v>4.6</v>
      </c>
      <c r="W80" s="343" t="n">
        <v>4.6</v>
      </c>
      <c r="X80" s="344">
        <f>SUM(T80:W80)</f>
        <v/>
      </c>
      <c r="Y80" s="343" t="n">
        <v>4.7</v>
      </c>
      <c r="Z80" s="343" t="n">
        <v>4.7</v>
      </c>
      <c r="AA80" s="343" t="n">
        <v>4.7</v>
      </c>
      <c r="AB80" s="343" t="n">
        <v>4.7</v>
      </c>
      <c r="AC80" s="344">
        <f>SUM(Y80:AB80)</f>
        <v/>
      </c>
      <c r="AD80" s="343" t="n">
        <v>4.7</v>
      </c>
      <c r="AE80" s="343" t="n">
        <v>4.7</v>
      </c>
      <c r="AF80" s="343" t="n">
        <v>4.7</v>
      </c>
      <c r="AG80" s="343" t="n">
        <v>4.7</v>
      </c>
      <c r="AH80" s="344">
        <f>SUM(AD80:AG80)</f>
        <v/>
      </c>
      <c r="AI80" s="343" t="n">
        <v>4.8</v>
      </c>
      <c r="AJ80" s="343" t="n">
        <v>4.8</v>
      </c>
      <c r="AK80" s="343" t="n">
        <v>4.8</v>
      </c>
      <c r="AL80" s="343" t="n">
        <v>4.8</v>
      </c>
      <c r="AM80" s="344">
        <f>SUM(AI80:AL80)</f>
        <v/>
      </c>
      <c r="AN80" s="343" t="n">
        <v>4.8</v>
      </c>
      <c r="AO80" s="343" t="n">
        <v>4.8</v>
      </c>
      <c r="AP80" s="343" t="n">
        <v>4.8</v>
      </c>
      <c r="AQ80" s="343" t="n">
        <v>4.8</v>
      </c>
      <c r="AR80" s="344">
        <f>SUM(AN80:AQ80)</f>
        <v/>
      </c>
    </row>
    <row r="81" ht="13.5" customHeight="1" s="290">
      <c r="A81" s="339" t="n"/>
      <c r="B81" s="340" t="inlineStr">
        <is>
          <t xml:space="preserve">  Avg IS Deal Size — Small (&lt;$10M)  —  Upside</t>
        </is>
      </c>
      <c r="E81" s="343" t="n">
        <v>4.3</v>
      </c>
      <c r="F81" s="343" t="n">
        <v>4.3</v>
      </c>
      <c r="G81" s="343" t="n">
        <v>4.3</v>
      </c>
      <c r="H81" s="343" t="n">
        <v>4.3</v>
      </c>
      <c r="I81" s="344">
        <f>SUM(E81:H81)</f>
        <v/>
      </c>
      <c r="J81" s="343" t="n">
        <v>4.4</v>
      </c>
      <c r="K81" s="343" t="n">
        <v>4.4</v>
      </c>
      <c r="L81" s="343" t="n">
        <v>4.4</v>
      </c>
      <c r="M81" s="343" t="n">
        <v>4.4</v>
      </c>
      <c r="N81" s="344">
        <f>SUM(J81:M81)</f>
        <v/>
      </c>
      <c r="O81" s="343" t="n">
        <v>4.6</v>
      </c>
      <c r="P81" s="343" t="n">
        <v>4.6</v>
      </c>
      <c r="Q81" s="343" t="n">
        <v>4.6</v>
      </c>
      <c r="R81" s="343" t="n">
        <v>4.6</v>
      </c>
      <c r="S81" s="344">
        <f>SUM(O81:R81)</f>
        <v/>
      </c>
      <c r="T81" s="343" t="n">
        <v>4.8</v>
      </c>
      <c r="U81" s="343" t="n">
        <v>4.8</v>
      </c>
      <c r="V81" s="343" t="n">
        <v>4.8</v>
      </c>
      <c r="W81" s="343" t="n">
        <v>4.8</v>
      </c>
      <c r="X81" s="344">
        <f>SUM(T81:W81)</f>
        <v/>
      </c>
      <c r="Y81" s="343" t="n">
        <v>4.9</v>
      </c>
      <c r="Z81" s="343" t="n">
        <v>4.9</v>
      </c>
      <c r="AA81" s="343" t="n">
        <v>4.9</v>
      </c>
      <c r="AB81" s="343" t="n">
        <v>4.9</v>
      </c>
      <c r="AC81" s="344">
        <f>SUM(Y81:AB81)</f>
        <v/>
      </c>
      <c r="AD81" s="343" t="n">
        <v>5</v>
      </c>
      <c r="AE81" s="343" t="n">
        <v>5</v>
      </c>
      <c r="AF81" s="343" t="n">
        <v>5</v>
      </c>
      <c r="AG81" s="343" t="n">
        <v>5</v>
      </c>
      <c r="AH81" s="344">
        <f>SUM(AD81:AG81)</f>
        <v/>
      </c>
      <c r="AI81" s="343" t="n">
        <v>5.1</v>
      </c>
      <c r="AJ81" s="343" t="n">
        <v>5.1</v>
      </c>
      <c r="AK81" s="343" t="n">
        <v>5.1</v>
      </c>
      <c r="AL81" s="343" t="n">
        <v>5.1</v>
      </c>
      <c r="AM81" s="344">
        <f>SUM(AI81:AL81)</f>
        <v/>
      </c>
      <c r="AN81" s="343" t="n">
        <v>5.2</v>
      </c>
      <c r="AO81" s="343" t="n">
        <v>5.2</v>
      </c>
      <c r="AP81" s="343" t="n">
        <v>5.2</v>
      </c>
      <c r="AQ81" s="343" t="n">
        <v>5.2</v>
      </c>
      <c r="AR81" s="344">
        <f>SUM(AN81:AQ81)</f>
        <v/>
      </c>
    </row>
    <row r="82" ht="13.5" customHeight="1" s="290">
      <c r="A82" s="339" t="n"/>
      <c r="B82" s="340" t="inlineStr">
        <is>
          <t xml:space="preserve">  Avg IS Deal Size — Small (&lt;$10M)  —  Downside</t>
        </is>
      </c>
      <c r="E82" s="343" t="n">
        <v>4.3</v>
      </c>
      <c r="F82" s="343" t="n">
        <v>4.3</v>
      </c>
      <c r="G82" s="343" t="n">
        <v>4.3</v>
      </c>
      <c r="H82" s="343" t="n">
        <v>4.3</v>
      </c>
      <c r="I82" s="344">
        <f>SUM(E82:H82)</f>
        <v/>
      </c>
      <c r="J82" s="343" t="n">
        <v>4.4</v>
      </c>
      <c r="K82" s="343" t="n">
        <v>4.4</v>
      </c>
      <c r="L82" s="343" t="n">
        <v>4.4</v>
      </c>
      <c r="M82" s="343" t="n">
        <v>4.4</v>
      </c>
      <c r="N82" s="344">
        <f>SUM(J82:M82)</f>
        <v/>
      </c>
      <c r="O82" s="343" t="n">
        <v>4.2</v>
      </c>
      <c r="P82" s="343" t="n">
        <v>4.2</v>
      </c>
      <c r="Q82" s="343" t="n">
        <v>4.2</v>
      </c>
      <c r="R82" s="343" t="n">
        <v>4.2</v>
      </c>
      <c r="S82" s="344">
        <f>SUM(O82:R82)</f>
        <v/>
      </c>
      <c r="T82" s="343" t="n">
        <v>4.1</v>
      </c>
      <c r="U82" s="343" t="n">
        <v>4.1</v>
      </c>
      <c r="V82" s="343" t="n">
        <v>4.1</v>
      </c>
      <c r="W82" s="343" t="n">
        <v>4.1</v>
      </c>
      <c r="X82" s="344">
        <f>SUM(T82:W82)</f>
        <v/>
      </c>
      <c r="Y82" s="343" t="n">
        <v>4.1</v>
      </c>
      <c r="Z82" s="343" t="n">
        <v>4.1</v>
      </c>
      <c r="AA82" s="343" t="n">
        <v>4.1</v>
      </c>
      <c r="AB82" s="343" t="n">
        <v>4.1</v>
      </c>
      <c r="AC82" s="344">
        <f>SUM(Y82:AB82)</f>
        <v/>
      </c>
      <c r="AD82" s="343" t="n">
        <v>4.2</v>
      </c>
      <c r="AE82" s="343" t="n">
        <v>4.2</v>
      </c>
      <c r="AF82" s="343" t="n">
        <v>4.2</v>
      </c>
      <c r="AG82" s="343" t="n">
        <v>4.2</v>
      </c>
      <c r="AH82" s="344">
        <f>SUM(AD82:AG82)</f>
        <v/>
      </c>
      <c r="AI82" s="343" t="n">
        <v>4.3</v>
      </c>
      <c r="AJ82" s="343" t="n">
        <v>4.3</v>
      </c>
      <c r="AK82" s="343" t="n">
        <v>4.3</v>
      </c>
      <c r="AL82" s="343" t="n">
        <v>4.3</v>
      </c>
      <c r="AM82" s="344">
        <f>SUM(AI82:AL82)</f>
        <v/>
      </c>
      <c r="AN82" s="343" t="n">
        <v>4.4</v>
      </c>
      <c r="AO82" s="343" t="n">
        <v>4.4</v>
      </c>
      <c r="AP82" s="343" t="n">
        <v>4.4</v>
      </c>
      <c r="AQ82" s="343" t="n">
        <v>4.4</v>
      </c>
      <c r="AR82" s="344">
        <f>SUM(AN82:AQ82)</f>
        <v/>
      </c>
    </row>
    <row r="83" ht="13.5" customHeight="1" s="290">
      <c r="A83" s="345" t="n"/>
      <c r="B83" s="346" t="inlineStr">
        <is>
          <t xml:space="preserve">  Avg IS Deal Size — Small (&lt;$10M)  —  ★ ACTIVE</t>
        </is>
      </c>
      <c r="E83" s="347">
        <f>IF('01 Cover &amp; Control'!$C$19="Base",E80,IF('01 Cover &amp; Control'!$C$19="Upside",E81,E82))</f>
        <v/>
      </c>
      <c r="F83" s="347">
        <f>IF('01 Cover &amp; Control'!$C$19="Base",F80,IF('01 Cover &amp; Control'!$C$19="Upside",F81,F82))</f>
        <v/>
      </c>
      <c r="G83" s="347">
        <f>IF('01 Cover &amp; Control'!$C$19="Base",G80,IF('01 Cover &amp; Control'!$C$19="Upside",G81,G82))</f>
        <v/>
      </c>
      <c r="H83" s="347">
        <f>IF('01 Cover &amp; Control'!$C$19="Base",H80,IF('01 Cover &amp; Control'!$C$19="Upside",H81,H82))</f>
        <v/>
      </c>
      <c r="I83" s="347">
        <f>SUM(E83:H83)</f>
        <v/>
      </c>
      <c r="J83" s="347">
        <f>IF('01 Cover &amp; Control'!$C$19="Base",J80,IF('01 Cover &amp; Control'!$C$19="Upside",J81,J82))</f>
        <v/>
      </c>
      <c r="K83" s="347">
        <f>IF('01 Cover &amp; Control'!$C$19="Base",K80,IF('01 Cover &amp; Control'!$C$19="Upside",K81,K82))</f>
        <v/>
      </c>
      <c r="L83" s="347">
        <f>IF('01 Cover &amp; Control'!$C$19="Base",L80,IF('01 Cover &amp; Control'!$C$19="Upside",L81,L82))</f>
        <v/>
      </c>
      <c r="M83" s="347">
        <f>IF('01 Cover &amp; Control'!$C$19="Base",M80,IF('01 Cover &amp; Control'!$C$19="Upside",M81,M82))</f>
        <v/>
      </c>
      <c r="N83" s="347">
        <f>SUM(J83:M83)</f>
        <v/>
      </c>
      <c r="O83" s="347">
        <f>IF('01 Cover &amp; Control'!$C$19="Base",O80,IF('01 Cover &amp; Control'!$C$19="Upside",O81,O82))</f>
        <v/>
      </c>
      <c r="P83" s="347">
        <f>IF('01 Cover &amp; Control'!$C$19="Base",P80,IF('01 Cover &amp; Control'!$C$19="Upside",P81,P82))</f>
        <v/>
      </c>
      <c r="Q83" s="347">
        <f>IF('01 Cover &amp; Control'!$C$19="Base",Q80,IF('01 Cover &amp; Control'!$C$19="Upside",Q81,Q82))</f>
        <v/>
      </c>
      <c r="R83" s="347">
        <f>IF('01 Cover &amp; Control'!$C$19="Base",R80,IF('01 Cover &amp; Control'!$C$19="Upside",R81,R82))</f>
        <v/>
      </c>
      <c r="S83" s="347">
        <f>SUM(O83:R83)</f>
        <v/>
      </c>
      <c r="T83" s="347">
        <f>IF('01 Cover &amp; Control'!$C$19="Base",T80,IF('01 Cover &amp; Control'!$C$19="Upside",T81,T82))</f>
        <v/>
      </c>
      <c r="U83" s="347">
        <f>IF('01 Cover &amp; Control'!$C$19="Base",U80,IF('01 Cover &amp; Control'!$C$19="Upside",U81,U82))</f>
        <v/>
      </c>
      <c r="V83" s="347">
        <f>IF('01 Cover &amp; Control'!$C$19="Base",V80,IF('01 Cover &amp; Control'!$C$19="Upside",V81,V82))</f>
        <v/>
      </c>
      <c r="W83" s="347">
        <f>IF('01 Cover &amp; Control'!$C$19="Base",W80,IF('01 Cover &amp; Control'!$C$19="Upside",W81,W82))</f>
        <v/>
      </c>
      <c r="X83" s="347">
        <f>SUM(T83:W83)</f>
        <v/>
      </c>
      <c r="Y83" s="347">
        <f>IF('01 Cover &amp; Control'!$C$19="Base",Y80,IF('01 Cover &amp; Control'!$C$19="Upside",Y81,Y82))</f>
        <v/>
      </c>
      <c r="Z83" s="347">
        <f>IF('01 Cover &amp; Control'!$C$19="Base",Z80,IF('01 Cover &amp; Control'!$C$19="Upside",Z81,Z82))</f>
        <v/>
      </c>
      <c r="AA83" s="347">
        <f>IF('01 Cover &amp; Control'!$C$19="Base",AA80,IF('01 Cover &amp; Control'!$C$19="Upside",AA81,AA82))</f>
        <v/>
      </c>
      <c r="AB83" s="347">
        <f>IF('01 Cover &amp; Control'!$C$19="Base",AB80,IF('01 Cover &amp; Control'!$C$19="Upside",AB81,AB82))</f>
        <v/>
      </c>
      <c r="AC83" s="347">
        <f>SUM(Y83:AB83)</f>
        <v/>
      </c>
      <c r="AD83" s="347">
        <f>IF('01 Cover &amp; Control'!$C$19="Base",AD80,IF('01 Cover &amp; Control'!$C$19="Upside",AD81,AD82))</f>
        <v/>
      </c>
      <c r="AE83" s="347">
        <f>IF('01 Cover &amp; Control'!$C$19="Base",AE80,IF('01 Cover &amp; Control'!$C$19="Upside",AE81,AE82))</f>
        <v/>
      </c>
      <c r="AF83" s="347">
        <f>IF('01 Cover &amp; Control'!$C$19="Base",AF80,IF('01 Cover &amp; Control'!$C$19="Upside",AF81,AF82))</f>
        <v/>
      </c>
      <c r="AG83" s="347">
        <f>IF('01 Cover &amp; Control'!$C$19="Base",AG80,IF('01 Cover &amp; Control'!$C$19="Upside",AG81,AG82))</f>
        <v/>
      </c>
      <c r="AH83" s="347">
        <f>SUM(AD83:AG83)</f>
        <v/>
      </c>
      <c r="AI83" s="347">
        <f>IF('01 Cover &amp; Control'!$C$19="Base",AI80,IF('01 Cover &amp; Control'!$C$19="Upside",AI81,AI82))</f>
        <v/>
      </c>
      <c r="AJ83" s="347">
        <f>IF('01 Cover &amp; Control'!$C$19="Base",AJ80,IF('01 Cover &amp; Control'!$C$19="Upside",AJ81,AJ82))</f>
        <v/>
      </c>
      <c r="AK83" s="347">
        <f>IF('01 Cover &amp; Control'!$C$19="Base",AK80,IF('01 Cover &amp; Control'!$C$19="Upside",AK81,AK82))</f>
        <v/>
      </c>
      <c r="AL83" s="347">
        <f>IF('01 Cover &amp; Control'!$C$19="Base",AL80,IF('01 Cover &amp; Control'!$C$19="Upside",AL81,AL82))</f>
        <v/>
      </c>
      <c r="AM83" s="347">
        <f>SUM(AI83:AL83)</f>
        <v/>
      </c>
      <c r="AN83" s="347">
        <f>IF('01 Cover &amp; Control'!$C$19="Base",AN80,IF('01 Cover &amp; Control'!$C$19="Upside",AN81,AN82))</f>
        <v/>
      </c>
      <c r="AO83" s="347">
        <f>IF('01 Cover &amp; Control'!$C$19="Base",AO80,IF('01 Cover &amp; Control'!$C$19="Upside",AO81,AO82))</f>
        <v/>
      </c>
      <c r="AP83" s="347">
        <f>IF('01 Cover &amp; Control'!$C$19="Base",AP80,IF('01 Cover &amp; Control'!$C$19="Upside",AP81,AP82))</f>
        <v/>
      </c>
      <c r="AQ83" s="347">
        <f>IF('01 Cover &amp; Control'!$C$19="Base",AQ80,IF('01 Cover &amp; Control'!$C$19="Upside",AQ81,AQ82))</f>
        <v/>
      </c>
      <c r="AR83" s="347">
        <f>SUM(AN83:AQ83)</f>
        <v/>
      </c>
    </row>
    <row r="84" ht="4.5" customHeight="1" s="290"/>
    <row r="85" ht="15" customHeight="1" s="290">
      <c r="A85" s="307" t="inlineStr">
        <is>
          <t xml:space="preserve">    B4 — LEASING MARKET</t>
        </is>
      </c>
    </row>
    <row r="86" ht="3" customHeight="1" s="290"/>
    <row r="87" ht="13.5" customHeight="1" s="290">
      <c r="A87" s="339" t="n"/>
      <c r="B87" s="340" t="inlineStr">
        <is>
          <t xml:space="preserve">  National Leasing Volume / Net Absorption  —  Base</t>
        </is>
      </c>
      <c r="C87" s="341" t="inlineStr">
        <is>
          <t>MSF / qtr</t>
        </is>
      </c>
      <c r="D87" s="342" t="inlineStr">
        <is>
          <t>CBRE MarketView; JLL Research; Cushman &amp; Wakefield Net Absorption Reports</t>
        </is>
      </c>
      <c r="E87" s="343" t="n">
        <v>300</v>
      </c>
      <c r="F87" s="343" t="n">
        <v>300</v>
      </c>
      <c r="G87" s="343" t="n">
        <v>300</v>
      </c>
      <c r="H87" s="343" t="n">
        <v>300</v>
      </c>
      <c r="I87" s="344">
        <f>SUM(E87:H87)</f>
        <v/>
      </c>
      <c r="J87" s="343" t="n">
        <v>310</v>
      </c>
      <c r="K87" s="343" t="n">
        <v>310</v>
      </c>
      <c r="L87" s="343" t="n">
        <v>310</v>
      </c>
      <c r="M87" s="343" t="n">
        <v>310</v>
      </c>
      <c r="N87" s="344">
        <f>SUM(J87:M87)</f>
        <v/>
      </c>
      <c r="O87" s="343" t="n">
        <v>330</v>
      </c>
      <c r="P87" s="343" t="n">
        <v>330</v>
      </c>
      <c r="Q87" s="343" t="n">
        <v>330</v>
      </c>
      <c r="R87" s="343" t="n">
        <v>330</v>
      </c>
      <c r="S87" s="344">
        <f>SUM(O87:R87)</f>
        <v/>
      </c>
      <c r="T87" s="343" t="n">
        <v>350</v>
      </c>
      <c r="U87" s="343" t="n">
        <v>350</v>
      </c>
      <c r="V87" s="343" t="n">
        <v>350</v>
      </c>
      <c r="W87" s="343" t="n">
        <v>350</v>
      </c>
      <c r="X87" s="344">
        <f>SUM(T87:W87)</f>
        <v/>
      </c>
      <c r="Y87" s="343" t="n">
        <v>365</v>
      </c>
      <c r="Z87" s="343" t="n">
        <v>365</v>
      </c>
      <c r="AA87" s="343" t="n">
        <v>365</v>
      </c>
      <c r="AB87" s="343" t="n">
        <v>365</v>
      </c>
      <c r="AC87" s="344">
        <f>SUM(Y87:AB87)</f>
        <v/>
      </c>
      <c r="AD87" s="343" t="n">
        <v>375</v>
      </c>
      <c r="AE87" s="343" t="n">
        <v>375</v>
      </c>
      <c r="AF87" s="343" t="n">
        <v>375</v>
      </c>
      <c r="AG87" s="343" t="n">
        <v>375</v>
      </c>
      <c r="AH87" s="344">
        <f>SUM(AD87:AG87)</f>
        <v/>
      </c>
      <c r="AI87" s="343" t="n">
        <v>385</v>
      </c>
      <c r="AJ87" s="343" t="n">
        <v>385</v>
      </c>
      <c r="AK87" s="343" t="n">
        <v>385</v>
      </c>
      <c r="AL87" s="343" t="n">
        <v>385</v>
      </c>
      <c r="AM87" s="344">
        <f>SUM(AI87:AL87)</f>
        <v/>
      </c>
      <c r="AN87" s="343" t="n">
        <v>395</v>
      </c>
      <c r="AO87" s="343" t="n">
        <v>395</v>
      </c>
      <c r="AP87" s="343" t="n">
        <v>395</v>
      </c>
      <c r="AQ87" s="343" t="n">
        <v>395</v>
      </c>
      <c r="AR87" s="344">
        <f>SUM(AN87:AQ87)</f>
        <v/>
      </c>
    </row>
    <row r="88" ht="13.5" customHeight="1" s="290">
      <c r="A88" s="339" t="n"/>
      <c r="B88" s="340" t="inlineStr">
        <is>
          <t xml:space="preserve">  National Leasing Volume / Net Absorption  —  Upside</t>
        </is>
      </c>
      <c r="E88" s="343" t="n">
        <v>300</v>
      </c>
      <c r="F88" s="343" t="n">
        <v>300</v>
      </c>
      <c r="G88" s="343" t="n">
        <v>300</v>
      </c>
      <c r="H88" s="343" t="n">
        <v>300</v>
      </c>
      <c r="I88" s="344">
        <f>SUM(E88:H88)</f>
        <v/>
      </c>
      <c r="J88" s="343" t="n">
        <v>310</v>
      </c>
      <c r="K88" s="343" t="n">
        <v>310</v>
      </c>
      <c r="L88" s="343" t="n">
        <v>310</v>
      </c>
      <c r="M88" s="343" t="n">
        <v>310</v>
      </c>
      <c r="N88" s="344">
        <f>SUM(J88:M88)</f>
        <v/>
      </c>
      <c r="O88" s="343" t="n">
        <v>348</v>
      </c>
      <c r="P88" s="343" t="n">
        <v>348</v>
      </c>
      <c r="Q88" s="343" t="n">
        <v>348</v>
      </c>
      <c r="R88" s="343" t="n">
        <v>348</v>
      </c>
      <c r="S88" s="344">
        <f>SUM(O88:R88)</f>
        <v/>
      </c>
      <c r="T88" s="343" t="n">
        <v>392</v>
      </c>
      <c r="U88" s="343" t="n">
        <v>392</v>
      </c>
      <c r="V88" s="343" t="n">
        <v>392</v>
      </c>
      <c r="W88" s="343" t="n">
        <v>392</v>
      </c>
      <c r="X88" s="344">
        <f>SUM(T88:W88)</f>
        <v/>
      </c>
      <c r="Y88" s="343" t="n">
        <v>409</v>
      </c>
      <c r="Z88" s="343" t="n">
        <v>409</v>
      </c>
      <c r="AA88" s="343" t="n">
        <v>409</v>
      </c>
      <c r="AB88" s="343" t="n">
        <v>409</v>
      </c>
      <c r="AC88" s="344">
        <f>SUM(Y88:AB88)</f>
        <v/>
      </c>
      <c r="AD88" s="343" t="n">
        <v>420</v>
      </c>
      <c r="AE88" s="343" t="n">
        <v>420</v>
      </c>
      <c r="AF88" s="343" t="n">
        <v>420</v>
      </c>
      <c r="AG88" s="343" t="n">
        <v>420</v>
      </c>
      <c r="AH88" s="344">
        <f>SUM(AD88:AG88)</f>
        <v/>
      </c>
      <c r="AI88" s="343" t="n">
        <v>431</v>
      </c>
      <c r="AJ88" s="343" t="n">
        <v>431</v>
      </c>
      <c r="AK88" s="343" t="n">
        <v>431</v>
      </c>
      <c r="AL88" s="343" t="n">
        <v>431</v>
      </c>
      <c r="AM88" s="344">
        <f>SUM(AI88:AL88)</f>
        <v/>
      </c>
      <c r="AN88" s="343" t="n">
        <v>442</v>
      </c>
      <c r="AO88" s="343" t="n">
        <v>442</v>
      </c>
      <c r="AP88" s="343" t="n">
        <v>442</v>
      </c>
      <c r="AQ88" s="343" t="n">
        <v>442</v>
      </c>
      <c r="AR88" s="344">
        <f>SUM(AN88:AQ88)</f>
        <v/>
      </c>
    </row>
    <row r="89" ht="13.5" customHeight="1" s="290">
      <c r="A89" s="339" t="n"/>
      <c r="B89" s="340" t="inlineStr">
        <is>
          <t xml:space="preserve">  National Leasing Volume / Net Absorption  —  Downside</t>
        </is>
      </c>
      <c r="E89" s="343" t="n">
        <v>300</v>
      </c>
      <c r="F89" s="343" t="n">
        <v>300</v>
      </c>
      <c r="G89" s="343" t="n">
        <v>300</v>
      </c>
      <c r="H89" s="343" t="n">
        <v>300</v>
      </c>
      <c r="I89" s="344">
        <f>SUM(E89:H89)</f>
        <v/>
      </c>
      <c r="J89" s="343" t="n">
        <v>310</v>
      </c>
      <c r="K89" s="343" t="n">
        <v>310</v>
      </c>
      <c r="L89" s="343" t="n">
        <v>310</v>
      </c>
      <c r="M89" s="343" t="n">
        <v>310</v>
      </c>
      <c r="N89" s="344">
        <f>SUM(J89:M89)</f>
        <v/>
      </c>
      <c r="O89" s="343" t="n">
        <v>312</v>
      </c>
      <c r="P89" s="343" t="n">
        <v>312</v>
      </c>
      <c r="Q89" s="343" t="n">
        <v>312</v>
      </c>
      <c r="R89" s="343" t="n">
        <v>312</v>
      </c>
      <c r="S89" s="344">
        <f>SUM(O89:R89)</f>
        <v/>
      </c>
      <c r="T89" s="343" t="n">
        <v>298</v>
      </c>
      <c r="U89" s="343" t="n">
        <v>298</v>
      </c>
      <c r="V89" s="343" t="n">
        <v>298</v>
      </c>
      <c r="W89" s="343" t="n">
        <v>298</v>
      </c>
      <c r="X89" s="344">
        <f>SUM(T89:W89)</f>
        <v/>
      </c>
      <c r="Y89" s="343" t="n">
        <v>312</v>
      </c>
      <c r="Z89" s="343" t="n">
        <v>312</v>
      </c>
      <c r="AA89" s="343" t="n">
        <v>312</v>
      </c>
      <c r="AB89" s="343" t="n">
        <v>312</v>
      </c>
      <c r="AC89" s="344">
        <f>SUM(Y89:AB89)</f>
        <v/>
      </c>
      <c r="AD89" s="343" t="n">
        <v>326</v>
      </c>
      <c r="AE89" s="343" t="n">
        <v>326</v>
      </c>
      <c r="AF89" s="343" t="n">
        <v>326</v>
      </c>
      <c r="AG89" s="343" t="n">
        <v>326</v>
      </c>
      <c r="AH89" s="344">
        <f>SUM(AD89:AG89)</f>
        <v/>
      </c>
      <c r="AI89" s="343" t="n">
        <v>338</v>
      </c>
      <c r="AJ89" s="343" t="n">
        <v>338</v>
      </c>
      <c r="AK89" s="343" t="n">
        <v>338</v>
      </c>
      <c r="AL89" s="343" t="n">
        <v>338</v>
      </c>
      <c r="AM89" s="344">
        <f>SUM(AI89:AL89)</f>
        <v/>
      </c>
      <c r="AN89" s="343" t="n">
        <v>350</v>
      </c>
      <c r="AO89" s="343" t="n">
        <v>350</v>
      </c>
      <c r="AP89" s="343" t="n">
        <v>350</v>
      </c>
      <c r="AQ89" s="343" t="n">
        <v>350</v>
      </c>
      <c r="AR89" s="344">
        <f>SUM(AN89:AQ89)</f>
        <v/>
      </c>
    </row>
    <row r="90" ht="13.5" customHeight="1" s="290">
      <c r="A90" s="345" t="n"/>
      <c r="B90" s="346" t="inlineStr">
        <is>
          <t xml:space="preserve">  National Leasing Volume / Net Absorption  —  ★ ACTIVE</t>
        </is>
      </c>
      <c r="E90" s="347">
        <f>IF('01 Cover &amp; Control'!$C$19="Base",E87,IF('01 Cover &amp; Control'!$C$19="Upside",E88,E89))</f>
        <v/>
      </c>
      <c r="F90" s="347">
        <f>IF('01 Cover &amp; Control'!$C$19="Base",F87,IF('01 Cover &amp; Control'!$C$19="Upside",F88,F89))</f>
        <v/>
      </c>
      <c r="G90" s="347">
        <f>IF('01 Cover &amp; Control'!$C$19="Base",G87,IF('01 Cover &amp; Control'!$C$19="Upside",G88,G89))</f>
        <v/>
      </c>
      <c r="H90" s="347">
        <f>IF('01 Cover &amp; Control'!$C$19="Base",H87,IF('01 Cover &amp; Control'!$C$19="Upside",H88,H89))</f>
        <v/>
      </c>
      <c r="I90" s="347">
        <f>SUM(E90:H90)</f>
        <v/>
      </c>
      <c r="J90" s="347">
        <f>IF('01 Cover &amp; Control'!$C$19="Base",J87,IF('01 Cover &amp; Control'!$C$19="Upside",J88,J89))</f>
        <v/>
      </c>
      <c r="K90" s="347">
        <f>IF('01 Cover &amp; Control'!$C$19="Base",K87,IF('01 Cover &amp; Control'!$C$19="Upside",K88,K89))</f>
        <v/>
      </c>
      <c r="L90" s="347">
        <f>IF('01 Cover &amp; Control'!$C$19="Base",L87,IF('01 Cover &amp; Control'!$C$19="Upside",L88,L89))</f>
        <v/>
      </c>
      <c r="M90" s="347">
        <f>IF('01 Cover &amp; Control'!$C$19="Base",M87,IF('01 Cover &amp; Control'!$C$19="Upside",M88,M89))</f>
        <v/>
      </c>
      <c r="N90" s="347">
        <f>SUM(J90:M90)</f>
        <v/>
      </c>
      <c r="O90" s="347">
        <f>IF('01 Cover &amp; Control'!$C$19="Base",O87,IF('01 Cover &amp; Control'!$C$19="Upside",O88,O89))</f>
        <v/>
      </c>
      <c r="P90" s="347">
        <f>IF('01 Cover &amp; Control'!$C$19="Base",P87,IF('01 Cover &amp; Control'!$C$19="Upside",P88,P89))</f>
        <v/>
      </c>
      <c r="Q90" s="347">
        <f>IF('01 Cover &amp; Control'!$C$19="Base",Q87,IF('01 Cover &amp; Control'!$C$19="Upside",Q88,Q89))</f>
        <v/>
      </c>
      <c r="R90" s="347">
        <f>IF('01 Cover &amp; Control'!$C$19="Base",R87,IF('01 Cover &amp; Control'!$C$19="Upside",R88,R89))</f>
        <v/>
      </c>
      <c r="S90" s="347">
        <f>SUM(O90:R90)</f>
        <v/>
      </c>
      <c r="T90" s="347">
        <f>IF('01 Cover &amp; Control'!$C$19="Base",T87,IF('01 Cover &amp; Control'!$C$19="Upside",T88,T89))</f>
        <v/>
      </c>
      <c r="U90" s="347">
        <f>IF('01 Cover &amp; Control'!$C$19="Base",U87,IF('01 Cover &amp; Control'!$C$19="Upside",U88,U89))</f>
        <v/>
      </c>
      <c r="V90" s="347">
        <f>IF('01 Cover &amp; Control'!$C$19="Base",V87,IF('01 Cover &amp; Control'!$C$19="Upside",V88,V89))</f>
        <v/>
      </c>
      <c r="W90" s="347">
        <f>IF('01 Cover &amp; Control'!$C$19="Base",W87,IF('01 Cover &amp; Control'!$C$19="Upside",W88,W89))</f>
        <v/>
      </c>
      <c r="X90" s="347">
        <f>SUM(T90:W90)</f>
        <v/>
      </c>
      <c r="Y90" s="347">
        <f>IF('01 Cover &amp; Control'!$C$19="Base",Y87,IF('01 Cover &amp; Control'!$C$19="Upside",Y88,Y89))</f>
        <v/>
      </c>
      <c r="Z90" s="347">
        <f>IF('01 Cover &amp; Control'!$C$19="Base",Z87,IF('01 Cover &amp; Control'!$C$19="Upside",Z88,Z89))</f>
        <v/>
      </c>
      <c r="AA90" s="347">
        <f>IF('01 Cover &amp; Control'!$C$19="Base",AA87,IF('01 Cover &amp; Control'!$C$19="Upside",AA88,AA89))</f>
        <v/>
      </c>
      <c r="AB90" s="347">
        <f>IF('01 Cover &amp; Control'!$C$19="Base",AB87,IF('01 Cover &amp; Control'!$C$19="Upside",AB88,AB89))</f>
        <v/>
      </c>
      <c r="AC90" s="347">
        <f>SUM(Y90:AB90)</f>
        <v/>
      </c>
      <c r="AD90" s="347">
        <f>IF('01 Cover &amp; Control'!$C$19="Base",AD87,IF('01 Cover &amp; Control'!$C$19="Upside",AD88,AD89))</f>
        <v/>
      </c>
      <c r="AE90" s="347">
        <f>IF('01 Cover &amp; Control'!$C$19="Base",AE87,IF('01 Cover &amp; Control'!$C$19="Upside",AE88,AE89))</f>
        <v/>
      </c>
      <c r="AF90" s="347">
        <f>IF('01 Cover &amp; Control'!$C$19="Base",AF87,IF('01 Cover &amp; Control'!$C$19="Upside",AF88,AF89))</f>
        <v/>
      </c>
      <c r="AG90" s="347">
        <f>IF('01 Cover &amp; Control'!$C$19="Base",AG87,IF('01 Cover &amp; Control'!$C$19="Upside",AG88,AG89))</f>
        <v/>
      </c>
      <c r="AH90" s="347">
        <f>SUM(AD90:AG90)</f>
        <v/>
      </c>
      <c r="AI90" s="347">
        <f>IF('01 Cover &amp; Control'!$C$19="Base",AI87,IF('01 Cover &amp; Control'!$C$19="Upside",AI88,AI89))</f>
        <v/>
      </c>
      <c r="AJ90" s="347">
        <f>IF('01 Cover &amp; Control'!$C$19="Base",AJ87,IF('01 Cover &amp; Control'!$C$19="Upside",AJ88,AJ89))</f>
        <v/>
      </c>
      <c r="AK90" s="347">
        <f>IF('01 Cover &amp; Control'!$C$19="Base",AK87,IF('01 Cover &amp; Control'!$C$19="Upside",AK88,AK89))</f>
        <v/>
      </c>
      <c r="AL90" s="347">
        <f>IF('01 Cover &amp; Control'!$C$19="Base",AL87,IF('01 Cover &amp; Control'!$C$19="Upside",AL88,AL89))</f>
        <v/>
      </c>
      <c r="AM90" s="347">
        <f>SUM(AI90:AL90)</f>
        <v/>
      </c>
      <c r="AN90" s="347">
        <f>IF('01 Cover &amp; Control'!$C$19="Base",AN87,IF('01 Cover &amp; Control'!$C$19="Upside",AN88,AN89))</f>
        <v/>
      </c>
      <c r="AO90" s="347">
        <f>IF('01 Cover &amp; Control'!$C$19="Base",AO87,IF('01 Cover &amp; Control'!$C$19="Upside",AO88,AO89))</f>
        <v/>
      </c>
      <c r="AP90" s="347">
        <f>IF('01 Cover &amp; Control'!$C$19="Base",AP87,IF('01 Cover &amp; Control'!$C$19="Upside",AP88,AP89))</f>
        <v/>
      </c>
      <c r="AQ90" s="347">
        <f>IF('01 Cover &amp; Control'!$C$19="Base",AQ87,IF('01 Cover &amp; Control'!$C$19="Upside",AQ88,AQ89))</f>
        <v/>
      </c>
      <c r="AR90" s="347">
        <f>SUM(AN90:AQ90)</f>
        <v/>
      </c>
    </row>
    <row r="91" ht="3.75" customHeight="1" s="290"/>
    <row r="92" ht="13.5" customHeight="1" s="290">
      <c r="A92" s="339" t="n"/>
      <c r="B92" s="340" t="inlineStr">
        <is>
          <t xml:space="preserve">  National Market Average Rent — Blended  —  Base</t>
        </is>
      </c>
      <c r="C92" s="341" t="inlineStr">
        <is>
          <t>$ / SF / yr</t>
        </is>
      </c>
      <c r="D92" s="342" t="inlineStr">
        <is>
          <t>CBRE MarketView; JLL Research. Blended across office, industrial, retail.</t>
        </is>
      </c>
      <c r="E92" s="343" t="n">
        <v>30</v>
      </c>
      <c r="F92" s="343" t="n">
        <v>30</v>
      </c>
      <c r="G92" s="343" t="n">
        <v>30</v>
      </c>
      <c r="H92" s="343" t="n">
        <v>30</v>
      </c>
      <c r="I92" s="344">
        <f>SUM(E92:H92)</f>
        <v/>
      </c>
      <c r="J92" s="343" t="n">
        <v>31</v>
      </c>
      <c r="K92" s="343" t="n">
        <v>31</v>
      </c>
      <c r="L92" s="343" t="n">
        <v>31</v>
      </c>
      <c r="M92" s="343" t="n">
        <v>31</v>
      </c>
      <c r="N92" s="344">
        <f>SUM(J92:M92)</f>
        <v/>
      </c>
      <c r="O92" s="343" t="n">
        <v>32</v>
      </c>
      <c r="P92" s="343" t="n">
        <v>32</v>
      </c>
      <c r="Q92" s="343" t="n">
        <v>32</v>
      </c>
      <c r="R92" s="343" t="n">
        <v>32</v>
      </c>
      <c r="S92" s="344">
        <f>SUM(O92:R92)</f>
        <v/>
      </c>
      <c r="T92" s="343" t="n">
        <v>33</v>
      </c>
      <c r="U92" s="343" t="n">
        <v>33</v>
      </c>
      <c r="V92" s="343" t="n">
        <v>33</v>
      </c>
      <c r="W92" s="343" t="n">
        <v>33</v>
      </c>
      <c r="X92" s="344">
        <f>SUM(T92:W92)</f>
        <v/>
      </c>
      <c r="Y92" s="343" t="n">
        <v>34</v>
      </c>
      <c r="Z92" s="343" t="n">
        <v>34</v>
      </c>
      <c r="AA92" s="343" t="n">
        <v>34</v>
      </c>
      <c r="AB92" s="343" t="n">
        <v>34</v>
      </c>
      <c r="AC92" s="344">
        <f>SUM(Y92:AB92)</f>
        <v/>
      </c>
      <c r="AD92" s="343" t="n">
        <v>35</v>
      </c>
      <c r="AE92" s="343" t="n">
        <v>35</v>
      </c>
      <c r="AF92" s="343" t="n">
        <v>35</v>
      </c>
      <c r="AG92" s="343" t="n">
        <v>35</v>
      </c>
      <c r="AH92" s="344">
        <f>SUM(AD92:AG92)</f>
        <v/>
      </c>
      <c r="AI92" s="343" t="n">
        <v>36</v>
      </c>
      <c r="AJ92" s="343" t="n">
        <v>36</v>
      </c>
      <c r="AK92" s="343" t="n">
        <v>36</v>
      </c>
      <c r="AL92" s="343" t="n">
        <v>36</v>
      </c>
      <c r="AM92" s="344">
        <f>SUM(AI92:AL92)</f>
        <v/>
      </c>
      <c r="AN92" s="343" t="n">
        <v>37</v>
      </c>
      <c r="AO92" s="343" t="n">
        <v>37</v>
      </c>
      <c r="AP92" s="343" t="n">
        <v>37</v>
      </c>
      <c r="AQ92" s="343" t="n">
        <v>37</v>
      </c>
      <c r="AR92" s="344">
        <f>SUM(AN92:AQ92)</f>
        <v/>
      </c>
    </row>
    <row r="93" ht="13.5" customHeight="1" s="290">
      <c r="A93" s="339" t="n"/>
      <c r="B93" s="340" t="inlineStr">
        <is>
          <t xml:space="preserve">  National Market Average Rent — Blended  —  Upside</t>
        </is>
      </c>
      <c r="E93" s="343" t="n">
        <v>30</v>
      </c>
      <c r="F93" s="343" t="n">
        <v>30</v>
      </c>
      <c r="G93" s="343" t="n">
        <v>30</v>
      </c>
      <c r="H93" s="343" t="n">
        <v>30</v>
      </c>
      <c r="I93" s="344">
        <f>SUM(E93:H93)</f>
        <v/>
      </c>
      <c r="J93" s="343" t="n">
        <v>31</v>
      </c>
      <c r="K93" s="343" t="n">
        <v>31</v>
      </c>
      <c r="L93" s="343" t="n">
        <v>31</v>
      </c>
      <c r="M93" s="343" t="n">
        <v>31</v>
      </c>
      <c r="N93" s="344">
        <f>SUM(J93:M93)</f>
        <v/>
      </c>
      <c r="O93" s="343" t="n">
        <v>33</v>
      </c>
      <c r="P93" s="343" t="n">
        <v>33</v>
      </c>
      <c r="Q93" s="343" t="n">
        <v>33</v>
      </c>
      <c r="R93" s="343" t="n">
        <v>33</v>
      </c>
      <c r="S93" s="344">
        <f>SUM(O93:R93)</f>
        <v/>
      </c>
      <c r="T93" s="343" t="n">
        <v>35</v>
      </c>
      <c r="U93" s="343" t="n">
        <v>35</v>
      </c>
      <c r="V93" s="343" t="n">
        <v>35</v>
      </c>
      <c r="W93" s="343" t="n">
        <v>35</v>
      </c>
      <c r="X93" s="344">
        <f>SUM(T93:W93)</f>
        <v/>
      </c>
      <c r="Y93" s="343" t="n">
        <v>36</v>
      </c>
      <c r="Z93" s="343" t="n">
        <v>36</v>
      </c>
      <c r="AA93" s="343" t="n">
        <v>36</v>
      </c>
      <c r="AB93" s="343" t="n">
        <v>36</v>
      </c>
      <c r="AC93" s="344">
        <f>SUM(Y93:AB93)</f>
        <v/>
      </c>
      <c r="AD93" s="343" t="n">
        <v>37</v>
      </c>
      <c r="AE93" s="343" t="n">
        <v>37</v>
      </c>
      <c r="AF93" s="343" t="n">
        <v>37</v>
      </c>
      <c r="AG93" s="343" t="n">
        <v>37</v>
      </c>
      <c r="AH93" s="344">
        <f>SUM(AD93:AG93)</f>
        <v/>
      </c>
      <c r="AI93" s="343" t="n">
        <v>38</v>
      </c>
      <c r="AJ93" s="343" t="n">
        <v>38</v>
      </c>
      <c r="AK93" s="343" t="n">
        <v>38</v>
      </c>
      <c r="AL93" s="343" t="n">
        <v>38</v>
      </c>
      <c r="AM93" s="344">
        <f>SUM(AI93:AL93)</f>
        <v/>
      </c>
      <c r="AN93" s="343" t="n">
        <v>39</v>
      </c>
      <c r="AO93" s="343" t="n">
        <v>39</v>
      </c>
      <c r="AP93" s="343" t="n">
        <v>39</v>
      </c>
      <c r="AQ93" s="343" t="n">
        <v>39</v>
      </c>
      <c r="AR93" s="344">
        <f>SUM(AN93:AQ93)</f>
        <v/>
      </c>
    </row>
    <row r="94" ht="13.5" customHeight="1" s="290">
      <c r="A94" s="339" t="n"/>
      <c r="B94" s="340" t="inlineStr">
        <is>
          <t xml:space="preserve">  National Market Average Rent — Blended  —  Downside</t>
        </is>
      </c>
      <c r="E94" s="343" t="n">
        <v>30</v>
      </c>
      <c r="F94" s="343" t="n">
        <v>30</v>
      </c>
      <c r="G94" s="343" t="n">
        <v>30</v>
      </c>
      <c r="H94" s="343" t="n">
        <v>30</v>
      </c>
      <c r="I94" s="344">
        <f>SUM(E94:H94)</f>
        <v/>
      </c>
      <c r="J94" s="343" t="n">
        <v>31</v>
      </c>
      <c r="K94" s="343" t="n">
        <v>31</v>
      </c>
      <c r="L94" s="343" t="n">
        <v>31</v>
      </c>
      <c r="M94" s="343" t="n">
        <v>31</v>
      </c>
      <c r="N94" s="344">
        <f>SUM(J94:M94)</f>
        <v/>
      </c>
      <c r="O94" s="343" t="n">
        <v>30</v>
      </c>
      <c r="P94" s="343" t="n">
        <v>30</v>
      </c>
      <c r="Q94" s="343" t="n">
        <v>30</v>
      </c>
      <c r="R94" s="343" t="n">
        <v>30</v>
      </c>
      <c r="S94" s="344">
        <f>SUM(O94:R94)</f>
        <v/>
      </c>
      <c r="T94" s="343" t="n">
        <v>29</v>
      </c>
      <c r="U94" s="343" t="n">
        <v>29</v>
      </c>
      <c r="V94" s="343" t="n">
        <v>29</v>
      </c>
      <c r="W94" s="343" t="n">
        <v>29</v>
      </c>
      <c r="X94" s="344">
        <f>SUM(T94:W94)</f>
        <v/>
      </c>
      <c r="Y94" s="343" t="n">
        <v>30</v>
      </c>
      <c r="Z94" s="343" t="n">
        <v>30</v>
      </c>
      <c r="AA94" s="343" t="n">
        <v>30</v>
      </c>
      <c r="AB94" s="343" t="n">
        <v>30</v>
      </c>
      <c r="AC94" s="344">
        <f>SUM(Y94:AB94)</f>
        <v/>
      </c>
      <c r="AD94" s="343" t="n">
        <v>31</v>
      </c>
      <c r="AE94" s="343" t="n">
        <v>31</v>
      </c>
      <c r="AF94" s="343" t="n">
        <v>31</v>
      </c>
      <c r="AG94" s="343" t="n">
        <v>31</v>
      </c>
      <c r="AH94" s="344">
        <f>SUM(AD94:AG94)</f>
        <v/>
      </c>
      <c r="AI94" s="343" t="n">
        <v>32</v>
      </c>
      <c r="AJ94" s="343" t="n">
        <v>32</v>
      </c>
      <c r="AK94" s="343" t="n">
        <v>32</v>
      </c>
      <c r="AL94" s="343" t="n">
        <v>32</v>
      </c>
      <c r="AM94" s="344">
        <f>SUM(AI94:AL94)</f>
        <v/>
      </c>
      <c r="AN94" s="343" t="n">
        <v>33</v>
      </c>
      <c r="AO94" s="343" t="n">
        <v>33</v>
      </c>
      <c r="AP94" s="343" t="n">
        <v>33</v>
      </c>
      <c r="AQ94" s="343" t="n">
        <v>33</v>
      </c>
      <c r="AR94" s="344">
        <f>SUM(AN94:AQ94)</f>
        <v/>
      </c>
    </row>
    <row r="95" ht="13.5" customHeight="1" s="290">
      <c r="A95" s="345" t="n"/>
      <c r="B95" s="346" t="inlineStr">
        <is>
          <t xml:space="preserve">  National Market Average Rent — Blended  —  ★ ACTIVE</t>
        </is>
      </c>
      <c r="E95" s="347">
        <f>IF('01 Cover &amp; Control'!$C$19="Base",E92,IF('01 Cover &amp; Control'!$C$19="Upside",E93,E94))</f>
        <v/>
      </c>
      <c r="F95" s="347">
        <f>IF('01 Cover &amp; Control'!$C$19="Base",F92,IF('01 Cover &amp; Control'!$C$19="Upside",F93,F94))</f>
        <v/>
      </c>
      <c r="G95" s="347">
        <f>IF('01 Cover &amp; Control'!$C$19="Base",G92,IF('01 Cover &amp; Control'!$C$19="Upside",G93,G94))</f>
        <v/>
      </c>
      <c r="H95" s="347">
        <f>IF('01 Cover &amp; Control'!$C$19="Base",H92,IF('01 Cover &amp; Control'!$C$19="Upside",H93,H94))</f>
        <v/>
      </c>
      <c r="I95" s="347">
        <f>SUM(E95:H95)</f>
        <v/>
      </c>
      <c r="J95" s="347">
        <f>IF('01 Cover &amp; Control'!$C$19="Base",J92,IF('01 Cover &amp; Control'!$C$19="Upside",J93,J94))</f>
        <v/>
      </c>
      <c r="K95" s="347">
        <f>IF('01 Cover &amp; Control'!$C$19="Base",K92,IF('01 Cover &amp; Control'!$C$19="Upside",K93,K94))</f>
        <v/>
      </c>
      <c r="L95" s="347">
        <f>IF('01 Cover &amp; Control'!$C$19="Base",L92,IF('01 Cover &amp; Control'!$C$19="Upside",L93,L94))</f>
        <v/>
      </c>
      <c r="M95" s="347">
        <f>IF('01 Cover &amp; Control'!$C$19="Base",M92,IF('01 Cover &amp; Control'!$C$19="Upside",M93,M94))</f>
        <v/>
      </c>
      <c r="N95" s="347">
        <f>SUM(J95:M95)</f>
        <v/>
      </c>
      <c r="O95" s="347">
        <f>IF('01 Cover &amp; Control'!$C$19="Base",O92,IF('01 Cover &amp; Control'!$C$19="Upside",O93,O94))</f>
        <v/>
      </c>
      <c r="P95" s="347">
        <f>IF('01 Cover &amp; Control'!$C$19="Base",P92,IF('01 Cover &amp; Control'!$C$19="Upside",P93,P94))</f>
        <v/>
      </c>
      <c r="Q95" s="347">
        <f>IF('01 Cover &amp; Control'!$C$19="Base",Q92,IF('01 Cover &amp; Control'!$C$19="Upside",Q93,Q94))</f>
        <v/>
      </c>
      <c r="R95" s="347">
        <f>IF('01 Cover &amp; Control'!$C$19="Base",R92,IF('01 Cover &amp; Control'!$C$19="Upside",R93,R94))</f>
        <v/>
      </c>
      <c r="S95" s="347">
        <f>SUM(O95:R95)</f>
        <v/>
      </c>
      <c r="T95" s="347">
        <f>IF('01 Cover &amp; Control'!$C$19="Base",T92,IF('01 Cover &amp; Control'!$C$19="Upside",T93,T94))</f>
        <v/>
      </c>
      <c r="U95" s="347">
        <f>IF('01 Cover &amp; Control'!$C$19="Base",U92,IF('01 Cover &amp; Control'!$C$19="Upside",U93,U94))</f>
        <v/>
      </c>
      <c r="V95" s="347">
        <f>IF('01 Cover &amp; Control'!$C$19="Base",V92,IF('01 Cover &amp; Control'!$C$19="Upside",V93,V94))</f>
        <v/>
      </c>
      <c r="W95" s="347">
        <f>IF('01 Cover &amp; Control'!$C$19="Base",W92,IF('01 Cover &amp; Control'!$C$19="Upside",W93,W94))</f>
        <v/>
      </c>
      <c r="X95" s="347">
        <f>SUM(T95:W95)</f>
        <v/>
      </c>
      <c r="Y95" s="347">
        <f>IF('01 Cover &amp; Control'!$C$19="Base",Y92,IF('01 Cover &amp; Control'!$C$19="Upside",Y93,Y94))</f>
        <v/>
      </c>
      <c r="Z95" s="347">
        <f>IF('01 Cover &amp; Control'!$C$19="Base",Z92,IF('01 Cover &amp; Control'!$C$19="Upside",Z93,Z94))</f>
        <v/>
      </c>
      <c r="AA95" s="347">
        <f>IF('01 Cover &amp; Control'!$C$19="Base",AA92,IF('01 Cover &amp; Control'!$C$19="Upside",AA93,AA94))</f>
        <v/>
      </c>
      <c r="AB95" s="347">
        <f>IF('01 Cover &amp; Control'!$C$19="Base",AB92,IF('01 Cover &amp; Control'!$C$19="Upside",AB93,AB94))</f>
        <v/>
      </c>
      <c r="AC95" s="347">
        <f>SUM(Y95:AB95)</f>
        <v/>
      </c>
      <c r="AD95" s="347">
        <f>IF('01 Cover &amp; Control'!$C$19="Base",AD92,IF('01 Cover &amp; Control'!$C$19="Upside",AD93,AD94))</f>
        <v/>
      </c>
      <c r="AE95" s="347">
        <f>IF('01 Cover &amp; Control'!$C$19="Base",AE92,IF('01 Cover &amp; Control'!$C$19="Upside",AE93,AE94))</f>
        <v/>
      </c>
      <c r="AF95" s="347">
        <f>IF('01 Cover &amp; Control'!$C$19="Base",AF92,IF('01 Cover &amp; Control'!$C$19="Upside",AF93,AF94))</f>
        <v/>
      </c>
      <c r="AG95" s="347">
        <f>IF('01 Cover &amp; Control'!$C$19="Base",AG92,IF('01 Cover &amp; Control'!$C$19="Upside",AG93,AG94))</f>
        <v/>
      </c>
      <c r="AH95" s="347">
        <f>SUM(AD95:AG95)</f>
        <v/>
      </c>
      <c r="AI95" s="347">
        <f>IF('01 Cover &amp; Control'!$C$19="Base",AI92,IF('01 Cover &amp; Control'!$C$19="Upside",AI93,AI94))</f>
        <v/>
      </c>
      <c r="AJ95" s="347">
        <f>IF('01 Cover &amp; Control'!$C$19="Base",AJ92,IF('01 Cover &amp; Control'!$C$19="Upside",AJ93,AJ94))</f>
        <v/>
      </c>
      <c r="AK95" s="347">
        <f>IF('01 Cover &amp; Control'!$C$19="Base",AK92,IF('01 Cover &amp; Control'!$C$19="Upside",AK93,AK94))</f>
        <v/>
      </c>
      <c r="AL95" s="347">
        <f>IF('01 Cover &amp; Control'!$C$19="Base",AL92,IF('01 Cover &amp; Control'!$C$19="Upside",AL93,AL94))</f>
        <v/>
      </c>
      <c r="AM95" s="347">
        <f>SUM(AI95:AL95)</f>
        <v/>
      </c>
      <c r="AN95" s="347">
        <f>IF('01 Cover &amp; Control'!$C$19="Base",AN92,IF('01 Cover &amp; Control'!$C$19="Upside",AN93,AN94))</f>
        <v/>
      </c>
      <c r="AO95" s="347">
        <f>IF('01 Cover &amp; Control'!$C$19="Base",AO92,IF('01 Cover &amp; Control'!$C$19="Upside",AO93,AO94))</f>
        <v/>
      </c>
      <c r="AP95" s="347">
        <f>IF('01 Cover &amp; Control'!$C$19="Base",AP92,IF('01 Cover &amp; Control'!$C$19="Upside",AP93,AP94))</f>
        <v/>
      </c>
      <c r="AQ95" s="347">
        <f>IF('01 Cover &amp; Control'!$C$19="Base",AQ92,IF('01 Cover &amp; Control'!$C$19="Upside",AQ93,AQ94))</f>
        <v/>
      </c>
      <c r="AR95" s="347">
        <f>SUM(AN95:AQ95)</f>
        <v/>
      </c>
    </row>
    <row r="96" ht="4.5" customHeight="1" s="290"/>
    <row r="97" ht="15" customHeight="1" s="290">
      <c r="A97" s="307" t="inlineStr">
        <is>
          <t xml:space="preserve">    B5 — CRE DEBT &amp; ORIGINATIONS MARKET</t>
        </is>
      </c>
    </row>
    <row r="98" ht="3" customHeight="1" s="290"/>
    <row r="99" ht="13.5" customHeight="1" s="290">
      <c r="A99" s="339" t="n"/>
      <c r="B99" s="340" t="inlineStr">
        <is>
          <t xml:space="preserve">  National CRE Origination Volume — Total Market  —  Base</t>
        </is>
      </c>
      <c r="C99" s="341" t="inlineStr">
        <is>
          <t>$B / qtr</t>
        </is>
      </c>
      <c r="D99" s="342" t="inlineStr">
        <is>
          <t>MBA Commercial / Multifamily Quarterly Origination Survey</t>
        </is>
      </c>
      <c r="E99" s="343" t="n">
        <v>120</v>
      </c>
      <c r="F99" s="343" t="n">
        <v>120</v>
      </c>
      <c r="G99" s="343" t="n">
        <v>120</v>
      </c>
      <c r="H99" s="343" t="n">
        <v>120</v>
      </c>
      <c r="I99" s="344">
        <f>SUM(E99:H99)</f>
        <v/>
      </c>
      <c r="J99" s="343" t="n">
        <v>128</v>
      </c>
      <c r="K99" s="343" t="n">
        <v>128</v>
      </c>
      <c r="L99" s="343" t="n">
        <v>128</v>
      </c>
      <c r="M99" s="343" t="n">
        <v>128</v>
      </c>
      <c r="N99" s="344">
        <f>SUM(J99:M99)</f>
        <v/>
      </c>
      <c r="O99" s="343" t="n">
        <v>140</v>
      </c>
      <c r="P99" s="343" t="n">
        <v>140</v>
      </c>
      <c r="Q99" s="343" t="n">
        <v>140</v>
      </c>
      <c r="R99" s="343" t="n">
        <v>140</v>
      </c>
      <c r="S99" s="344">
        <f>SUM(O99:R99)</f>
        <v/>
      </c>
      <c r="T99" s="343" t="n">
        <v>155</v>
      </c>
      <c r="U99" s="343" t="n">
        <v>155</v>
      </c>
      <c r="V99" s="343" t="n">
        <v>155</v>
      </c>
      <c r="W99" s="343" t="n">
        <v>155</v>
      </c>
      <c r="X99" s="344">
        <f>SUM(T99:W99)</f>
        <v/>
      </c>
      <c r="Y99" s="343" t="n">
        <v>165</v>
      </c>
      <c r="Z99" s="343" t="n">
        <v>165</v>
      </c>
      <c r="AA99" s="343" t="n">
        <v>165</v>
      </c>
      <c r="AB99" s="343" t="n">
        <v>165</v>
      </c>
      <c r="AC99" s="344">
        <f>SUM(Y99:AB99)</f>
        <v/>
      </c>
      <c r="AD99" s="343" t="n">
        <v>172</v>
      </c>
      <c r="AE99" s="343" t="n">
        <v>172</v>
      </c>
      <c r="AF99" s="343" t="n">
        <v>172</v>
      </c>
      <c r="AG99" s="343" t="n">
        <v>172</v>
      </c>
      <c r="AH99" s="344">
        <f>SUM(AD99:AG99)</f>
        <v/>
      </c>
      <c r="AI99" s="343" t="n">
        <v>178</v>
      </c>
      <c r="AJ99" s="343" t="n">
        <v>178</v>
      </c>
      <c r="AK99" s="343" t="n">
        <v>178</v>
      </c>
      <c r="AL99" s="343" t="n">
        <v>178</v>
      </c>
      <c r="AM99" s="344">
        <f>SUM(AI99:AL99)</f>
        <v/>
      </c>
      <c r="AN99" s="343" t="n">
        <v>184</v>
      </c>
      <c r="AO99" s="343" t="n">
        <v>184</v>
      </c>
      <c r="AP99" s="343" t="n">
        <v>184</v>
      </c>
      <c r="AQ99" s="343" t="n">
        <v>184</v>
      </c>
      <c r="AR99" s="344">
        <f>SUM(AN99:AQ99)</f>
        <v/>
      </c>
    </row>
    <row r="100" ht="13.5" customHeight="1" s="290">
      <c r="A100" s="339" t="n"/>
      <c r="B100" s="340" t="inlineStr">
        <is>
          <t xml:space="preserve">  National CRE Origination Volume — Total Market  —  Upside</t>
        </is>
      </c>
      <c r="E100" s="343" t="n">
        <v>120</v>
      </c>
      <c r="F100" s="343" t="n">
        <v>120</v>
      </c>
      <c r="G100" s="343" t="n">
        <v>120</v>
      </c>
      <c r="H100" s="343" t="n">
        <v>120</v>
      </c>
      <c r="I100" s="344">
        <f>SUM(E100:H100)</f>
        <v/>
      </c>
      <c r="J100" s="343" t="n">
        <v>128</v>
      </c>
      <c r="K100" s="343" t="n">
        <v>128</v>
      </c>
      <c r="L100" s="343" t="n">
        <v>128</v>
      </c>
      <c r="M100" s="343" t="n">
        <v>128</v>
      </c>
      <c r="N100" s="344">
        <f>SUM(J100:M100)</f>
        <v/>
      </c>
      <c r="O100" s="343" t="n">
        <v>148</v>
      </c>
      <c r="P100" s="343" t="n">
        <v>148</v>
      </c>
      <c r="Q100" s="343" t="n">
        <v>148</v>
      </c>
      <c r="R100" s="343" t="n">
        <v>148</v>
      </c>
      <c r="S100" s="344">
        <f>SUM(O100:R100)</f>
        <v/>
      </c>
      <c r="T100" s="343" t="n">
        <v>174</v>
      </c>
      <c r="U100" s="343" t="n">
        <v>174</v>
      </c>
      <c r="V100" s="343" t="n">
        <v>174</v>
      </c>
      <c r="W100" s="343" t="n">
        <v>174</v>
      </c>
      <c r="X100" s="344">
        <f>SUM(T100:W100)</f>
        <v/>
      </c>
      <c r="Y100" s="343" t="n">
        <v>185</v>
      </c>
      <c r="Z100" s="343" t="n">
        <v>185</v>
      </c>
      <c r="AA100" s="343" t="n">
        <v>185</v>
      </c>
      <c r="AB100" s="343" t="n">
        <v>185</v>
      </c>
      <c r="AC100" s="344">
        <f>SUM(Y100:AB100)</f>
        <v/>
      </c>
      <c r="AD100" s="343" t="n">
        <v>193</v>
      </c>
      <c r="AE100" s="343" t="n">
        <v>193</v>
      </c>
      <c r="AF100" s="343" t="n">
        <v>193</v>
      </c>
      <c r="AG100" s="343" t="n">
        <v>193</v>
      </c>
      <c r="AH100" s="344">
        <f>SUM(AD100:AG100)</f>
        <v/>
      </c>
      <c r="AI100" s="343" t="n">
        <v>199</v>
      </c>
      <c r="AJ100" s="343" t="n">
        <v>199</v>
      </c>
      <c r="AK100" s="343" t="n">
        <v>199</v>
      </c>
      <c r="AL100" s="343" t="n">
        <v>199</v>
      </c>
      <c r="AM100" s="344">
        <f>SUM(AI100:AL100)</f>
        <v/>
      </c>
      <c r="AN100" s="343" t="n">
        <v>206</v>
      </c>
      <c r="AO100" s="343" t="n">
        <v>206</v>
      </c>
      <c r="AP100" s="343" t="n">
        <v>206</v>
      </c>
      <c r="AQ100" s="343" t="n">
        <v>206</v>
      </c>
      <c r="AR100" s="344">
        <f>SUM(AN100:AQ100)</f>
        <v/>
      </c>
    </row>
    <row r="101" ht="13.5" customHeight="1" s="290">
      <c r="A101" s="339" t="n"/>
      <c r="B101" s="340" t="inlineStr">
        <is>
          <t xml:space="preserve">  National CRE Origination Volume — Total Market  —  Downside</t>
        </is>
      </c>
      <c r="E101" s="343" t="n">
        <v>120</v>
      </c>
      <c r="F101" s="343" t="n">
        <v>120</v>
      </c>
      <c r="G101" s="343" t="n">
        <v>120</v>
      </c>
      <c r="H101" s="343" t="n">
        <v>120</v>
      </c>
      <c r="I101" s="344">
        <f>SUM(E101:H101)</f>
        <v/>
      </c>
      <c r="J101" s="343" t="n">
        <v>128</v>
      </c>
      <c r="K101" s="343" t="n">
        <v>128</v>
      </c>
      <c r="L101" s="343" t="n">
        <v>128</v>
      </c>
      <c r="M101" s="343" t="n">
        <v>128</v>
      </c>
      <c r="N101" s="344">
        <f>SUM(J101:M101)</f>
        <v/>
      </c>
      <c r="O101" s="343" t="n">
        <v>130</v>
      </c>
      <c r="P101" s="343" t="n">
        <v>130</v>
      </c>
      <c r="Q101" s="343" t="n">
        <v>130</v>
      </c>
      <c r="R101" s="343" t="n">
        <v>130</v>
      </c>
      <c r="S101" s="344">
        <f>SUM(O101:R101)</f>
        <v/>
      </c>
      <c r="T101" s="343" t="n">
        <v>132</v>
      </c>
      <c r="U101" s="343" t="n">
        <v>132</v>
      </c>
      <c r="V101" s="343" t="n">
        <v>132</v>
      </c>
      <c r="W101" s="343" t="n">
        <v>132</v>
      </c>
      <c r="X101" s="344">
        <f>SUM(T101:W101)</f>
        <v/>
      </c>
      <c r="Y101" s="343" t="n">
        <v>142</v>
      </c>
      <c r="Z101" s="343" t="n">
        <v>142</v>
      </c>
      <c r="AA101" s="343" t="n">
        <v>142</v>
      </c>
      <c r="AB101" s="343" t="n">
        <v>142</v>
      </c>
      <c r="AC101" s="344">
        <f>SUM(Y101:AB101)</f>
        <v/>
      </c>
      <c r="AD101" s="343" t="n">
        <v>152</v>
      </c>
      <c r="AE101" s="343" t="n">
        <v>152</v>
      </c>
      <c r="AF101" s="343" t="n">
        <v>152</v>
      </c>
      <c r="AG101" s="343" t="n">
        <v>152</v>
      </c>
      <c r="AH101" s="344">
        <f>SUM(AD101:AG101)</f>
        <v/>
      </c>
      <c r="AI101" s="343" t="n">
        <v>160</v>
      </c>
      <c r="AJ101" s="343" t="n">
        <v>160</v>
      </c>
      <c r="AK101" s="343" t="n">
        <v>160</v>
      </c>
      <c r="AL101" s="343" t="n">
        <v>160</v>
      </c>
      <c r="AM101" s="344">
        <f>SUM(AI101:AL101)</f>
        <v/>
      </c>
      <c r="AN101" s="343" t="n">
        <v>168</v>
      </c>
      <c r="AO101" s="343" t="n">
        <v>168</v>
      </c>
      <c r="AP101" s="343" t="n">
        <v>168</v>
      </c>
      <c r="AQ101" s="343" t="n">
        <v>168</v>
      </c>
      <c r="AR101" s="344">
        <f>SUM(AN101:AQ101)</f>
        <v/>
      </c>
    </row>
    <row r="102" ht="13.5" customHeight="1" s="290">
      <c r="A102" s="345" t="n"/>
      <c r="B102" s="346" t="inlineStr">
        <is>
          <t xml:space="preserve">  National CRE Origination Volume — Total Market  —  ★ ACTIVE</t>
        </is>
      </c>
      <c r="E102" s="347">
        <f>IF('01 Cover &amp; Control'!$C$19="Base",E99,IF('01 Cover &amp; Control'!$C$19="Upside",E100,E101))</f>
        <v/>
      </c>
      <c r="F102" s="347">
        <f>IF('01 Cover &amp; Control'!$C$19="Base",F99,IF('01 Cover &amp; Control'!$C$19="Upside",F100,F101))</f>
        <v/>
      </c>
      <c r="G102" s="347">
        <f>IF('01 Cover &amp; Control'!$C$19="Base",G99,IF('01 Cover &amp; Control'!$C$19="Upside",G100,G101))</f>
        <v/>
      </c>
      <c r="H102" s="347">
        <f>IF('01 Cover &amp; Control'!$C$19="Base",H99,IF('01 Cover &amp; Control'!$C$19="Upside",H100,H101))</f>
        <v/>
      </c>
      <c r="I102" s="347">
        <f>SUM(E102:H102)</f>
        <v/>
      </c>
      <c r="J102" s="347">
        <f>IF('01 Cover &amp; Control'!$C$19="Base",J99,IF('01 Cover &amp; Control'!$C$19="Upside",J100,J101))</f>
        <v/>
      </c>
      <c r="K102" s="347">
        <f>IF('01 Cover &amp; Control'!$C$19="Base",K99,IF('01 Cover &amp; Control'!$C$19="Upside",K100,K101))</f>
        <v/>
      </c>
      <c r="L102" s="347">
        <f>IF('01 Cover &amp; Control'!$C$19="Base",L99,IF('01 Cover &amp; Control'!$C$19="Upside",L100,L101))</f>
        <v/>
      </c>
      <c r="M102" s="347">
        <f>IF('01 Cover &amp; Control'!$C$19="Base",M99,IF('01 Cover &amp; Control'!$C$19="Upside",M100,M101))</f>
        <v/>
      </c>
      <c r="N102" s="347">
        <f>SUM(J102:M102)</f>
        <v/>
      </c>
      <c r="O102" s="347">
        <f>IF('01 Cover &amp; Control'!$C$19="Base",O99,IF('01 Cover &amp; Control'!$C$19="Upside",O100,O101))</f>
        <v/>
      </c>
      <c r="P102" s="347">
        <f>IF('01 Cover &amp; Control'!$C$19="Base",P99,IF('01 Cover &amp; Control'!$C$19="Upside",P100,P101))</f>
        <v/>
      </c>
      <c r="Q102" s="347">
        <f>IF('01 Cover &amp; Control'!$C$19="Base",Q99,IF('01 Cover &amp; Control'!$C$19="Upside",Q100,Q101))</f>
        <v/>
      </c>
      <c r="R102" s="347">
        <f>IF('01 Cover &amp; Control'!$C$19="Base",R99,IF('01 Cover &amp; Control'!$C$19="Upside",R100,R101))</f>
        <v/>
      </c>
      <c r="S102" s="347">
        <f>SUM(O102:R102)</f>
        <v/>
      </c>
      <c r="T102" s="347">
        <f>IF('01 Cover &amp; Control'!$C$19="Base",T99,IF('01 Cover &amp; Control'!$C$19="Upside",T100,T101))</f>
        <v/>
      </c>
      <c r="U102" s="347">
        <f>IF('01 Cover &amp; Control'!$C$19="Base",U99,IF('01 Cover &amp; Control'!$C$19="Upside",U100,U101))</f>
        <v/>
      </c>
      <c r="V102" s="347">
        <f>IF('01 Cover &amp; Control'!$C$19="Base",V99,IF('01 Cover &amp; Control'!$C$19="Upside",V100,V101))</f>
        <v/>
      </c>
      <c r="W102" s="347">
        <f>IF('01 Cover &amp; Control'!$C$19="Base",W99,IF('01 Cover &amp; Control'!$C$19="Upside",W100,W101))</f>
        <v/>
      </c>
      <c r="X102" s="347">
        <f>SUM(T102:W102)</f>
        <v/>
      </c>
      <c r="Y102" s="347">
        <f>IF('01 Cover &amp; Control'!$C$19="Base",Y99,IF('01 Cover &amp; Control'!$C$19="Upside",Y100,Y101))</f>
        <v/>
      </c>
      <c r="Z102" s="347">
        <f>IF('01 Cover &amp; Control'!$C$19="Base",Z99,IF('01 Cover &amp; Control'!$C$19="Upside",Z100,Z101))</f>
        <v/>
      </c>
      <c r="AA102" s="347">
        <f>IF('01 Cover &amp; Control'!$C$19="Base",AA99,IF('01 Cover &amp; Control'!$C$19="Upside",AA100,AA101))</f>
        <v/>
      </c>
      <c r="AB102" s="347">
        <f>IF('01 Cover &amp; Control'!$C$19="Base",AB99,IF('01 Cover &amp; Control'!$C$19="Upside",AB100,AB101))</f>
        <v/>
      </c>
      <c r="AC102" s="347">
        <f>SUM(Y102:AB102)</f>
        <v/>
      </c>
      <c r="AD102" s="347">
        <f>IF('01 Cover &amp; Control'!$C$19="Base",AD99,IF('01 Cover &amp; Control'!$C$19="Upside",AD100,AD101))</f>
        <v/>
      </c>
      <c r="AE102" s="347">
        <f>IF('01 Cover &amp; Control'!$C$19="Base",AE99,IF('01 Cover &amp; Control'!$C$19="Upside",AE100,AE101))</f>
        <v/>
      </c>
      <c r="AF102" s="347">
        <f>IF('01 Cover &amp; Control'!$C$19="Base",AF99,IF('01 Cover &amp; Control'!$C$19="Upside",AF100,AF101))</f>
        <v/>
      </c>
      <c r="AG102" s="347">
        <f>IF('01 Cover &amp; Control'!$C$19="Base",AG99,IF('01 Cover &amp; Control'!$C$19="Upside",AG100,AG101))</f>
        <v/>
      </c>
      <c r="AH102" s="347">
        <f>SUM(AD102:AG102)</f>
        <v/>
      </c>
      <c r="AI102" s="347">
        <f>IF('01 Cover &amp; Control'!$C$19="Base",AI99,IF('01 Cover &amp; Control'!$C$19="Upside",AI100,AI101))</f>
        <v/>
      </c>
      <c r="AJ102" s="347">
        <f>IF('01 Cover &amp; Control'!$C$19="Base",AJ99,IF('01 Cover &amp; Control'!$C$19="Upside",AJ100,AJ101))</f>
        <v/>
      </c>
      <c r="AK102" s="347">
        <f>IF('01 Cover &amp; Control'!$C$19="Base",AK99,IF('01 Cover &amp; Control'!$C$19="Upside",AK100,AK101))</f>
        <v/>
      </c>
      <c r="AL102" s="347">
        <f>IF('01 Cover &amp; Control'!$C$19="Base",AL99,IF('01 Cover &amp; Control'!$C$19="Upside",AL100,AL101))</f>
        <v/>
      </c>
      <c r="AM102" s="347">
        <f>SUM(AI102:AL102)</f>
        <v/>
      </c>
      <c r="AN102" s="347">
        <f>IF('01 Cover &amp; Control'!$C$19="Base",AN99,IF('01 Cover &amp; Control'!$C$19="Upside",AN100,AN101))</f>
        <v/>
      </c>
      <c r="AO102" s="347">
        <f>IF('01 Cover &amp; Control'!$C$19="Base",AO99,IF('01 Cover &amp; Control'!$C$19="Upside",AO100,AO101))</f>
        <v/>
      </c>
      <c r="AP102" s="347">
        <f>IF('01 Cover &amp; Control'!$C$19="Base",AP99,IF('01 Cover &amp; Control'!$C$19="Upside",AP100,AP101))</f>
        <v/>
      </c>
      <c r="AQ102" s="347">
        <f>IF('01 Cover &amp; Control'!$C$19="Base",AQ99,IF('01 Cover &amp; Control'!$C$19="Upside",AQ100,AQ101))</f>
        <v/>
      </c>
      <c r="AR102" s="347">
        <f>SUM(AN102:AQ102)</f>
        <v/>
      </c>
    </row>
    <row r="103" ht="3.75" customHeight="1" s="290"/>
    <row r="104" ht="13.5" customHeight="1" s="290">
      <c r="A104" s="339" t="n"/>
      <c r="B104" s="340" t="inlineStr">
        <is>
          <t xml:space="preserve">  Refinancing Share of Total Originations  —  Base</t>
        </is>
      </c>
      <c r="C104" s="341" t="inlineStr">
        <is>
          <t>%</t>
        </is>
      </c>
      <c r="D104" s="342" t="inlineStr">
        <is>
          <t>MBA Quarterly Survey; Trepp loan maturity data</t>
        </is>
      </c>
      <c r="E104" s="343" t="n">
        <v>0.5</v>
      </c>
      <c r="F104" s="343" t="n">
        <v>0.5</v>
      </c>
      <c r="G104" s="343" t="n">
        <v>0.5</v>
      </c>
      <c r="H104" s="343" t="n">
        <v>0.5</v>
      </c>
      <c r="I104" s="344">
        <f>SUM(E104:H104)</f>
        <v/>
      </c>
      <c r="J104" s="343" t="n">
        <v>0.48</v>
      </c>
      <c r="K104" s="343" t="n">
        <v>0.48</v>
      </c>
      <c r="L104" s="343" t="n">
        <v>0.48</v>
      </c>
      <c r="M104" s="343" t="n">
        <v>0.48</v>
      </c>
      <c r="N104" s="344">
        <f>SUM(J104:M104)</f>
        <v/>
      </c>
      <c r="O104" s="343" t="n">
        <v>0.46</v>
      </c>
      <c r="P104" s="343" t="n">
        <v>0.46</v>
      </c>
      <c r="Q104" s="343" t="n">
        <v>0.46</v>
      </c>
      <c r="R104" s="343" t="n">
        <v>0.46</v>
      </c>
      <c r="S104" s="344">
        <f>SUM(O104:R104)</f>
        <v/>
      </c>
      <c r="T104" s="343" t="n">
        <v>0.45</v>
      </c>
      <c r="U104" s="343" t="n">
        <v>0.45</v>
      </c>
      <c r="V104" s="343" t="n">
        <v>0.45</v>
      </c>
      <c r="W104" s="343" t="n">
        <v>0.45</v>
      </c>
      <c r="X104" s="344">
        <f>SUM(T104:W104)</f>
        <v/>
      </c>
      <c r="Y104" s="343" t="n">
        <v>0.44</v>
      </c>
      <c r="Z104" s="343" t="n">
        <v>0.44</v>
      </c>
      <c r="AA104" s="343" t="n">
        <v>0.44</v>
      </c>
      <c r="AB104" s="343" t="n">
        <v>0.44</v>
      </c>
      <c r="AC104" s="344">
        <f>SUM(Y104:AB104)</f>
        <v/>
      </c>
      <c r="AD104" s="343" t="n">
        <v>0.43</v>
      </c>
      <c r="AE104" s="343" t="n">
        <v>0.43</v>
      </c>
      <c r="AF104" s="343" t="n">
        <v>0.43</v>
      </c>
      <c r="AG104" s="343" t="n">
        <v>0.43</v>
      </c>
      <c r="AH104" s="344">
        <f>SUM(AD104:AG104)</f>
        <v/>
      </c>
      <c r="AI104" s="343" t="n">
        <v>0.43</v>
      </c>
      <c r="AJ104" s="343" t="n">
        <v>0.43</v>
      </c>
      <c r="AK104" s="343" t="n">
        <v>0.43</v>
      </c>
      <c r="AL104" s="343" t="n">
        <v>0.43</v>
      </c>
      <c r="AM104" s="344">
        <f>SUM(AI104:AL104)</f>
        <v/>
      </c>
      <c r="AN104" s="343" t="n">
        <v>0.43</v>
      </c>
      <c r="AO104" s="343" t="n">
        <v>0.43</v>
      </c>
      <c r="AP104" s="343" t="n">
        <v>0.43</v>
      </c>
      <c r="AQ104" s="343" t="n">
        <v>0.43</v>
      </c>
      <c r="AR104" s="344">
        <f>SUM(AN104:AQ104)</f>
        <v/>
      </c>
    </row>
    <row r="105" ht="13.5" customHeight="1" s="290">
      <c r="A105" s="339" t="n"/>
      <c r="B105" s="340" t="inlineStr">
        <is>
          <t xml:space="preserve">  Refinancing Share of Total Originations  —  Upside</t>
        </is>
      </c>
      <c r="E105" s="343" t="n">
        <v>0.5</v>
      </c>
      <c r="F105" s="343" t="n">
        <v>0.5</v>
      </c>
      <c r="G105" s="343" t="n">
        <v>0.5</v>
      </c>
      <c r="H105" s="343" t="n">
        <v>0.5</v>
      </c>
      <c r="I105" s="344">
        <f>SUM(E105:H105)</f>
        <v/>
      </c>
      <c r="J105" s="343" t="n">
        <v>0.48</v>
      </c>
      <c r="K105" s="343" t="n">
        <v>0.48</v>
      </c>
      <c r="L105" s="343" t="n">
        <v>0.48</v>
      </c>
      <c r="M105" s="343" t="n">
        <v>0.48</v>
      </c>
      <c r="N105" s="344">
        <f>SUM(J105:M105)</f>
        <v/>
      </c>
      <c r="O105" s="343" t="n">
        <v>0.44</v>
      </c>
      <c r="P105" s="343" t="n">
        <v>0.44</v>
      </c>
      <c r="Q105" s="343" t="n">
        <v>0.44</v>
      </c>
      <c r="R105" s="343" t="n">
        <v>0.44</v>
      </c>
      <c r="S105" s="344">
        <f>SUM(O105:R105)</f>
        <v/>
      </c>
      <c r="T105" s="343" t="n">
        <v>0.41</v>
      </c>
      <c r="U105" s="343" t="n">
        <v>0.41</v>
      </c>
      <c r="V105" s="343" t="n">
        <v>0.41</v>
      </c>
      <c r="W105" s="343" t="n">
        <v>0.41</v>
      </c>
      <c r="X105" s="344">
        <f>SUM(T105:W105)</f>
        <v/>
      </c>
      <c r="Y105" s="343" t="n">
        <v>0.4</v>
      </c>
      <c r="Z105" s="343" t="n">
        <v>0.4</v>
      </c>
      <c r="AA105" s="343" t="n">
        <v>0.4</v>
      </c>
      <c r="AB105" s="343" t="n">
        <v>0.4</v>
      </c>
      <c r="AC105" s="344">
        <f>SUM(Y105:AB105)</f>
        <v/>
      </c>
      <c r="AD105" s="343" t="n">
        <v>0.39</v>
      </c>
      <c r="AE105" s="343" t="n">
        <v>0.39</v>
      </c>
      <c r="AF105" s="343" t="n">
        <v>0.39</v>
      </c>
      <c r="AG105" s="343" t="n">
        <v>0.39</v>
      </c>
      <c r="AH105" s="344">
        <f>SUM(AD105:AG105)</f>
        <v/>
      </c>
      <c r="AI105" s="343" t="n">
        <v>0.39</v>
      </c>
      <c r="AJ105" s="343" t="n">
        <v>0.39</v>
      </c>
      <c r="AK105" s="343" t="n">
        <v>0.39</v>
      </c>
      <c r="AL105" s="343" t="n">
        <v>0.39</v>
      </c>
      <c r="AM105" s="344">
        <f>SUM(AI105:AL105)</f>
        <v/>
      </c>
      <c r="AN105" s="343" t="n">
        <v>0.39</v>
      </c>
      <c r="AO105" s="343" t="n">
        <v>0.39</v>
      </c>
      <c r="AP105" s="343" t="n">
        <v>0.39</v>
      </c>
      <c r="AQ105" s="343" t="n">
        <v>0.39</v>
      </c>
      <c r="AR105" s="344">
        <f>SUM(AN105:AQ105)</f>
        <v/>
      </c>
    </row>
    <row r="106" ht="13.5" customHeight="1" s="290">
      <c r="A106" s="339" t="n"/>
      <c r="B106" s="340" t="inlineStr">
        <is>
          <t xml:space="preserve">  Refinancing Share of Total Originations  —  Downside</t>
        </is>
      </c>
      <c r="E106" s="343" t="n">
        <v>0.5</v>
      </c>
      <c r="F106" s="343" t="n">
        <v>0.5</v>
      </c>
      <c r="G106" s="343" t="n">
        <v>0.5</v>
      </c>
      <c r="H106" s="343" t="n">
        <v>0.5</v>
      </c>
      <c r="I106" s="344">
        <f>SUM(E106:H106)</f>
        <v/>
      </c>
      <c r="J106" s="343" t="n">
        <v>0.48</v>
      </c>
      <c r="K106" s="343" t="n">
        <v>0.48</v>
      </c>
      <c r="L106" s="343" t="n">
        <v>0.48</v>
      </c>
      <c r="M106" s="343" t="n">
        <v>0.48</v>
      </c>
      <c r="N106" s="344">
        <f>SUM(J106:M106)</f>
        <v/>
      </c>
      <c r="O106" s="343" t="n">
        <v>0.52</v>
      </c>
      <c r="P106" s="343" t="n">
        <v>0.52</v>
      </c>
      <c r="Q106" s="343" t="n">
        <v>0.52</v>
      </c>
      <c r="R106" s="343" t="n">
        <v>0.52</v>
      </c>
      <c r="S106" s="344">
        <f>SUM(O106:R106)</f>
        <v/>
      </c>
      <c r="T106" s="343" t="n">
        <v>0.58</v>
      </c>
      <c r="U106" s="343" t="n">
        <v>0.58</v>
      </c>
      <c r="V106" s="343" t="n">
        <v>0.58</v>
      </c>
      <c r="W106" s="343" t="n">
        <v>0.58</v>
      </c>
      <c r="X106" s="344">
        <f>SUM(T106:W106)</f>
        <v/>
      </c>
      <c r="Y106" s="343" t="n">
        <v>0.5600000000000001</v>
      </c>
      <c r="Z106" s="343" t="n">
        <v>0.5600000000000001</v>
      </c>
      <c r="AA106" s="343" t="n">
        <v>0.5600000000000001</v>
      </c>
      <c r="AB106" s="343" t="n">
        <v>0.5600000000000001</v>
      </c>
      <c r="AC106" s="344">
        <f>SUM(Y106:AB106)</f>
        <v/>
      </c>
      <c r="AD106" s="343" t="n">
        <v>0.54</v>
      </c>
      <c r="AE106" s="343" t="n">
        <v>0.54</v>
      </c>
      <c r="AF106" s="343" t="n">
        <v>0.54</v>
      </c>
      <c r="AG106" s="343" t="n">
        <v>0.54</v>
      </c>
      <c r="AH106" s="344">
        <f>SUM(AD106:AG106)</f>
        <v/>
      </c>
      <c r="AI106" s="343" t="n">
        <v>0.52</v>
      </c>
      <c r="AJ106" s="343" t="n">
        <v>0.52</v>
      </c>
      <c r="AK106" s="343" t="n">
        <v>0.52</v>
      </c>
      <c r="AL106" s="343" t="n">
        <v>0.52</v>
      </c>
      <c r="AM106" s="344">
        <f>SUM(AI106:AL106)</f>
        <v/>
      </c>
      <c r="AN106" s="343" t="n">
        <v>0.5</v>
      </c>
      <c r="AO106" s="343" t="n">
        <v>0.5</v>
      </c>
      <c r="AP106" s="343" t="n">
        <v>0.5</v>
      </c>
      <c r="AQ106" s="343" t="n">
        <v>0.5</v>
      </c>
      <c r="AR106" s="344">
        <f>SUM(AN106:AQ106)</f>
        <v/>
      </c>
    </row>
    <row r="107" ht="13.5" customHeight="1" s="290">
      <c r="A107" s="345" t="n"/>
      <c r="B107" s="346" t="inlineStr">
        <is>
          <t xml:space="preserve">  Refinancing Share of Total Originations  —  ★ ACTIVE</t>
        </is>
      </c>
      <c r="E107" s="347">
        <f>IF('01 Cover &amp; Control'!$C$19="Base",E104,IF('01 Cover &amp; Control'!$C$19="Upside",E105,E106))</f>
        <v/>
      </c>
      <c r="F107" s="347">
        <f>IF('01 Cover &amp; Control'!$C$19="Base",F104,IF('01 Cover &amp; Control'!$C$19="Upside",F105,F106))</f>
        <v/>
      </c>
      <c r="G107" s="347">
        <f>IF('01 Cover &amp; Control'!$C$19="Base",G104,IF('01 Cover &amp; Control'!$C$19="Upside",G105,G106))</f>
        <v/>
      </c>
      <c r="H107" s="347">
        <f>IF('01 Cover &amp; Control'!$C$19="Base",H104,IF('01 Cover &amp; Control'!$C$19="Upside",H105,H106))</f>
        <v/>
      </c>
      <c r="I107" s="347">
        <f>SUM(E107:H107)</f>
        <v/>
      </c>
      <c r="J107" s="347">
        <f>IF('01 Cover &amp; Control'!$C$19="Base",J104,IF('01 Cover &amp; Control'!$C$19="Upside",J105,J106))</f>
        <v/>
      </c>
      <c r="K107" s="347">
        <f>IF('01 Cover &amp; Control'!$C$19="Base",K104,IF('01 Cover &amp; Control'!$C$19="Upside",K105,K106))</f>
        <v/>
      </c>
      <c r="L107" s="347">
        <f>IF('01 Cover &amp; Control'!$C$19="Base",L104,IF('01 Cover &amp; Control'!$C$19="Upside",L105,L106))</f>
        <v/>
      </c>
      <c r="M107" s="347">
        <f>IF('01 Cover &amp; Control'!$C$19="Base",M104,IF('01 Cover &amp; Control'!$C$19="Upside",M105,M106))</f>
        <v/>
      </c>
      <c r="N107" s="347">
        <f>SUM(J107:M107)</f>
        <v/>
      </c>
      <c r="O107" s="347">
        <f>IF('01 Cover &amp; Control'!$C$19="Base",O104,IF('01 Cover &amp; Control'!$C$19="Upside",O105,O106))</f>
        <v/>
      </c>
      <c r="P107" s="347">
        <f>IF('01 Cover &amp; Control'!$C$19="Base",P104,IF('01 Cover &amp; Control'!$C$19="Upside",P105,P106))</f>
        <v/>
      </c>
      <c r="Q107" s="347">
        <f>IF('01 Cover &amp; Control'!$C$19="Base",Q104,IF('01 Cover &amp; Control'!$C$19="Upside",Q105,Q106))</f>
        <v/>
      </c>
      <c r="R107" s="347">
        <f>IF('01 Cover &amp; Control'!$C$19="Base",R104,IF('01 Cover &amp; Control'!$C$19="Upside",R105,R106))</f>
        <v/>
      </c>
      <c r="S107" s="347">
        <f>SUM(O107:R107)</f>
        <v/>
      </c>
      <c r="T107" s="347">
        <f>IF('01 Cover &amp; Control'!$C$19="Base",T104,IF('01 Cover &amp; Control'!$C$19="Upside",T105,T106))</f>
        <v/>
      </c>
      <c r="U107" s="347">
        <f>IF('01 Cover &amp; Control'!$C$19="Base",U104,IF('01 Cover &amp; Control'!$C$19="Upside",U105,U106))</f>
        <v/>
      </c>
      <c r="V107" s="347">
        <f>IF('01 Cover &amp; Control'!$C$19="Base",V104,IF('01 Cover &amp; Control'!$C$19="Upside",V105,V106))</f>
        <v/>
      </c>
      <c r="W107" s="347">
        <f>IF('01 Cover &amp; Control'!$C$19="Base",W104,IF('01 Cover &amp; Control'!$C$19="Upside",W105,W106))</f>
        <v/>
      </c>
      <c r="X107" s="347">
        <f>SUM(T107:W107)</f>
        <v/>
      </c>
      <c r="Y107" s="347">
        <f>IF('01 Cover &amp; Control'!$C$19="Base",Y104,IF('01 Cover &amp; Control'!$C$19="Upside",Y105,Y106))</f>
        <v/>
      </c>
      <c r="Z107" s="347">
        <f>IF('01 Cover &amp; Control'!$C$19="Base",Z104,IF('01 Cover &amp; Control'!$C$19="Upside",Z105,Z106))</f>
        <v/>
      </c>
      <c r="AA107" s="347">
        <f>IF('01 Cover &amp; Control'!$C$19="Base",AA104,IF('01 Cover &amp; Control'!$C$19="Upside",AA105,AA106))</f>
        <v/>
      </c>
      <c r="AB107" s="347">
        <f>IF('01 Cover &amp; Control'!$C$19="Base",AB104,IF('01 Cover &amp; Control'!$C$19="Upside",AB105,AB106))</f>
        <v/>
      </c>
      <c r="AC107" s="347">
        <f>SUM(Y107:AB107)</f>
        <v/>
      </c>
      <c r="AD107" s="347">
        <f>IF('01 Cover &amp; Control'!$C$19="Base",AD104,IF('01 Cover &amp; Control'!$C$19="Upside",AD105,AD106))</f>
        <v/>
      </c>
      <c r="AE107" s="347">
        <f>IF('01 Cover &amp; Control'!$C$19="Base",AE104,IF('01 Cover &amp; Control'!$C$19="Upside",AE105,AE106))</f>
        <v/>
      </c>
      <c r="AF107" s="347">
        <f>IF('01 Cover &amp; Control'!$C$19="Base",AF104,IF('01 Cover &amp; Control'!$C$19="Upside",AF105,AF106))</f>
        <v/>
      </c>
      <c r="AG107" s="347">
        <f>IF('01 Cover &amp; Control'!$C$19="Base",AG104,IF('01 Cover &amp; Control'!$C$19="Upside",AG105,AG106))</f>
        <v/>
      </c>
      <c r="AH107" s="347">
        <f>SUM(AD107:AG107)</f>
        <v/>
      </c>
      <c r="AI107" s="347">
        <f>IF('01 Cover &amp; Control'!$C$19="Base",AI104,IF('01 Cover &amp; Control'!$C$19="Upside",AI105,AI106))</f>
        <v/>
      </c>
      <c r="AJ107" s="347">
        <f>IF('01 Cover &amp; Control'!$C$19="Base",AJ104,IF('01 Cover &amp; Control'!$C$19="Upside",AJ105,AJ106))</f>
        <v/>
      </c>
      <c r="AK107" s="347">
        <f>IF('01 Cover &amp; Control'!$C$19="Base",AK104,IF('01 Cover &amp; Control'!$C$19="Upside",AK105,AK106))</f>
        <v/>
      </c>
      <c r="AL107" s="347">
        <f>IF('01 Cover &amp; Control'!$C$19="Base",AL104,IF('01 Cover &amp; Control'!$C$19="Upside",AL105,AL106))</f>
        <v/>
      </c>
      <c r="AM107" s="347">
        <f>SUM(AI107:AL107)</f>
        <v/>
      </c>
      <c r="AN107" s="347">
        <f>IF('01 Cover &amp; Control'!$C$19="Base",AN104,IF('01 Cover &amp; Control'!$C$19="Upside",AN105,AN106))</f>
        <v/>
      </c>
      <c r="AO107" s="347">
        <f>IF('01 Cover &amp; Control'!$C$19="Base",AO104,IF('01 Cover &amp; Control'!$C$19="Upside",AO105,AO106))</f>
        <v/>
      </c>
      <c r="AP107" s="347">
        <f>IF('01 Cover &amp; Control'!$C$19="Base",AP104,IF('01 Cover &amp; Control'!$C$19="Upside",AP105,AP106))</f>
        <v/>
      </c>
      <c r="AQ107" s="347">
        <f>IF('01 Cover &amp; Control'!$C$19="Base",AQ104,IF('01 Cover &amp; Control'!$C$19="Upside",AQ105,AQ106))</f>
        <v/>
      </c>
      <c r="AR107" s="347">
        <f>SUM(AN107:AQ107)</f>
        <v/>
      </c>
    </row>
    <row r="108" ht="4.5" customHeight="1" s="290"/>
    <row r="109" ht="3" customHeight="1" s="290">
      <c r="A109" s="293" t="n"/>
    </row>
    <row r="110" ht="4.5" customHeight="1" s="290"/>
    <row r="111" ht="15.75" customHeight="1" s="290">
      <c r="A111" s="338" t="inlineStr">
        <is>
          <t xml:space="preserve">  SECTION C — FEE RATE ENVIRONMENT</t>
        </is>
      </c>
    </row>
    <row r="112" ht="3.75" customHeight="1" s="290"/>
    <row r="113" ht="15" customHeight="1" s="290">
      <c r="A113" s="307" t="inlineStr">
        <is>
          <t xml:space="preserve">    C1 — INVESTMENT SALES COMMISSION RATES (BPS)</t>
        </is>
      </c>
    </row>
    <row r="114" ht="13.5" customHeight="1" s="290">
      <c r="B114" s="351" t="inlineStr">
        <is>
          <t xml:space="preserve">  Industry norm: smaller deals = higher bps (rate compression on larger deals). CHECK row validates ordering. Source: MMI 10-K commission disclosures; industry surveys.</t>
        </is>
      </c>
    </row>
    <row r="115" ht="3" customHeight="1" s="290"/>
    <row r="116" ht="13.5" customHeight="1" s="290">
      <c r="A116" s="339" t="n"/>
      <c r="B116" s="340" t="inlineStr">
        <is>
          <t xml:space="preserve">  IS Commission — Small Deals (&lt;$10M)  —  Base</t>
        </is>
      </c>
      <c r="C116" s="341" t="inlineStr">
        <is>
          <t>bps</t>
        </is>
      </c>
      <c r="D116" s="342" t="inlineStr">
        <is>
          <t>Marcus &amp; Millichap 10-K; industry surveys. Typical range: 100–200 bps.</t>
        </is>
      </c>
      <c r="E116" s="343" t="n">
        <v>175</v>
      </c>
      <c r="F116" s="343" t="n">
        <v>175</v>
      </c>
      <c r="G116" s="343" t="n">
        <v>175</v>
      </c>
      <c r="H116" s="343" t="n">
        <v>175</v>
      </c>
      <c r="I116" s="344">
        <f>SUM(E116:H116)</f>
        <v/>
      </c>
      <c r="J116" s="343" t="n">
        <v>175</v>
      </c>
      <c r="K116" s="343" t="n">
        <v>175</v>
      </c>
      <c r="L116" s="343" t="n">
        <v>175</v>
      </c>
      <c r="M116" s="343" t="n">
        <v>175</v>
      </c>
      <c r="N116" s="344">
        <f>SUM(J116:M116)</f>
        <v/>
      </c>
      <c r="O116" s="343" t="n">
        <v>175</v>
      </c>
      <c r="P116" s="343" t="n">
        <v>175</v>
      </c>
      <c r="Q116" s="343" t="n">
        <v>175</v>
      </c>
      <c r="R116" s="343" t="n">
        <v>175</v>
      </c>
      <c r="S116" s="344">
        <f>SUM(O116:R116)</f>
        <v/>
      </c>
      <c r="T116" s="343" t="n">
        <v>175</v>
      </c>
      <c r="U116" s="343" t="n">
        <v>175</v>
      </c>
      <c r="V116" s="343" t="n">
        <v>175</v>
      </c>
      <c r="W116" s="343" t="n">
        <v>175</v>
      </c>
      <c r="X116" s="344">
        <f>SUM(T116:W116)</f>
        <v/>
      </c>
      <c r="Y116" s="343" t="n">
        <v>175</v>
      </c>
      <c r="Z116" s="343" t="n">
        <v>175</v>
      </c>
      <c r="AA116" s="343" t="n">
        <v>175</v>
      </c>
      <c r="AB116" s="343" t="n">
        <v>175</v>
      </c>
      <c r="AC116" s="344">
        <f>SUM(Y116:AB116)</f>
        <v/>
      </c>
      <c r="AD116" s="343" t="n">
        <v>175</v>
      </c>
      <c r="AE116" s="343" t="n">
        <v>175</v>
      </c>
      <c r="AF116" s="343" t="n">
        <v>175</v>
      </c>
      <c r="AG116" s="343" t="n">
        <v>175</v>
      </c>
      <c r="AH116" s="344">
        <f>SUM(AD116:AG116)</f>
        <v/>
      </c>
      <c r="AI116" s="343" t="n">
        <v>175</v>
      </c>
      <c r="AJ116" s="343" t="n">
        <v>175</v>
      </c>
      <c r="AK116" s="343" t="n">
        <v>175</v>
      </c>
      <c r="AL116" s="343" t="n">
        <v>175</v>
      </c>
      <c r="AM116" s="344">
        <f>SUM(AI116:AL116)</f>
        <v/>
      </c>
      <c r="AN116" s="343" t="n">
        <v>175</v>
      </c>
      <c r="AO116" s="343" t="n">
        <v>175</v>
      </c>
      <c r="AP116" s="343" t="n">
        <v>175</v>
      </c>
      <c r="AQ116" s="343" t="n">
        <v>175</v>
      </c>
      <c r="AR116" s="344">
        <f>SUM(AN116:AQ116)</f>
        <v/>
      </c>
    </row>
    <row r="117" ht="13.5" customHeight="1" s="290">
      <c r="A117" s="339" t="n"/>
      <c r="B117" s="340" t="inlineStr">
        <is>
          <t xml:space="preserve">  IS Commission — Small Deals (&lt;$10M)  —  Upside</t>
        </is>
      </c>
      <c r="E117" s="343" t="n">
        <v>175</v>
      </c>
      <c r="F117" s="343" t="n">
        <v>175</v>
      </c>
      <c r="G117" s="343" t="n">
        <v>175</v>
      </c>
      <c r="H117" s="343" t="n">
        <v>175</v>
      </c>
      <c r="I117" s="344">
        <f>SUM(E117:H117)</f>
        <v/>
      </c>
      <c r="J117" s="343" t="n">
        <v>175</v>
      </c>
      <c r="K117" s="343" t="n">
        <v>175</v>
      </c>
      <c r="L117" s="343" t="n">
        <v>175</v>
      </c>
      <c r="M117" s="343" t="n">
        <v>175</v>
      </c>
      <c r="N117" s="344">
        <f>SUM(J117:M117)</f>
        <v/>
      </c>
      <c r="O117" s="343" t="n">
        <v>175</v>
      </c>
      <c r="P117" s="343" t="n">
        <v>175</v>
      </c>
      <c r="Q117" s="343" t="n">
        <v>175</v>
      </c>
      <c r="R117" s="343" t="n">
        <v>175</v>
      </c>
      <c r="S117" s="344">
        <f>SUM(O117:R117)</f>
        <v/>
      </c>
      <c r="T117" s="343" t="n">
        <v>175</v>
      </c>
      <c r="U117" s="343" t="n">
        <v>175</v>
      </c>
      <c r="V117" s="343" t="n">
        <v>175</v>
      </c>
      <c r="W117" s="343" t="n">
        <v>175</v>
      </c>
      <c r="X117" s="344">
        <f>SUM(T117:W117)</f>
        <v/>
      </c>
      <c r="Y117" s="343" t="n">
        <v>175</v>
      </c>
      <c r="Z117" s="343" t="n">
        <v>175</v>
      </c>
      <c r="AA117" s="343" t="n">
        <v>175</v>
      </c>
      <c r="AB117" s="343" t="n">
        <v>175</v>
      </c>
      <c r="AC117" s="344">
        <f>SUM(Y117:AB117)</f>
        <v/>
      </c>
      <c r="AD117" s="343" t="n">
        <v>175</v>
      </c>
      <c r="AE117" s="343" t="n">
        <v>175</v>
      </c>
      <c r="AF117" s="343" t="n">
        <v>175</v>
      </c>
      <c r="AG117" s="343" t="n">
        <v>175</v>
      </c>
      <c r="AH117" s="344">
        <f>SUM(AD117:AG117)</f>
        <v/>
      </c>
      <c r="AI117" s="343" t="n">
        <v>175</v>
      </c>
      <c r="AJ117" s="343" t="n">
        <v>175</v>
      </c>
      <c r="AK117" s="343" t="n">
        <v>175</v>
      </c>
      <c r="AL117" s="343" t="n">
        <v>175</v>
      </c>
      <c r="AM117" s="344">
        <f>SUM(AI117:AL117)</f>
        <v/>
      </c>
      <c r="AN117" s="343" t="n">
        <v>175</v>
      </c>
      <c r="AO117" s="343" t="n">
        <v>175</v>
      </c>
      <c r="AP117" s="343" t="n">
        <v>175</v>
      </c>
      <c r="AQ117" s="343" t="n">
        <v>175</v>
      </c>
      <c r="AR117" s="344">
        <f>SUM(AN117:AQ117)</f>
        <v/>
      </c>
    </row>
    <row r="118" ht="13.5" customHeight="1" s="290">
      <c r="A118" s="339" t="n"/>
      <c r="B118" s="340" t="inlineStr">
        <is>
          <t xml:space="preserve">  IS Commission — Small Deals (&lt;$10M)  —  Downside</t>
        </is>
      </c>
      <c r="E118" s="343" t="n">
        <v>175</v>
      </c>
      <c r="F118" s="343" t="n">
        <v>175</v>
      </c>
      <c r="G118" s="343" t="n">
        <v>175</v>
      </c>
      <c r="H118" s="343" t="n">
        <v>175</v>
      </c>
      <c r="I118" s="344">
        <f>SUM(E118:H118)</f>
        <v/>
      </c>
      <c r="J118" s="343" t="n">
        <v>175</v>
      </c>
      <c r="K118" s="343" t="n">
        <v>175</v>
      </c>
      <c r="L118" s="343" t="n">
        <v>175</v>
      </c>
      <c r="M118" s="343" t="n">
        <v>175</v>
      </c>
      <c r="N118" s="344">
        <f>SUM(J118:M118)</f>
        <v/>
      </c>
      <c r="O118" s="343" t="n">
        <v>175</v>
      </c>
      <c r="P118" s="343" t="n">
        <v>175</v>
      </c>
      <c r="Q118" s="343" t="n">
        <v>175</v>
      </c>
      <c r="R118" s="343" t="n">
        <v>175</v>
      </c>
      <c r="S118" s="344">
        <f>SUM(O118:R118)</f>
        <v/>
      </c>
      <c r="T118" s="343" t="n">
        <v>175</v>
      </c>
      <c r="U118" s="343" t="n">
        <v>175</v>
      </c>
      <c r="V118" s="343" t="n">
        <v>175</v>
      </c>
      <c r="W118" s="343" t="n">
        <v>175</v>
      </c>
      <c r="X118" s="344">
        <f>SUM(T118:W118)</f>
        <v/>
      </c>
      <c r="Y118" s="343" t="n">
        <v>175</v>
      </c>
      <c r="Z118" s="343" t="n">
        <v>175</v>
      </c>
      <c r="AA118" s="343" t="n">
        <v>175</v>
      </c>
      <c r="AB118" s="343" t="n">
        <v>175</v>
      </c>
      <c r="AC118" s="344">
        <f>SUM(Y118:AB118)</f>
        <v/>
      </c>
      <c r="AD118" s="343" t="n">
        <v>175</v>
      </c>
      <c r="AE118" s="343" t="n">
        <v>175</v>
      </c>
      <c r="AF118" s="343" t="n">
        <v>175</v>
      </c>
      <c r="AG118" s="343" t="n">
        <v>175</v>
      </c>
      <c r="AH118" s="344">
        <f>SUM(AD118:AG118)</f>
        <v/>
      </c>
      <c r="AI118" s="343" t="n">
        <v>175</v>
      </c>
      <c r="AJ118" s="343" t="n">
        <v>175</v>
      </c>
      <c r="AK118" s="343" t="n">
        <v>175</v>
      </c>
      <c r="AL118" s="343" t="n">
        <v>175</v>
      </c>
      <c r="AM118" s="344">
        <f>SUM(AI118:AL118)</f>
        <v/>
      </c>
      <c r="AN118" s="343" t="n">
        <v>175</v>
      </c>
      <c r="AO118" s="343" t="n">
        <v>175</v>
      </c>
      <c r="AP118" s="343" t="n">
        <v>175</v>
      </c>
      <c r="AQ118" s="343" t="n">
        <v>175</v>
      </c>
      <c r="AR118" s="344">
        <f>SUM(AN118:AQ118)</f>
        <v/>
      </c>
    </row>
    <row r="119" ht="13.5" customHeight="1" s="290">
      <c r="A119" s="345" t="n"/>
      <c r="B119" s="346" t="inlineStr">
        <is>
          <t xml:space="preserve">  IS Commission — Small Deals (&lt;$10M)  —  ★ ACTIVE</t>
        </is>
      </c>
      <c r="E119" s="347">
        <f>IF('01 Cover &amp; Control'!$C$19="Base",E116,IF('01 Cover &amp; Control'!$C$19="Upside",E117,E118))</f>
        <v/>
      </c>
      <c r="F119" s="347">
        <f>IF('01 Cover &amp; Control'!$C$19="Base",F116,IF('01 Cover &amp; Control'!$C$19="Upside",F117,F118))</f>
        <v/>
      </c>
      <c r="G119" s="347">
        <f>IF('01 Cover &amp; Control'!$C$19="Base",G116,IF('01 Cover &amp; Control'!$C$19="Upside",G117,G118))</f>
        <v/>
      </c>
      <c r="H119" s="347">
        <f>IF('01 Cover &amp; Control'!$C$19="Base",H116,IF('01 Cover &amp; Control'!$C$19="Upside",H117,H118))</f>
        <v/>
      </c>
      <c r="I119" s="347">
        <f>SUM(E119:H119)</f>
        <v/>
      </c>
      <c r="J119" s="347">
        <f>IF('01 Cover &amp; Control'!$C$19="Base",J116,IF('01 Cover &amp; Control'!$C$19="Upside",J117,J118))</f>
        <v/>
      </c>
      <c r="K119" s="347">
        <f>IF('01 Cover &amp; Control'!$C$19="Base",K116,IF('01 Cover &amp; Control'!$C$19="Upside",K117,K118))</f>
        <v/>
      </c>
      <c r="L119" s="347">
        <f>IF('01 Cover &amp; Control'!$C$19="Base",L116,IF('01 Cover &amp; Control'!$C$19="Upside",L117,L118))</f>
        <v/>
      </c>
      <c r="M119" s="347">
        <f>IF('01 Cover &amp; Control'!$C$19="Base",M116,IF('01 Cover &amp; Control'!$C$19="Upside",M117,M118))</f>
        <v/>
      </c>
      <c r="N119" s="347">
        <f>SUM(J119:M119)</f>
        <v/>
      </c>
      <c r="O119" s="347">
        <f>IF('01 Cover &amp; Control'!$C$19="Base",O116,IF('01 Cover &amp; Control'!$C$19="Upside",O117,O118))</f>
        <v/>
      </c>
      <c r="P119" s="347">
        <f>IF('01 Cover &amp; Control'!$C$19="Base",P116,IF('01 Cover &amp; Control'!$C$19="Upside",P117,P118))</f>
        <v/>
      </c>
      <c r="Q119" s="347">
        <f>IF('01 Cover &amp; Control'!$C$19="Base",Q116,IF('01 Cover &amp; Control'!$C$19="Upside",Q117,Q118))</f>
        <v/>
      </c>
      <c r="R119" s="347">
        <f>IF('01 Cover &amp; Control'!$C$19="Base",R116,IF('01 Cover &amp; Control'!$C$19="Upside",R117,R118))</f>
        <v/>
      </c>
      <c r="S119" s="347">
        <f>SUM(O119:R119)</f>
        <v/>
      </c>
      <c r="T119" s="347">
        <f>IF('01 Cover &amp; Control'!$C$19="Base",T116,IF('01 Cover &amp; Control'!$C$19="Upside",T117,T118))</f>
        <v/>
      </c>
      <c r="U119" s="347">
        <f>IF('01 Cover &amp; Control'!$C$19="Base",U116,IF('01 Cover &amp; Control'!$C$19="Upside",U117,U118))</f>
        <v/>
      </c>
      <c r="V119" s="347">
        <f>IF('01 Cover &amp; Control'!$C$19="Base",V116,IF('01 Cover &amp; Control'!$C$19="Upside",V117,V118))</f>
        <v/>
      </c>
      <c r="W119" s="347">
        <f>IF('01 Cover &amp; Control'!$C$19="Base",W116,IF('01 Cover &amp; Control'!$C$19="Upside",W117,W118))</f>
        <v/>
      </c>
      <c r="X119" s="347">
        <f>SUM(T119:W119)</f>
        <v/>
      </c>
      <c r="Y119" s="347">
        <f>IF('01 Cover &amp; Control'!$C$19="Base",Y116,IF('01 Cover &amp; Control'!$C$19="Upside",Y117,Y118))</f>
        <v/>
      </c>
      <c r="Z119" s="347">
        <f>IF('01 Cover &amp; Control'!$C$19="Base",Z116,IF('01 Cover &amp; Control'!$C$19="Upside",Z117,Z118))</f>
        <v/>
      </c>
      <c r="AA119" s="347">
        <f>IF('01 Cover &amp; Control'!$C$19="Base",AA116,IF('01 Cover &amp; Control'!$C$19="Upside",AA117,AA118))</f>
        <v/>
      </c>
      <c r="AB119" s="347">
        <f>IF('01 Cover &amp; Control'!$C$19="Base",AB116,IF('01 Cover &amp; Control'!$C$19="Upside",AB117,AB118))</f>
        <v/>
      </c>
      <c r="AC119" s="347">
        <f>SUM(Y119:AB119)</f>
        <v/>
      </c>
      <c r="AD119" s="347">
        <f>IF('01 Cover &amp; Control'!$C$19="Base",AD116,IF('01 Cover &amp; Control'!$C$19="Upside",AD117,AD118))</f>
        <v/>
      </c>
      <c r="AE119" s="347">
        <f>IF('01 Cover &amp; Control'!$C$19="Base",AE116,IF('01 Cover &amp; Control'!$C$19="Upside",AE117,AE118))</f>
        <v/>
      </c>
      <c r="AF119" s="347">
        <f>IF('01 Cover &amp; Control'!$C$19="Base",AF116,IF('01 Cover &amp; Control'!$C$19="Upside",AF117,AF118))</f>
        <v/>
      </c>
      <c r="AG119" s="347">
        <f>IF('01 Cover &amp; Control'!$C$19="Base",AG116,IF('01 Cover &amp; Control'!$C$19="Upside",AG117,AG118))</f>
        <v/>
      </c>
      <c r="AH119" s="347">
        <f>SUM(AD119:AG119)</f>
        <v/>
      </c>
      <c r="AI119" s="347">
        <f>IF('01 Cover &amp; Control'!$C$19="Base",AI116,IF('01 Cover &amp; Control'!$C$19="Upside",AI117,AI118))</f>
        <v/>
      </c>
      <c r="AJ119" s="347">
        <f>IF('01 Cover &amp; Control'!$C$19="Base",AJ116,IF('01 Cover &amp; Control'!$C$19="Upside",AJ117,AJ118))</f>
        <v/>
      </c>
      <c r="AK119" s="347">
        <f>IF('01 Cover &amp; Control'!$C$19="Base",AK116,IF('01 Cover &amp; Control'!$C$19="Upside",AK117,AK118))</f>
        <v/>
      </c>
      <c r="AL119" s="347">
        <f>IF('01 Cover &amp; Control'!$C$19="Base",AL116,IF('01 Cover &amp; Control'!$C$19="Upside",AL117,AL118))</f>
        <v/>
      </c>
      <c r="AM119" s="347">
        <f>SUM(AI119:AL119)</f>
        <v/>
      </c>
      <c r="AN119" s="347">
        <f>IF('01 Cover &amp; Control'!$C$19="Base",AN116,IF('01 Cover &amp; Control'!$C$19="Upside",AN117,AN118))</f>
        <v/>
      </c>
      <c r="AO119" s="347">
        <f>IF('01 Cover &amp; Control'!$C$19="Base",AO116,IF('01 Cover &amp; Control'!$C$19="Upside",AO117,AO118))</f>
        <v/>
      </c>
      <c r="AP119" s="347">
        <f>IF('01 Cover &amp; Control'!$C$19="Base",AP116,IF('01 Cover &amp; Control'!$C$19="Upside",AP117,AP118))</f>
        <v/>
      </c>
      <c r="AQ119" s="347">
        <f>IF('01 Cover &amp; Control'!$C$19="Base",AQ116,IF('01 Cover &amp; Control'!$C$19="Upside",AQ117,AQ118))</f>
        <v/>
      </c>
      <c r="AR119" s="347">
        <f>SUM(AN119:AQ119)</f>
        <v/>
      </c>
    </row>
    <row r="120" ht="3.75" customHeight="1" s="290"/>
    <row r="121" ht="13.5" customHeight="1" s="290">
      <c r="A121" s="339" t="n"/>
      <c r="B121" s="340" t="inlineStr">
        <is>
          <t xml:space="preserve">  IS Commission — Mid Market ($10–$50M)  —  Base</t>
        </is>
      </c>
      <c r="C121" s="341" t="inlineStr">
        <is>
          <t>bps</t>
        </is>
      </c>
      <c r="D121" s="342" t="inlineStr">
        <is>
          <t>CBRE; JLL; broker interviews. Typical range: 75–120 bps.</t>
        </is>
      </c>
      <c r="E121" s="343" t="n">
        <v>110</v>
      </c>
      <c r="F121" s="343" t="n">
        <v>110</v>
      </c>
      <c r="G121" s="343" t="n">
        <v>110</v>
      </c>
      <c r="H121" s="343" t="n">
        <v>110</v>
      </c>
      <c r="I121" s="344">
        <f>SUM(E121:H121)</f>
        <v/>
      </c>
      <c r="J121" s="343" t="n">
        <v>110</v>
      </c>
      <c r="K121" s="343" t="n">
        <v>110</v>
      </c>
      <c r="L121" s="343" t="n">
        <v>110</v>
      </c>
      <c r="M121" s="343" t="n">
        <v>110</v>
      </c>
      <c r="N121" s="344">
        <f>SUM(J121:M121)</f>
        <v/>
      </c>
      <c r="O121" s="343" t="n">
        <v>110</v>
      </c>
      <c r="P121" s="343" t="n">
        <v>110</v>
      </c>
      <c r="Q121" s="343" t="n">
        <v>110</v>
      </c>
      <c r="R121" s="343" t="n">
        <v>110</v>
      </c>
      <c r="S121" s="344">
        <f>SUM(O121:R121)</f>
        <v/>
      </c>
      <c r="T121" s="343" t="n">
        <v>110</v>
      </c>
      <c r="U121" s="343" t="n">
        <v>110</v>
      </c>
      <c r="V121" s="343" t="n">
        <v>110</v>
      </c>
      <c r="W121" s="343" t="n">
        <v>110</v>
      </c>
      <c r="X121" s="344">
        <f>SUM(T121:W121)</f>
        <v/>
      </c>
      <c r="Y121" s="343" t="n">
        <v>110</v>
      </c>
      <c r="Z121" s="343" t="n">
        <v>110</v>
      </c>
      <c r="AA121" s="343" t="n">
        <v>110</v>
      </c>
      <c r="AB121" s="343" t="n">
        <v>110</v>
      </c>
      <c r="AC121" s="344">
        <f>SUM(Y121:AB121)</f>
        <v/>
      </c>
      <c r="AD121" s="343" t="n">
        <v>110</v>
      </c>
      <c r="AE121" s="343" t="n">
        <v>110</v>
      </c>
      <c r="AF121" s="343" t="n">
        <v>110</v>
      </c>
      <c r="AG121" s="343" t="n">
        <v>110</v>
      </c>
      <c r="AH121" s="344">
        <f>SUM(AD121:AG121)</f>
        <v/>
      </c>
      <c r="AI121" s="343" t="n">
        <v>110</v>
      </c>
      <c r="AJ121" s="343" t="n">
        <v>110</v>
      </c>
      <c r="AK121" s="343" t="n">
        <v>110</v>
      </c>
      <c r="AL121" s="343" t="n">
        <v>110</v>
      </c>
      <c r="AM121" s="344">
        <f>SUM(AI121:AL121)</f>
        <v/>
      </c>
      <c r="AN121" s="343" t="n">
        <v>110</v>
      </c>
      <c r="AO121" s="343" t="n">
        <v>110</v>
      </c>
      <c r="AP121" s="343" t="n">
        <v>110</v>
      </c>
      <c r="AQ121" s="343" t="n">
        <v>110</v>
      </c>
      <c r="AR121" s="344">
        <f>SUM(AN121:AQ121)</f>
        <v/>
      </c>
    </row>
    <row r="122" ht="13.5" customHeight="1" s="290">
      <c r="A122" s="339" t="n"/>
      <c r="B122" s="340" t="inlineStr">
        <is>
          <t xml:space="preserve">  IS Commission — Mid Market ($10–$50M)  —  Upside</t>
        </is>
      </c>
      <c r="E122" s="343" t="n">
        <v>114</v>
      </c>
      <c r="F122" s="343" t="n">
        <v>114</v>
      </c>
      <c r="G122" s="343" t="n">
        <v>114</v>
      </c>
      <c r="H122" s="343" t="n">
        <v>114</v>
      </c>
      <c r="I122" s="344">
        <f>SUM(E122:H122)</f>
        <v/>
      </c>
      <c r="J122" s="343" t="n">
        <v>114</v>
      </c>
      <c r="K122" s="343" t="n">
        <v>114</v>
      </c>
      <c r="L122" s="343" t="n">
        <v>114</v>
      </c>
      <c r="M122" s="343" t="n">
        <v>114</v>
      </c>
      <c r="N122" s="344">
        <f>SUM(J122:M122)</f>
        <v/>
      </c>
      <c r="O122" s="343" t="n">
        <v>114</v>
      </c>
      <c r="P122" s="343" t="n">
        <v>114</v>
      </c>
      <c r="Q122" s="343" t="n">
        <v>114</v>
      </c>
      <c r="R122" s="343" t="n">
        <v>114</v>
      </c>
      <c r="S122" s="344">
        <f>SUM(O122:R122)</f>
        <v/>
      </c>
      <c r="T122" s="343" t="n">
        <v>114</v>
      </c>
      <c r="U122" s="343" t="n">
        <v>114</v>
      </c>
      <c r="V122" s="343" t="n">
        <v>114</v>
      </c>
      <c r="W122" s="343" t="n">
        <v>114</v>
      </c>
      <c r="X122" s="344">
        <f>SUM(T122:W122)</f>
        <v/>
      </c>
      <c r="Y122" s="343" t="n">
        <v>114</v>
      </c>
      <c r="Z122" s="343" t="n">
        <v>114</v>
      </c>
      <c r="AA122" s="343" t="n">
        <v>114</v>
      </c>
      <c r="AB122" s="343" t="n">
        <v>114</v>
      </c>
      <c r="AC122" s="344">
        <f>SUM(Y122:AB122)</f>
        <v/>
      </c>
      <c r="AD122" s="343" t="n">
        <v>114</v>
      </c>
      <c r="AE122" s="343" t="n">
        <v>114</v>
      </c>
      <c r="AF122" s="343" t="n">
        <v>114</v>
      </c>
      <c r="AG122" s="343" t="n">
        <v>114</v>
      </c>
      <c r="AH122" s="344">
        <f>SUM(AD122:AG122)</f>
        <v/>
      </c>
      <c r="AI122" s="343" t="n">
        <v>114</v>
      </c>
      <c r="AJ122" s="343" t="n">
        <v>114</v>
      </c>
      <c r="AK122" s="343" t="n">
        <v>114</v>
      </c>
      <c r="AL122" s="343" t="n">
        <v>114</v>
      </c>
      <c r="AM122" s="344">
        <f>SUM(AI122:AL122)</f>
        <v/>
      </c>
      <c r="AN122" s="343" t="n">
        <v>114</v>
      </c>
      <c r="AO122" s="343" t="n">
        <v>114</v>
      </c>
      <c r="AP122" s="343" t="n">
        <v>114</v>
      </c>
      <c r="AQ122" s="343" t="n">
        <v>114</v>
      </c>
      <c r="AR122" s="344">
        <f>SUM(AN122:AQ122)</f>
        <v/>
      </c>
    </row>
    <row r="123" ht="13.5" customHeight="1" s="290">
      <c r="A123" s="339" t="n"/>
      <c r="B123" s="340" t="inlineStr">
        <is>
          <t xml:space="preserve">  IS Commission — Mid Market ($10–$50M)  —  Downside</t>
        </is>
      </c>
      <c r="E123" s="343" t="n">
        <v>105</v>
      </c>
      <c r="F123" s="343" t="n">
        <v>105</v>
      </c>
      <c r="G123" s="343" t="n">
        <v>105</v>
      </c>
      <c r="H123" s="343" t="n">
        <v>105</v>
      </c>
      <c r="I123" s="344">
        <f>SUM(E123:H123)</f>
        <v/>
      </c>
      <c r="J123" s="343" t="n">
        <v>105</v>
      </c>
      <c r="K123" s="343" t="n">
        <v>105</v>
      </c>
      <c r="L123" s="343" t="n">
        <v>105</v>
      </c>
      <c r="M123" s="343" t="n">
        <v>105</v>
      </c>
      <c r="N123" s="344">
        <f>SUM(J123:M123)</f>
        <v/>
      </c>
      <c r="O123" s="343" t="n">
        <v>105</v>
      </c>
      <c r="P123" s="343" t="n">
        <v>105</v>
      </c>
      <c r="Q123" s="343" t="n">
        <v>105</v>
      </c>
      <c r="R123" s="343" t="n">
        <v>105</v>
      </c>
      <c r="S123" s="344">
        <f>SUM(O123:R123)</f>
        <v/>
      </c>
      <c r="T123" s="343" t="n">
        <v>105</v>
      </c>
      <c r="U123" s="343" t="n">
        <v>105</v>
      </c>
      <c r="V123" s="343" t="n">
        <v>105</v>
      </c>
      <c r="W123" s="343" t="n">
        <v>105</v>
      </c>
      <c r="X123" s="344">
        <f>SUM(T123:W123)</f>
        <v/>
      </c>
      <c r="Y123" s="343" t="n">
        <v>105</v>
      </c>
      <c r="Z123" s="343" t="n">
        <v>105</v>
      </c>
      <c r="AA123" s="343" t="n">
        <v>105</v>
      </c>
      <c r="AB123" s="343" t="n">
        <v>105</v>
      </c>
      <c r="AC123" s="344">
        <f>SUM(Y123:AB123)</f>
        <v/>
      </c>
      <c r="AD123" s="343" t="n">
        <v>105</v>
      </c>
      <c r="AE123" s="343" t="n">
        <v>105</v>
      </c>
      <c r="AF123" s="343" t="n">
        <v>105</v>
      </c>
      <c r="AG123" s="343" t="n">
        <v>105</v>
      </c>
      <c r="AH123" s="344">
        <f>SUM(AD123:AG123)</f>
        <v/>
      </c>
      <c r="AI123" s="343" t="n">
        <v>105</v>
      </c>
      <c r="AJ123" s="343" t="n">
        <v>105</v>
      </c>
      <c r="AK123" s="343" t="n">
        <v>105</v>
      </c>
      <c r="AL123" s="343" t="n">
        <v>105</v>
      </c>
      <c r="AM123" s="344">
        <f>SUM(AI123:AL123)</f>
        <v/>
      </c>
      <c r="AN123" s="343" t="n">
        <v>105</v>
      </c>
      <c r="AO123" s="343" t="n">
        <v>105</v>
      </c>
      <c r="AP123" s="343" t="n">
        <v>105</v>
      </c>
      <c r="AQ123" s="343" t="n">
        <v>105</v>
      </c>
      <c r="AR123" s="344">
        <f>SUM(AN123:AQ123)</f>
        <v/>
      </c>
    </row>
    <row r="124" ht="13.5" customHeight="1" s="290">
      <c r="A124" s="345" t="n"/>
      <c r="B124" s="346" t="inlineStr">
        <is>
          <t xml:space="preserve">  IS Commission — Mid Market ($10–$50M)  —  ★ ACTIVE</t>
        </is>
      </c>
      <c r="E124" s="347">
        <f>IF('01 Cover &amp; Control'!$C$19="Base",E121,IF('01 Cover &amp; Control'!$C$19="Upside",E122,E123))</f>
        <v/>
      </c>
      <c r="F124" s="347">
        <f>IF('01 Cover &amp; Control'!$C$19="Base",F121,IF('01 Cover &amp; Control'!$C$19="Upside",F122,F123))</f>
        <v/>
      </c>
      <c r="G124" s="347">
        <f>IF('01 Cover &amp; Control'!$C$19="Base",G121,IF('01 Cover &amp; Control'!$C$19="Upside",G122,G123))</f>
        <v/>
      </c>
      <c r="H124" s="347">
        <f>IF('01 Cover &amp; Control'!$C$19="Base",H121,IF('01 Cover &amp; Control'!$C$19="Upside",H122,H123))</f>
        <v/>
      </c>
      <c r="I124" s="347">
        <f>SUM(E124:H124)</f>
        <v/>
      </c>
      <c r="J124" s="347">
        <f>IF('01 Cover &amp; Control'!$C$19="Base",J121,IF('01 Cover &amp; Control'!$C$19="Upside",J122,J123))</f>
        <v/>
      </c>
      <c r="K124" s="347">
        <f>IF('01 Cover &amp; Control'!$C$19="Base",K121,IF('01 Cover &amp; Control'!$C$19="Upside",K122,K123))</f>
        <v/>
      </c>
      <c r="L124" s="347">
        <f>IF('01 Cover &amp; Control'!$C$19="Base",L121,IF('01 Cover &amp; Control'!$C$19="Upside",L122,L123))</f>
        <v/>
      </c>
      <c r="M124" s="347">
        <f>IF('01 Cover &amp; Control'!$C$19="Base",M121,IF('01 Cover &amp; Control'!$C$19="Upside",M122,M123))</f>
        <v/>
      </c>
      <c r="N124" s="347">
        <f>SUM(J124:M124)</f>
        <v/>
      </c>
      <c r="O124" s="347">
        <f>IF('01 Cover &amp; Control'!$C$19="Base",O121,IF('01 Cover &amp; Control'!$C$19="Upside",O122,O123))</f>
        <v/>
      </c>
      <c r="P124" s="347">
        <f>IF('01 Cover &amp; Control'!$C$19="Base",P121,IF('01 Cover &amp; Control'!$C$19="Upside",P122,P123))</f>
        <v/>
      </c>
      <c r="Q124" s="347">
        <f>IF('01 Cover &amp; Control'!$C$19="Base",Q121,IF('01 Cover &amp; Control'!$C$19="Upside",Q122,Q123))</f>
        <v/>
      </c>
      <c r="R124" s="347">
        <f>IF('01 Cover &amp; Control'!$C$19="Base",R121,IF('01 Cover &amp; Control'!$C$19="Upside",R122,R123))</f>
        <v/>
      </c>
      <c r="S124" s="347">
        <f>SUM(O124:R124)</f>
        <v/>
      </c>
      <c r="T124" s="347">
        <f>IF('01 Cover &amp; Control'!$C$19="Base",T121,IF('01 Cover &amp; Control'!$C$19="Upside",T122,T123))</f>
        <v/>
      </c>
      <c r="U124" s="347">
        <f>IF('01 Cover &amp; Control'!$C$19="Base",U121,IF('01 Cover &amp; Control'!$C$19="Upside",U122,U123))</f>
        <v/>
      </c>
      <c r="V124" s="347">
        <f>IF('01 Cover &amp; Control'!$C$19="Base",V121,IF('01 Cover &amp; Control'!$C$19="Upside",V122,V123))</f>
        <v/>
      </c>
      <c r="W124" s="347">
        <f>IF('01 Cover &amp; Control'!$C$19="Base",W121,IF('01 Cover &amp; Control'!$C$19="Upside",W122,W123))</f>
        <v/>
      </c>
      <c r="X124" s="347">
        <f>SUM(T124:W124)</f>
        <v/>
      </c>
      <c r="Y124" s="347">
        <f>IF('01 Cover &amp; Control'!$C$19="Base",Y121,IF('01 Cover &amp; Control'!$C$19="Upside",Y122,Y123))</f>
        <v/>
      </c>
      <c r="Z124" s="347">
        <f>IF('01 Cover &amp; Control'!$C$19="Base",Z121,IF('01 Cover &amp; Control'!$C$19="Upside",Z122,Z123))</f>
        <v/>
      </c>
      <c r="AA124" s="347">
        <f>IF('01 Cover &amp; Control'!$C$19="Base",AA121,IF('01 Cover &amp; Control'!$C$19="Upside",AA122,AA123))</f>
        <v/>
      </c>
      <c r="AB124" s="347">
        <f>IF('01 Cover &amp; Control'!$C$19="Base",AB121,IF('01 Cover &amp; Control'!$C$19="Upside",AB122,AB123))</f>
        <v/>
      </c>
      <c r="AC124" s="347">
        <f>SUM(Y124:AB124)</f>
        <v/>
      </c>
      <c r="AD124" s="347">
        <f>IF('01 Cover &amp; Control'!$C$19="Base",AD121,IF('01 Cover &amp; Control'!$C$19="Upside",AD122,AD123))</f>
        <v/>
      </c>
      <c r="AE124" s="347">
        <f>IF('01 Cover &amp; Control'!$C$19="Base",AE121,IF('01 Cover &amp; Control'!$C$19="Upside",AE122,AE123))</f>
        <v/>
      </c>
      <c r="AF124" s="347">
        <f>IF('01 Cover &amp; Control'!$C$19="Base",AF121,IF('01 Cover &amp; Control'!$C$19="Upside",AF122,AF123))</f>
        <v/>
      </c>
      <c r="AG124" s="347">
        <f>IF('01 Cover &amp; Control'!$C$19="Base",AG121,IF('01 Cover &amp; Control'!$C$19="Upside",AG122,AG123))</f>
        <v/>
      </c>
      <c r="AH124" s="347">
        <f>SUM(AD124:AG124)</f>
        <v/>
      </c>
      <c r="AI124" s="347">
        <f>IF('01 Cover &amp; Control'!$C$19="Base",AI121,IF('01 Cover &amp; Control'!$C$19="Upside",AI122,AI123))</f>
        <v/>
      </c>
      <c r="AJ124" s="347">
        <f>IF('01 Cover &amp; Control'!$C$19="Base",AJ121,IF('01 Cover &amp; Control'!$C$19="Upside",AJ122,AJ123))</f>
        <v/>
      </c>
      <c r="AK124" s="347">
        <f>IF('01 Cover &amp; Control'!$C$19="Base",AK121,IF('01 Cover &amp; Control'!$C$19="Upside",AK122,AK123))</f>
        <v/>
      </c>
      <c r="AL124" s="347">
        <f>IF('01 Cover &amp; Control'!$C$19="Base",AL121,IF('01 Cover &amp; Control'!$C$19="Upside",AL122,AL123))</f>
        <v/>
      </c>
      <c r="AM124" s="347">
        <f>SUM(AI124:AL124)</f>
        <v/>
      </c>
      <c r="AN124" s="347">
        <f>IF('01 Cover &amp; Control'!$C$19="Base",AN121,IF('01 Cover &amp; Control'!$C$19="Upside",AN122,AN123))</f>
        <v/>
      </c>
      <c r="AO124" s="347">
        <f>IF('01 Cover &amp; Control'!$C$19="Base",AO121,IF('01 Cover &amp; Control'!$C$19="Upside",AO122,AO123))</f>
        <v/>
      </c>
      <c r="AP124" s="347">
        <f>IF('01 Cover &amp; Control'!$C$19="Base",AP121,IF('01 Cover &amp; Control'!$C$19="Upside",AP122,AP123))</f>
        <v/>
      </c>
      <c r="AQ124" s="347">
        <f>IF('01 Cover &amp; Control'!$C$19="Base",AQ121,IF('01 Cover &amp; Control'!$C$19="Upside",AQ122,AQ123))</f>
        <v/>
      </c>
      <c r="AR124" s="347">
        <f>SUM(AN124:AQ124)</f>
        <v/>
      </c>
    </row>
    <row r="125" ht="3.75" customHeight="1" s="290"/>
    <row r="126" ht="13.5" customHeight="1" s="290">
      <c r="A126" s="339" t="n"/>
      <c r="B126" s="340" t="inlineStr">
        <is>
          <t xml:space="preserve">  IS Commission — Institutional (&gt;$50M)  —  Base</t>
        </is>
      </c>
      <c r="C126" s="341" t="inlineStr">
        <is>
          <t>bps</t>
        </is>
      </c>
      <c r="D126" s="342" t="inlineStr">
        <is>
          <t>Newmark; CBRE Capital Markets; MSCI RCA. Typical range: 40–75 bps.</t>
        </is>
      </c>
      <c r="E126" s="343" t="n">
        <v>55</v>
      </c>
      <c r="F126" s="343" t="n">
        <v>55</v>
      </c>
      <c r="G126" s="343" t="n">
        <v>55</v>
      </c>
      <c r="H126" s="343" t="n">
        <v>55</v>
      </c>
      <c r="I126" s="344">
        <f>SUM(E126:H126)</f>
        <v/>
      </c>
      <c r="J126" s="343" t="n">
        <v>55</v>
      </c>
      <c r="K126" s="343" t="n">
        <v>55</v>
      </c>
      <c r="L126" s="343" t="n">
        <v>55</v>
      </c>
      <c r="M126" s="343" t="n">
        <v>55</v>
      </c>
      <c r="N126" s="344">
        <f>SUM(J126:M126)</f>
        <v/>
      </c>
      <c r="O126" s="343" t="n">
        <v>55</v>
      </c>
      <c r="P126" s="343" t="n">
        <v>55</v>
      </c>
      <c r="Q126" s="343" t="n">
        <v>55</v>
      </c>
      <c r="R126" s="343" t="n">
        <v>55</v>
      </c>
      <c r="S126" s="344">
        <f>SUM(O126:R126)</f>
        <v/>
      </c>
      <c r="T126" s="343" t="n">
        <v>55</v>
      </c>
      <c r="U126" s="343" t="n">
        <v>55</v>
      </c>
      <c r="V126" s="343" t="n">
        <v>55</v>
      </c>
      <c r="W126" s="343" t="n">
        <v>55</v>
      </c>
      <c r="X126" s="344">
        <f>SUM(T126:W126)</f>
        <v/>
      </c>
      <c r="Y126" s="343" t="n">
        <v>55</v>
      </c>
      <c r="Z126" s="343" t="n">
        <v>55</v>
      </c>
      <c r="AA126" s="343" t="n">
        <v>55</v>
      </c>
      <c r="AB126" s="343" t="n">
        <v>55</v>
      </c>
      <c r="AC126" s="344">
        <f>SUM(Y126:AB126)</f>
        <v/>
      </c>
      <c r="AD126" s="343" t="n">
        <v>55</v>
      </c>
      <c r="AE126" s="343" t="n">
        <v>55</v>
      </c>
      <c r="AF126" s="343" t="n">
        <v>55</v>
      </c>
      <c r="AG126" s="343" t="n">
        <v>55</v>
      </c>
      <c r="AH126" s="344">
        <f>SUM(AD126:AG126)</f>
        <v/>
      </c>
      <c r="AI126" s="343" t="n">
        <v>55</v>
      </c>
      <c r="AJ126" s="343" t="n">
        <v>55</v>
      </c>
      <c r="AK126" s="343" t="n">
        <v>55</v>
      </c>
      <c r="AL126" s="343" t="n">
        <v>55</v>
      </c>
      <c r="AM126" s="344">
        <f>SUM(AI126:AL126)</f>
        <v/>
      </c>
      <c r="AN126" s="343" t="n">
        <v>55</v>
      </c>
      <c r="AO126" s="343" t="n">
        <v>55</v>
      </c>
      <c r="AP126" s="343" t="n">
        <v>55</v>
      </c>
      <c r="AQ126" s="343" t="n">
        <v>55</v>
      </c>
      <c r="AR126" s="344">
        <f>SUM(AN126:AQ126)</f>
        <v/>
      </c>
    </row>
    <row r="127" ht="13.5" customHeight="1" s="290">
      <c r="A127" s="339" t="n"/>
      <c r="B127" s="340" t="inlineStr">
        <is>
          <t xml:space="preserve">  IS Commission — Institutional (&gt;$50M)  —  Upside</t>
        </is>
      </c>
      <c r="E127" s="343" t="n">
        <v>58</v>
      </c>
      <c r="F127" s="343" t="n">
        <v>58</v>
      </c>
      <c r="G127" s="343" t="n">
        <v>58</v>
      </c>
      <c r="H127" s="343" t="n">
        <v>58</v>
      </c>
      <c r="I127" s="344">
        <f>SUM(E127:H127)</f>
        <v/>
      </c>
      <c r="J127" s="343" t="n">
        <v>58</v>
      </c>
      <c r="K127" s="343" t="n">
        <v>58</v>
      </c>
      <c r="L127" s="343" t="n">
        <v>58</v>
      </c>
      <c r="M127" s="343" t="n">
        <v>58</v>
      </c>
      <c r="N127" s="344">
        <f>SUM(J127:M127)</f>
        <v/>
      </c>
      <c r="O127" s="343" t="n">
        <v>58</v>
      </c>
      <c r="P127" s="343" t="n">
        <v>58</v>
      </c>
      <c r="Q127" s="343" t="n">
        <v>58</v>
      </c>
      <c r="R127" s="343" t="n">
        <v>58</v>
      </c>
      <c r="S127" s="344">
        <f>SUM(O127:R127)</f>
        <v/>
      </c>
      <c r="T127" s="343" t="n">
        <v>58</v>
      </c>
      <c r="U127" s="343" t="n">
        <v>58</v>
      </c>
      <c r="V127" s="343" t="n">
        <v>58</v>
      </c>
      <c r="W127" s="343" t="n">
        <v>58</v>
      </c>
      <c r="X127" s="344">
        <f>SUM(T127:W127)</f>
        <v/>
      </c>
      <c r="Y127" s="343" t="n">
        <v>58</v>
      </c>
      <c r="Z127" s="343" t="n">
        <v>58</v>
      </c>
      <c r="AA127" s="343" t="n">
        <v>58</v>
      </c>
      <c r="AB127" s="343" t="n">
        <v>58</v>
      </c>
      <c r="AC127" s="344">
        <f>SUM(Y127:AB127)</f>
        <v/>
      </c>
      <c r="AD127" s="343" t="n">
        <v>58</v>
      </c>
      <c r="AE127" s="343" t="n">
        <v>58</v>
      </c>
      <c r="AF127" s="343" t="n">
        <v>58</v>
      </c>
      <c r="AG127" s="343" t="n">
        <v>58</v>
      </c>
      <c r="AH127" s="344">
        <f>SUM(AD127:AG127)</f>
        <v/>
      </c>
      <c r="AI127" s="343" t="n">
        <v>58</v>
      </c>
      <c r="AJ127" s="343" t="n">
        <v>58</v>
      </c>
      <c r="AK127" s="343" t="n">
        <v>58</v>
      </c>
      <c r="AL127" s="343" t="n">
        <v>58</v>
      </c>
      <c r="AM127" s="344">
        <f>SUM(AI127:AL127)</f>
        <v/>
      </c>
      <c r="AN127" s="343" t="n">
        <v>58</v>
      </c>
      <c r="AO127" s="343" t="n">
        <v>58</v>
      </c>
      <c r="AP127" s="343" t="n">
        <v>58</v>
      </c>
      <c r="AQ127" s="343" t="n">
        <v>58</v>
      </c>
      <c r="AR127" s="344">
        <f>SUM(AN127:AQ127)</f>
        <v/>
      </c>
    </row>
    <row r="128" ht="13.5" customHeight="1" s="290">
      <c r="A128" s="339" t="n"/>
      <c r="B128" s="340" t="inlineStr">
        <is>
          <t xml:space="preserve">  IS Commission — Institutional (&gt;$50M)  —  Downside</t>
        </is>
      </c>
      <c r="E128" s="343" t="n">
        <v>52</v>
      </c>
      <c r="F128" s="343" t="n">
        <v>52</v>
      </c>
      <c r="G128" s="343" t="n">
        <v>52</v>
      </c>
      <c r="H128" s="343" t="n">
        <v>52</v>
      </c>
      <c r="I128" s="344">
        <f>SUM(E128:H128)</f>
        <v/>
      </c>
      <c r="J128" s="343" t="n">
        <v>52</v>
      </c>
      <c r="K128" s="343" t="n">
        <v>52</v>
      </c>
      <c r="L128" s="343" t="n">
        <v>52</v>
      </c>
      <c r="M128" s="343" t="n">
        <v>52</v>
      </c>
      <c r="N128" s="344">
        <f>SUM(J128:M128)</f>
        <v/>
      </c>
      <c r="O128" s="343" t="n">
        <v>52</v>
      </c>
      <c r="P128" s="343" t="n">
        <v>52</v>
      </c>
      <c r="Q128" s="343" t="n">
        <v>52</v>
      </c>
      <c r="R128" s="343" t="n">
        <v>52</v>
      </c>
      <c r="S128" s="344">
        <f>SUM(O128:R128)</f>
        <v/>
      </c>
      <c r="T128" s="343" t="n">
        <v>52</v>
      </c>
      <c r="U128" s="343" t="n">
        <v>52</v>
      </c>
      <c r="V128" s="343" t="n">
        <v>52</v>
      </c>
      <c r="W128" s="343" t="n">
        <v>52</v>
      </c>
      <c r="X128" s="344">
        <f>SUM(T128:W128)</f>
        <v/>
      </c>
      <c r="Y128" s="343" t="n">
        <v>52</v>
      </c>
      <c r="Z128" s="343" t="n">
        <v>52</v>
      </c>
      <c r="AA128" s="343" t="n">
        <v>52</v>
      </c>
      <c r="AB128" s="343" t="n">
        <v>52</v>
      </c>
      <c r="AC128" s="344">
        <f>SUM(Y128:AB128)</f>
        <v/>
      </c>
      <c r="AD128" s="343" t="n">
        <v>52</v>
      </c>
      <c r="AE128" s="343" t="n">
        <v>52</v>
      </c>
      <c r="AF128" s="343" t="n">
        <v>52</v>
      </c>
      <c r="AG128" s="343" t="n">
        <v>52</v>
      </c>
      <c r="AH128" s="344">
        <f>SUM(AD128:AG128)</f>
        <v/>
      </c>
      <c r="AI128" s="343" t="n">
        <v>52</v>
      </c>
      <c r="AJ128" s="343" t="n">
        <v>52</v>
      </c>
      <c r="AK128" s="343" t="n">
        <v>52</v>
      </c>
      <c r="AL128" s="343" t="n">
        <v>52</v>
      </c>
      <c r="AM128" s="344">
        <f>SUM(AI128:AL128)</f>
        <v/>
      </c>
      <c r="AN128" s="343" t="n">
        <v>52</v>
      </c>
      <c r="AO128" s="343" t="n">
        <v>52</v>
      </c>
      <c r="AP128" s="343" t="n">
        <v>52</v>
      </c>
      <c r="AQ128" s="343" t="n">
        <v>52</v>
      </c>
      <c r="AR128" s="344">
        <f>SUM(AN128:AQ128)</f>
        <v/>
      </c>
    </row>
    <row r="129" ht="13.5" customHeight="1" s="290">
      <c r="A129" s="345" t="n"/>
      <c r="B129" s="346" t="inlineStr">
        <is>
          <t xml:space="preserve">  IS Commission — Institutional (&gt;$50M)  —  ★ ACTIVE</t>
        </is>
      </c>
      <c r="E129" s="347">
        <f>IF('01 Cover &amp; Control'!$C$19="Base",E126,IF('01 Cover &amp; Control'!$C$19="Upside",E127,E128))</f>
        <v/>
      </c>
      <c r="F129" s="347">
        <f>IF('01 Cover &amp; Control'!$C$19="Base",F126,IF('01 Cover &amp; Control'!$C$19="Upside",F127,F128))</f>
        <v/>
      </c>
      <c r="G129" s="347">
        <f>IF('01 Cover &amp; Control'!$C$19="Base",G126,IF('01 Cover &amp; Control'!$C$19="Upside",G127,G128))</f>
        <v/>
      </c>
      <c r="H129" s="347">
        <f>IF('01 Cover &amp; Control'!$C$19="Base",H126,IF('01 Cover &amp; Control'!$C$19="Upside",H127,H128))</f>
        <v/>
      </c>
      <c r="I129" s="347">
        <f>SUM(E129:H129)</f>
        <v/>
      </c>
      <c r="J129" s="347">
        <f>IF('01 Cover &amp; Control'!$C$19="Base",J126,IF('01 Cover &amp; Control'!$C$19="Upside",J127,J128))</f>
        <v/>
      </c>
      <c r="K129" s="347">
        <f>IF('01 Cover &amp; Control'!$C$19="Base",K126,IF('01 Cover &amp; Control'!$C$19="Upside",K127,K128))</f>
        <v/>
      </c>
      <c r="L129" s="347">
        <f>IF('01 Cover &amp; Control'!$C$19="Base",L126,IF('01 Cover &amp; Control'!$C$19="Upside",L127,L128))</f>
        <v/>
      </c>
      <c r="M129" s="347">
        <f>IF('01 Cover &amp; Control'!$C$19="Base",M126,IF('01 Cover &amp; Control'!$C$19="Upside",M127,M128))</f>
        <v/>
      </c>
      <c r="N129" s="347">
        <f>SUM(J129:M129)</f>
        <v/>
      </c>
      <c r="O129" s="347">
        <f>IF('01 Cover &amp; Control'!$C$19="Base",O126,IF('01 Cover &amp; Control'!$C$19="Upside",O127,O128))</f>
        <v/>
      </c>
      <c r="P129" s="347">
        <f>IF('01 Cover &amp; Control'!$C$19="Base",P126,IF('01 Cover &amp; Control'!$C$19="Upside",P127,P128))</f>
        <v/>
      </c>
      <c r="Q129" s="347">
        <f>IF('01 Cover &amp; Control'!$C$19="Base",Q126,IF('01 Cover &amp; Control'!$C$19="Upside",Q127,Q128))</f>
        <v/>
      </c>
      <c r="R129" s="347">
        <f>IF('01 Cover &amp; Control'!$C$19="Base",R126,IF('01 Cover &amp; Control'!$C$19="Upside",R127,R128))</f>
        <v/>
      </c>
      <c r="S129" s="347">
        <f>SUM(O129:R129)</f>
        <v/>
      </c>
      <c r="T129" s="347">
        <f>IF('01 Cover &amp; Control'!$C$19="Base",T126,IF('01 Cover &amp; Control'!$C$19="Upside",T127,T128))</f>
        <v/>
      </c>
      <c r="U129" s="347">
        <f>IF('01 Cover &amp; Control'!$C$19="Base",U126,IF('01 Cover &amp; Control'!$C$19="Upside",U127,U128))</f>
        <v/>
      </c>
      <c r="V129" s="347">
        <f>IF('01 Cover &amp; Control'!$C$19="Base",V126,IF('01 Cover &amp; Control'!$C$19="Upside",V127,V128))</f>
        <v/>
      </c>
      <c r="W129" s="347">
        <f>IF('01 Cover &amp; Control'!$C$19="Base",W126,IF('01 Cover &amp; Control'!$C$19="Upside",W127,W128))</f>
        <v/>
      </c>
      <c r="X129" s="347">
        <f>SUM(T129:W129)</f>
        <v/>
      </c>
      <c r="Y129" s="347">
        <f>IF('01 Cover &amp; Control'!$C$19="Base",Y126,IF('01 Cover &amp; Control'!$C$19="Upside",Y127,Y128))</f>
        <v/>
      </c>
      <c r="Z129" s="347">
        <f>IF('01 Cover &amp; Control'!$C$19="Base",Z126,IF('01 Cover &amp; Control'!$C$19="Upside",Z127,Z128))</f>
        <v/>
      </c>
      <c r="AA129" s="347">
        <f>IF('01 Cover &amp; Control'!$C$19="Base",AA126,IF('01 Cover &amp; Control'!$C$19="Upside",AA127,AA128))</f>
        <v/>
      </c>
      <c r="AB129" s="347">
        <f>IF('01 Cover &amp; Control'!$C$19="Base",AB126,IF('01 Cover &amp; Control'!$C$19="Upside",AB127,AB128))</f>
        <v/>
      </c>
      <c r="AC129" s="347">
        <f>SUM(Y129:AB129)</f>
        <v/>
      </c>
      <c r="AD129" s="347">
        <f>IF('01 Cover &amp; Control'!$C$19="Base",AD126,IF('01 Cover &amp; Control'!$C$19="Upside",AD127,AD128))</f>
        <v/>
      </c>
      <c r="AE129" s="347">
        <f>IF('01 Cover &amp; Control'!$C$19="Base",AE126,IF('01 Cover &amp; Control'!$C$19="Upside",AE127,AE128))</f>
        <v/>
      </c>
      <c r="AF129" s="347">
        <f>IF('01 Cover &amp; Control'!$C$19="Base",AF126,IF('01 Cover &amp; Control'!$C$19="Upside",AF127,AF128))</f>
        <v/>
      </c>
      <c r="AG129" s="347">
        <f>IF('01 Cover &amp; Control'!$C$19="Base",AG126,IF('01 Cover &amp; Control'!$C$19="Upside",AG127,AG128))</f>
        <v/>
      </c>
      <c r="AH129" s="347">
        <f>SUM(AD129:AG129)</f>
        <v/>
      </c>
      <c r="AI129" s="347">
        <f>IF('01 Cover &amp; Control'!$C$19="Base",AI126,IF('01 Cover &amp; Control'!$C$19="Upside",AI127,AI128))</f>
        <v/>
      </c>
      <c r="AJ129" s="347">
        <f>IF('01 Cover &amp; Control'!$C$19="Base",AJ126,IF('01 Cover &amp; Control'!$C$19="Upside",AJ127,AJ128))</f>
        <v/>
      </c>
      <c r="AK129" s="347">
        <f>IF('01 Cover &amp; Control'!$C$19="Base",AK126,IF('01 Cover &amp; Control'!$C$19="Upside",AK127,AK128))</f>
        <v/>
      </c>
      <c r="AL129" s="347">
        <f>IF('01 Cover &amp; Control'!$C$19="Base",AL126,IF('01 Cover &amp; Control'!$C$19="Upside",AL127,AL128))</f>
        <v/>
      </c>
      <c r="AM129" s="347">
        <f>SUM(AI129:AL129)</f>
        <v/>
      </c>
      <c r="AN129" s="347">
        <f>IF('01 Cover &amp; Control'!$C$19="Base",AN126,IF('01 Cover &amp; Control'!$C$19="Upside",AN127,AN128))</f>
        <v/>
      </c>
      <c r="AO129" s="347">
        <f>IF('01 Cover &amp; Control'!$C$19="Base",AO126,IF('01 Cover &amp; Control'!$C$19="Upside",AO127,AO128))</f>
        <v/>
      </c>
      <c r="AP129" s="347">
        <f>IF('01 Cover &amp; Control'!$C$19="Base",AP126,IF('01 Cover &amp; Control'!$C$19="Upside",AP127,AP128))</f>
        <v/>
      </c>
      <c r="AQ129" s="347">
        <f>IF('01 Cover &amp; Control'!$C$19="Base",AQ126,IF('01 Cover &amp; Control'!$C$19="Upside",AQ127,AQ128))</f>
        <v/>
      </c>
      <c r="AR129" s="347">
        <f>SUM(AN129:AQ129)</f>
        <v/>
      </c>
    </row>
    <row r="130" ht="3.75" customHeight="1" s="290"/>
    <row r="131" ht="13.5" customHeight="1" s="290">
      <c r="A131" s="339" t="n"/>
      <c r="B131" s="353" t="inlineStr">
        <is>
          <t xml:space="preserve">  ✔  CHECK: IS Bps Ordering  (Small &gt; Mid &gt; Institutional)</t>
        </is>
      </c>
      <c r="D131" s="354" t="inlineStr">
        <is>
          <t>Small deals must carry higher bps than mid; mid higher than institutional.</t>
        </is>
      </c>
      <c r="E131" s="355" t="inlineStr">
        <is>
          <t>—</t>
        </is>
      </c>
      <c r="F131" s="355" t="inlineStr">
        <is>
          <t>—</t>
        </is>
      </c>
      <c r="G131" s="355" t="inlineStr">
        <is>
          <t>—</t>
        </is>
      </c>
      <c r="H131" s="355" t="inlineStr">
        <is>
          <t>—</t>
        </is>
      </c>
      <c r="I131" s="356">
        <f>IF(AND(I119&gt;I124,I124&gt;I129),"PASS","WARN — V2 Reference (not used in V1)")</f>
        <v/>
      </c>
      <c r="J131" s="355" t="inlineStr">
        <is>
          <t>—</t>
        </is>
      </c>
      <c r="K131" s="355" t="inlineStr">
        <is>
          <t>—</t>
        </is>
      </c>
      <c r="L131" s="355" t="inlineStr">
        <is>
          <t>—</t>
        </is>
      </c>
      <c r="M131" s="355" t="inlineStr">
        <is>
          <t>—</t>
        </is>
      </c>
      <c r="N131" s="356">
        <f>IF(AND(N119&gt;N124,N124&gt;N129),"PASS","WARN — V2 Reference (not used in V1)")</f>
        <v/>
      </c>
      <c r="O131" s="355" t="inlineStr">
        <is>
          <t>—</t>
        </is>
      </c>
      <c r="P131" s="355" t="inlineStr">
        <is>
          <t>—</t>
        </is>
      </c>
      <c r="Q131" s="355" t="inlineStr">
        <is>
          <t>—</t>
        </is>
      </c>
      <c r="R131" s="355" t="inlineStr">
        <is>
          <t>—</t>
        </is>
      </c>
      <c r="S131" s="356">
        <f>IF(AND(S119&gt;S124,S124&gt;S129),"PASS","WARN — V2 Reference (not used in V1)")</f>
        <v/>
      </c>
      <c r="T131" s="355" t="inlineStr">
        <is>
          <t>—</t>
        </is>
      </c>
      <c r="U131" s="355" t="inlineStr">
        <is>
          <t>—</t>
        </is>
      </c>
      <c r="V131" s="355" t="inlineStr">
        <is>
          <t>—</t>
        </is>
      </c>
      <c r="W131" s="355" t="inlineStr">
        <is>
          <t>—</t>
        </is>
      </c>
      <c r="X131" s="356">
        <f>IF(AND(X119&gt;X124,X124&gt;X129),"PASS","WARN — V2 Reference (not used in V1)")</f>
        <v/>
      </c>
      <c r="Y131" s="355" t="inlineStr">
        <is>
          <t>—</t>
        </is>
      </c>
      <c r="Z131" s="355" t="inlineStr">
        <is>
          <t>—</t>
        </is>
      </c>
      <c r="AA131" s="355" t="inlineStr">
        <is>
          <t>—</t>
        </is>
      </c>
      <c r="AB131" s="355" t="inlineStr">
        <is>
          <t>—</t>
        </is>
      </c>
      <c r="AC131" s="356">
        <f>IF(AND(AC119&gt;AC124,AC124&gt;AC129),"PASS","WARN — V2 Reference (not used in V1)")</f>
        <v/>
      </c>
      <c r="AD131" s="355" t="inlineStr">
        <is>
          <t>—</t>
        </is>
      </c>
      <c r="AE131" s="355" t="inlineStr">
        <is>
          <t>—</t>
        </is>
      </c>
      <c r="AF131" s="355" t="inlineStr">
        <is>
          <t>—</t>
        </is>
      </c>
      <c r="AG131" s="355" t="inlineStr">
        <is>
          <t>—</t>
        </is>
      </c>
      <c r="AH131" s="356">
        <f>IF(AND(AH119&gt;AH124,AH124&gt;AH129),"PASS","WARN — V2 Reference (not used in V1)")</f>
        <v/>
      </c>
      <c r="AI131" s="355" t="inlineStr">
        <is>
          <t>—</t>
        </is>
      </c>
      <c r="AJ131" s="355" t="inlineStr">
        <is>
          <t>—</t>
        </is>
      </c>
      <c r="AK131" s="355" t="inlineStr">
        <is>
          <t>—</t>
        </is>
      </c>
      <c r="AL131" s="355" t="inlineStr">
        <is>
          <t>—</t>
        </is>
      </c>
      <c r="AM131" s="356">
        <f>IF(AND(AM119&gt;AM124,AM124&gt;AM129),"PASS","WARN — V2 Reference (not used in V1)")</f>
        <v/>
      </c>
      <c r="AN131" s="355" t="inlineStr">
        <is>
          <t>—</t>
        </is>
      </c>
      <c r="AO131" s="355" t="inlineStr">
        <is>
          <t>—</t>
        </is>
      </c>
      <c r="AP131" s="355" t="inlineStr">
        <is>
          <t>—</t>
        </is>
      </c>
      <c r="AQ131" s="355" t="inlineStr">
        <is>
          <t>—</t>
        </is>
      </c>
      <c r="AR131" s="356">
        <f>IF(AND(AR119&gt;AR124,AR124&gt;AR129),"PASS","WARN — V2 Reference (not used in V1)")</f>
        <v/>
      </c>
    </row>
    <row r="132" ht="4.5" customHeight="1" s="290"/>
    <row r="133" ht="15" customHeight="1" s="290">
      <c r="A133" s="307" t="inlineStr">
        <is>
          <t xml:space="preserve">    C2 — DEBT &amp; EQUITY PLACEMENT FEES</t>
        </is>
      </c>
    </row>
    <row r="134" ht="3" customHeight="1" s="290"/>
    <row r="135" ht="13.5" customHeight="1" s="290">
      <c r="A135" s="339" t="n"/>
      <c r="B135" s="340" t="inlineStr">
        <is>
          <t xml:space="preserve">  Debt Placement Bps — Acquisition Financing  —  Base</t>
        </is>
      </c>
      <c r="C135" s="341" t="inlineStr">
        <is>
          <t>bps</t>
        </is>
      </c>
      <c r="D135" s="342" t="inlineStr">
        <is>
          <t>MBA; internal contract norms. Typical range: 50–100 bps.</t>
        </is>
      </c>
      <c r="E135" s="343" t="n">
        <v>65</v>
      </c>
      <c r="F135" s="343" t="n">
        <v>65</v>
      </c>
      <c r="G135" s="343" t="n">
        <v>65</v>
      </c>
      <c r="H135" s="343" t="n">
        <v>65</v>
      </c>
      <c r="I135" s="344">
        <f>SUM(E135:H135)</f>
        <v/>
      </c>
      <c r="J135" s="343" t="n">
        <v>65</v>
      </c>
      <c r="K135" s="343" t="n">
        <v>65</v>
      </c>
      <c r="L135" s="343" t="n">
        <v>65</v>
      </c>
      <c r="M135" s="343" t="n">
        <v>65</v>
      </c>
      <c r="N135" s="344">
        <f>SUM(J135:M135)</f>
        <v/>
      </c>
      <c r="O135" s="343" t="n">
        <v>65</v>
      </c>
      <c r="P135" s="343" t="n">
        <v>65</v>
      </c>
      <c r="Q135" s="343" t="n">
        <v>65</v>
      </c>
      <c r="R135" s="343" t="n">
        <v>65</v>
      </c>
      <c r="S135" s="344">
        <f>SUM(O135:R135)</f>
        <v/>
      </c>
      <c r="T135" s="343" t="n">
        <v>65</v>
      </c>
      <c r="U135" s="343" t="n">
        <v>65</v>
      </c>
      <c r="V135" s="343" t="n">
        <v>65</v>
      </c>
      <c r="W135" s="343" t="n">
        <v>65</v>
      </c>
      <c r="X135" s="344">
        <f>SUM(T135:W135)</f>
        <v/>
      </c>
      <c r="Y135" s="343" t="n">
        <v>65</v>
      </c>
      <c r="Z135" s="343" t="n">
        <v>65</v>
      </c>
      <c r="AA135" s="343" t="n">
        <v>65</v>
      </c>
      <c r="AB135" s="343" t="n">
        <v>65</v>
      </c>
      <c r="AC135" s="344">
        <f>SUM(Y135:AB135)</f>
        <v/>
      </c>
      <c r="AD135" s="343" t="n">
        <v>65</v>
      </c>
      <c r="AE135" s="343" t="n">
        <v>65</v>
      </c>
      <c r="AF135" s="343" t="n">
        <v>65</v>
      </c>
      <c r="AG135" s="343" t="n">
        <v>65</v>
      </c>
      <c r="AH135" s="344">
        <f>SUM(AD135:AG135)</f>
        <v/>
      </c>
      <c r="AI135" s="343" t="n">
        <v>65</v>
      </c>
      <c r="AJ135" s="343" t="n">
        <v>65</v>
      </c>
      <c r="AK135" s="343" t="n">
        <v>65</v>
      </c>
      <c r="AL135" s="343" t="n">
        <v>65</v>
      </c>
      <c r="AM135" s="344">
        <f>SUM(AI135:AL135)</f>
        <v/>
      </c>
      <c r="AN135" s="343" t="n">
        <v>65</v>
      </c>
      <c r="AO135" s="343" t="n">
        <v>65</v>
      </c>
      <c r="AP135" s="343" t="n">
        <v>65</v>
      </c>
      <c r="AQ135" s="343" t="n">
        <v>65</v>
      </c>
      <c r="AR135" s="344">
        <f>SUM(AN135:AQ135)</f>
        <v/>
      </c>
    </row>
    <row r="136" ht="13.5" customHeight="1" s="290">
      <c r="A136" s="339" t="n"/>
      <c r="B136" s="340" t="inlineStr">
        <is>
          <t xml:space="preserve">  Debt Placement Bps — Acquisition Financing  —  Upside</t>
        </is>
      </c>
      <c r="E136" s="343" t="n">
        <v>70</v>
      </c>
      <c r="F136" s="343" t="n">
        <v>70</v>
      </c>
      <c r="G136" s="343" t="n">
        <v>70</v>
      </c>
      <c r="H136" s="343" t="n">
        <v>70</v>
      </c>
      <c r="I136" s="344">
        <f>SUM(E136:H136)</f>
        <v/>
      </c>
      <c r="J136" s="343" t="n">
        <v>70</v>
      </c>
      <c r="K136" s="343" t="n">
        <v>70</v>
      </c>
      <c r="L136" s="343" t="n">
        <v>70</v>
      </c>
      <c r="M136" s="343" t="n">
        <v>70</v>
      </c>
      <c r="N136" s="344">
        <f>SUM(J136:M136)</f>
        <v/>
      </c>
      <c r="O136" s="343" t="n">
        <v>70</v>
      </c>
      <c r="P136" s="343" t="n">
        <v>70</v>
      </c>
      <c r="Q136" s="343" t="n">
        <v>70</v>
      </c>
      <c r="R136" s="343" t="n">
        <v>70</v>
      </c>
      <c r="S136" s="344">
        <f>SUM(O136:R136)</f>
        <v/>
      </c>
      <c r="T136" s="343" t="n">
        <v>70</v>
      </c>
      <c r="U136" s="343" t="n">
        <v>70</v>
      </c>
      <c r="V136" s="343" t="n">
        <v>70</v>
      </c>
      <c r="W136" s="343" t="n">
        <v>70</v>
      </c>
      <c r="X136" s="344">
        <f>SUM(T136:W136)</f>
        <v/>
      </c>
      <c r="Y136" s="343" t="n">
        <v>70</v>
      </c>
      <c r="Z136" s="343" t="n">
        <v>70</v>
      </c>
      <c r="AA136" s="343" t="n">
        <v>70</v>
      </c>
      <c r="AB136" s="343" t="n">
        <v>70</v>
      </c>
      <c r="AC136" s="344">
        <f>SUM(Y136:AB136)</f>
        <v/>
      </c>
      <c r="AD136" s="343" t="n">
        <v>70</v>
      </c>
      <c r="AE136" s="343" t="n">
        <v>70</v>
      </c>
      <c r="AF136" s="343" t="n">
        <v>70</v>
      </c>
      <c r="AG136" s="343" t="n">
        <v>70</v>
      </c>
      <c r="AH136" s="344">
        <f>SUM(AD136:AG136)</f>
        <v/>
      </c>
      <c r="AI136" s="343" t="n">
        <v>70</v>
      </c>
      <c r="AJ136" s="343" t="n">
        <v>70</v>
      </c>
      <c r="AK136" s="343" t="n">
        <v>70</v>
      </c>
      <c r="AL136" s="343" t="n">
        <v>70</v>
      </c>
      <c r="AM136" s="344">
        <f>SUM(AI136:AL136)</f>
        <v/>
      </c>
      <c r="AN136" s="343" t="n">
        <v>70</v>
      </c>
      <c r="AO136" s="343" t="n">
        <v>70</v>
      </c>
      <c r="AP136" s="343" t="n">
        <v>70</v>
      </c>
      <c r="AQ136" s="343" t="n">
        <v>70</v>
      </c>
      <c r="AR136" s="344">
        <f>SUM(AN136:AQ136)</f>
        <v/>
      </c>
    </row>
    <row r="137" ht="13.5" customHeight="1" s="290">
      <c r="A137" s="339" t="n"/>
      <c r="B137" s="340" t="inlineStr">
        <is>
          <t xml:space="preserve">  Debt Placement Bps — Acquisition Financing  —  Downside</t>
        </is>
      </c>
      <c r="E137" s="343" t="n">
        <v>60</v>
      </c>
      <c r="F137" s="343" t="n">
        <v>60</v>
      </c>
      <c r="G137" s="343" t="n">
        <v>60</v>
      </c>
      <c r="H137" s="343" t="n">
        <v>60</v>
      </c>
      <c r="I137" s="344">
        <f>SUM(E137:H137)</f>
        <v/>
      </c>
      <c r="J137" s="343" t="n">
        <v>60</v>
      </c>
      <c r="K137" s="343" t="n">
        <v>60</v>
      </c>
      <c r="L137" s="343" t="n">
        <v>60</v>
      </c>
      <c r="M137" s="343" t="n">
        <v>60</v>
      </c>
      <c r="N137" s="344">
        <f>SUM(J137:M137)</f>
        <v/>
      </c>
      <c r="O137" s="343" t="n">
        <v>60</v>
      </c>
      <c r="P137" s="343" t="n">
        <v>60</v>
      </c>
      <c r="Q137" s="343" t="n">
        <v>60</v>
      </c>
      <c r="R137" s="343" t="n">
        <v>60</v>
      </c>
      <c r="S137" s="344">
        <f>SUM(O137:R137)</f>
        <v/>
      </c>
      <c r="T137" s="343" t="n">
        <v>60</v>
      </c>
      <c r="U137" s="343" t="n">
        <v>60</v>
      </c>
      <c r="V137" s="343" t="n">
        <v>60</v>
      </c>
      <c r="W137" s="343" t="n">
        <v>60</v>
      </c>
      <c r="X137" s="344">
        <f>SUM(T137:W137)</f>
        <v/>
      </c>
      <c r="Y137" s="343" t="n">
        <v>60</v>
      </c>
      <c r="Z137" s="343" t="n">
        <v>60</v>
      </c>
      <c r="AA137" s="343" t="n">
        <v>60</v>
      </c>
      <c r="AB137" s="343" t="n">
        <v>60</v>
      </c>
      <c r="AC137" s="344">
        <f>SUM(Y137:AB137)</f>
        <v/>
      </c>
      <c r="AD137" s="343" t="n">
        <v>60</v>
      </c>
      <c r="AE137" s="343" t="n">
        <v>60</v>
      </c>
      <c r="AF137" s="343" t="n">
        <v>60</v>
      </c>
      <c r="AG137" s="343" t="n">
        <v>60</v>
      </c>
      <c r="AH137" s="344">
        <f>SUM(AD137:AG137)</f>
        <v/>
      </c>
      <c r="AI137" s="343" t="n">
        <v>60</v>
      </c>
      <c r="AJ137" s="343" t="n">
        <v>60</v>
      </c>
      <c r="AK137" s="343" t="n">
        <v>60</v>
      </c>
      <c r="AL137" s="343" t="n">
        <v>60</v>
      </c>
      <c r="AM137" s="344">
        <f>SUM(AI137:AL137)</f>
        <v/>
      </c>
      <c r="AN137" s="343" t="n">
        <v>60</v>
      </c>
      <c r="AO137" s="343" t="n">
        <v>60</v>
      </c>
      <c r="AP137" s="343" t="n">
        <v>60</v>
      </c>
      <c r="AQ137" s="343" t="n">
        <v>60</v>
      </c>
      <c r="AR137" s="344">
        <f>SUM(AN137:AQ137)</f>
        <v/>
      </c>
    </row>
    <row r="138" ht="13.5" customHeight="1" s="290">
      <c r="A138" s="345" t="n"/>
      <c r="B138" s="346" t="inlineStr">
        <is>
          <t xml:space="preserve">  Debt Placement Bps — Acquisition Financing  —  ★ ACTIVE</t>
        </is>
      </c>
      <c r="E138" s="347">
        <f>IF('01 Cover &amp; Control'!$C$19="Base",E135,IF('01 Cover &amp; Control'!$C$19="Upside",E136,E137))</f>
        <v/>
      </c>
      <c r="F138" s="347">
        <f>IF('01 Cover &amp; Control'!$C$19="Base",F135,IF('01 Cover &amp; Control'!$C$19="Upside",F136,F137))</f>
        <v/>
      </c>
      <c r="G138" s="347">
        <f>IF('01 Cover &amp; Control'!$C$19="Base",G135,IF('01 Cover &amp; Control'!$C$19="Upside",G136,G137))</f>
        <v/>
      </c>
      <c r="H138" s="347">
        <f>IF('01 Cover &amp; Control'!$C$19="Base",H135,IF('01 Cover &amp; Control'!$C$19="Upside",H136,H137))</f>
        <v/>
      </c>
      <c r="I138" s="347">
        <f>SUM(E138:H138)</f>
        <v/>
      </c>
      <c r="J138" s="347">
        <f>IF('01 Cover &amp; Control'!$C$19="Base",J135,IF('01 Cover &amp; Control'!$C$19="Upside",J136,J137))</f>
        <v/>
      </c>
      <c r="K138" s="347">
        <f>IF('01 Cover &amp; Control'!$C$19="Base",K135,IF('01 Cover &amp; Control'!$C$19="Upside",K136,K137))</f>
        <v/>
      </c>
      <c r="L138" s="347">
        <f>IF('01 Cover &amp; Control'!$C$19="Base",L135,IF('01 Cover &amp; Control'!$C$19="Upside",L136,L137))</f>
        <v/>
      </c>
      <c r="M138" s="347">
        <f>IF('01 Cover &amp; Control'!$C$19="Base",M135,IF('01 Cover &amp; Control'!$C$19="Upside",M136,M137))</f>
        <v/>
      </c>
      <c r="N138" s="347">
        <f>SUM(J138:M138)</f>
        <v/>
      </c>
      <c r="O138" s="347">
        <f>IF('01 Cover &amp; Control'!$C$19="Base",O135,IF('01 Cover &amp; Control'!$C$19="Upside",O136,O137))</f>
        <v/>
      </c>
      <c r="P138" s="347">
        <f>IF('01 Cover &amp; Control'!$C$19="Base",P135,IF('01 Cover &amp; Control'!$C$19="Upside",P136,P137))</f>
        <v/>
      </c>
      <c r="Q138" s="347">
        <f>IF('01 Cover &amp; Control'!$C$19="Base",Q135,IF('01 Cover &amp; Control'!$C$19="Upside",Q136,Q137))</f>
        <v/>
      </c>
      <c r="R138" s="347">
        <f>IF('01 Cover &amp; Control'!$C$19="Base",R135,IF('01 Cover &amp; Control'!$C$19="Upside",R136,R137))</f>
        <v/>
      </c>
      <c r="S138" s="347">
        <f>SUM(O138:R138)</f>
        <v/>
      </c>
      <c r="T138" s="347">
        <f>IF('01 Cover &amp; Control'!$C$19="Base",T135,IF('01 Cover &amp; Control'!$C$19="Upside",T136,T137))</f>
        <v/>
      </c>
      <c r="U138" s="347">
        <f>IF('01 Cover &amp; Control'!$C$19="Base",U135,IF('01 Cover &amp; Control'!$C$19="Upside",U136,U137))</f>
        <v/>
      </c>
      <c r="V138" s="347">
        <f>IF('01 Cover &amp; Control'!$C$19="Base",V135,IF('01 Cover &amp; Control'!$C$19="Upside",V136,V137))</f>
        <v/>
      </c>
      <c r="W138" s="347">
        <f>IF('01 Cover &amp; Control'!$C$19="Base",W135,IF('01 Cover &amp; Control'!$C$19="Upside",W136,W137))</f>
        <v/>
      </c>
      <c r="X138" s="347">
        <f>SUM(T138:W138)</f>
        <v/>
      </c>
      <c r="Y138" s="347">
        <f>IF('01 Cover &amp; Control'!$C$19="Base",Y135,IF('01 Cover &amp; Control'!$C$19="Upside",Y136,Y137))</f>
        <v/>
      </c>
      <c r="Z138" s="347">
        <f>IF('01 Cover &amp; Control'!$C$19="Base",Z135,IF('01 Cover &amp; Control'!$C$19="Upside",Z136,Z137))</f>
        <v/>
      </c>
      <c r="AA138" s="347">
        <f>IF('01 Cover &amp; Control'!$C$19="Base",AA135,IF('01 Cover &amp; Control'!$C$19="Upside",AA136,AA137))</f>
        <v/>
      </c>
      <c r="AB138" s="347">
        <f>IF('01 Cover &amp; Control'!$C$19="Base",AB135,IF('01 Cover &amp; Control'!$C$19="Upside",AB136,AB137))</f>
        <v/>
      </c>
      <c r="AC138" s="347">
        <f>SUM(Y138:AB138)</f>
        <v/>
      </c>
      <c r="AD138" s="347">
        <f>IF('01 Cover &amp; Control'!$C$19="Base",AD135,IF('01 Cover &amp; Control'!$C$19="Upside",AD136,AD137))</f>
        <v/>
      </c>
      <c r="AE138" s="347">
        <f>IF('01 Cover &amp; Control'!$C$19="Base",AE135,IF('01 Cover &amp; Control'!$C$19="Upside",AE136,AE137))</f>
        <v/>
      </c>
      <c r="AF138" s="347">
        <f>IF('01 Cover &amp; Control'!$C$19="Base",AF135,IF('01 Cover &amp; Control'!$C$19="Upside",AF136,AF137))</f>
        <v/>
      </c>
      <c r="AG138" s="347">
        <f>IF('01 Cover &amp; Control'!$C$19="Base",AG135,IF('01 Cover &amp; Control'!$C$19="Upside",AG136,AG137))</f>
        <v/>
      </c>
      <c r="AH138" s="347">
        <f>SUM(AD138:AG138)</f>
        <v/>
      </c>
      <c r="AI138" s="347">
        <f>IF('01 Cover &amp; Control'!$C$19="Base",AI135,IF('01 Cover &amp; Control'!$C$19="Upside",AI136,AI137))</f>
        <v/>
      </c>
      <c r="AJ138" s="347">
        <f>IF('01 Cover &amp; Control'!$C$19="Base",AJ135,IF('01 Cover &amp; Control'!$C$19="Upside",AJ136,AJ137))</f>
        <v/>
      </c>
      <c r="AK138" s="347">
        <f>IF('01 Cover &amp; Control'!$C$19="Base",AK135,IF('01 Cover &amp; Control'!$C$19="Upside",AK136,AK137))</f>
        <v/>
      </c>
      <c r="AL138" s="347">
        <f>IF('01 Cover &amp; Control'!$C$19="Base",AL135,IF('01 Cover &amp; Control'!$C$19="Upside",AL136,AL137))</f>
        <v/>
      </c>
      <c r="AM138" s="347">
        <f>SUM(AI138:AL138)</f>
        <v/>
      </c>
      <c r="AN138" s="347">
        <f>IF('01 Cover &amp; Control'!$C$19="Base",AN135,IF('01 Cover &amp; Control'!$C$19="Upside",AN136,AN137))</f>
        <v/>
      </c>
      <c r="AO138" s="347">
        <f>IF('01 Cover &amp; Control'!$C$19="Base",AO135,IF('01 Cover &amp; Control'!$C$19="Upside",AO136,AO137))</f>
        <v/>
      </c>
      <c r="AP138" s="347">
        <f>IF('01 Cover &amp; Control'!$C$19="Base",AP135,IF('01 Cover &amp; Control'!$C$19="Upside",AP136,AP137))</f>
        <v/>
      </c>
      <c r="AQ138" s="347">
        <f>IF('01 Cover &amp; Control'!$C$19="Base",AQ135,IF('01 Cover &amp; Control'!$C$19="Upside",AQ136,AQ137))</f>
        <v/>
      </c>
      <c r="AR138" s="347">
        <f>SUM(AN138:AQ138)</f>
        <v/>
      </c>
    </row>
    <row r="139" ht="3.75" customHeight="1" s="290"/>
    <row r="140" ht="13.5" customHeight="1" s="290">
      <c r="A140" s="339" t="n"/>
      <c r="B140" s="340" t="inlineStr">
        <is>
          <t xml:space="preserve">  Debt Placement Bps — Refinancing  —  Base</t>
        </is>
      </c>
      <c r="C140" s="341" t="inlineStr">
        <is>
          <t>bps</t>
        </is>
      </c>
      <c r="D140" s="342" t="inlineStr">
        <is>
          <t>MBA; industry norms. Typical range: 50–85 bps.</t>
        </is>
      </c>
      <c r="E140" s="343" t="n">
        <v>50</v>
      </c>
      <c r="F140" s="343" t="n">
        <v>50</v>
      </c>
      <c r="G140" s="343" t="n">
        <v>50</v>
      </c>
      <c r="H140" s="343" t="n">
        <v>50</v>
      </c>
      <c r="I140" s="344">
        <f>SUM(E140:H140)</f>
        <v/>
      </c>
      <c r="J140" s="343" t="n">
        <v>50</v>
      </c>
      <c r="K140" s="343" t="n">
        <v>50</v>
      </c>
      <c r="L140" s="343" t="n">
        <v>50</v>
      </c>
      <c r="M140" s="343" t="n">
        <v>50</v>
      </c>
      <c r="N140" s="344">
        <f>SUM(J140:M140)</f>
        <v/>
      </c>
      <c r="O140" s="343" t="n">
        <v>50</v>
      </c>
      <c r="P140" s="343" t="n">
        <v>50</v>
      </c>
      <c r="Q140" s="343" t="n">
        <v>50</v>
      </c>
      <c r="R140" s="343" t="n">
        <v>50</v>
      </c>
      <c r="S140" s="344">
        <f>SUM(O140:R140)</f>
        <v/>
      </c>
      <c r="T140" s="343" t="n">
        <v>50</v>
      </c>
      <c r="U140" s="343" t="n">
        <v>50</v>
      </c>
      <c r="V140" s="343" t="n">
        <v>50</v>
      </c>
      <c r="W140" s="343" t="n">
        <v>50</v>
      </c>
      <c r="X140" s="344">
        <f>SUM(T140:W140)</f>
        <v/>
      </c>
      <c r="Y140" s="343" t="n">
        <v>50</v>
      </c>
      <c r="Z140" s="343" t="n">
        <v>50</v>
      </c>
      <c r="AA140" s="343" t="n">
        <v>50</v>
      </c>
      <c r="AB140" s="343" t="n">
        <v>50</v>
      </c>
      <c r="AC140" s="344">
        <f>SUM(Y140:AB140)</f>
        <v/>
      </c>
      <c r="AD140" s="343" t="n">
        <v>50</v>
      </c>
      <c r="AE140" s="343" t="n">
        <v>50</v>
      </c>
      <c r="AF140" s="343" t="n">
        <v>50</v>
      </c>
      <c r="AG140" s="343" t="n">
        <v>50</v>
      </c>
      <c r="AH140" s="344">
        <f>SUM(AD140:AG140)</f>
        <v/>
      </c>
      <c r="AI140" s="343" t="n">
        <v>50</v>
      </c>
      <c r="AJ140" s="343" t="n">
        <v>50</v>
      </c>
      <c r="AK140" s="343" t="n">
        <v>50</v>
      </c>
      <c r="AL140" s="343" t="n">
        <v>50</v>
      </c>
      <c r="AM140" s="344">
        <f>SUM(AI140:AL140)</f>
        <v/>
      </c>
      <c r="AN140" s="343" t="n">
        <v>50</v>
      </c>
      <c r="AO140" s="343" t="n">
        <v>50</v>
      </c>
      <c r="AP140" s="343" t="n">
        <v>50</v>
      </c>
      <c r="AQ140" s="343" t="n">
        <v>50</v>
      </c>
      <c r="AR140" s="344">
        <f>SUM(AN140:AQ140)</f>
        <v/>
      </c>
    </row>
    <row r="141" ht="13.5" customHeight="1" s="290">
      <c r="A141" s="339" t="n"/>
      <c r="B141" s="340" t="inlineStr">
        <is>
          <t xml:space="preserve">  Debt Placement Bps — Refinancing  —  Upside</t>
        </is>
      </c>
      <c r="E141" s="343" t="n">
        <v>54</v>
      </c>
      <c r="F141" s="343" t="n">
        <v>54</v>
      </c>
      <c r="G141" s="343" t="n">
        <v>54</v>
      </c>
      <c r="H141" s="343" t="n">
        <v>54</v>
      </c>
      <c r="I141" s="344">
        <f>SUM(E141:H141)</f>
        <v/>
      </c>
      <c r="J141" s="343" t="n">
        <v>54</v>
      </c>
      <c r="K141" s="343" t="n">
        <v>54</v>
      </c>
      <c r="L141" s="343" t="n">
        <v>54</v>
      </c>
      <c r="M141" s="343" t="n">
        <v>54</v>
      </c>
      <c r="N141" s="344">
        <f>SUM(J141:M141)</f>
        <v/>
      </c>
      <c r="O141" s="343" t="n">
        <v>54</v>
      </c>
      <c r="P141" s="343" t="n">
        <v>54</v>
      </c>
      <c r="Q141" s="343" t="n">
        <v>54</v>
      </c>
      <c r="R141" s="343" t="n">
        <v>54</v>
      </c>
      <c r="S141" s="344">
        <f>SUM(O141:R141)</f>
        <v/>
      </c>
      <c r="T141" s="343" t="n">
        <v>54</v>
      </c>
      <c r="U141" s="343" t="n">
        <v>54</v>
      </c>
      <c r="V141" s="343" t="n">
        <v>54</v>
      </c>
      <c r="W141" s="343" t="n">
        <v>54</v>
      </c>
      <c r="X141" s="344">
        <f>SUM(T141:W141)</f>
        <v/>
      </c>
      <c r="Y141" s="343" t="n">
        <v>54</v>
      </c>
      <c r="Z141" s="343" t="n">
        <v>54</v>
      </c>
      <c r="AA141" s="343" t="n">
        <v>54</v>
      </c>
      <c r="AB141" s="343" t="n">
        <v>54</v>
      </c>
      <c r="AC141" s="344">
        <f>SUM(Y141:AB141)</f>
        <v/>
      </c>
      <c r="AD141" s="343" t="n">
        <v>54</v>
      </c>
      <c r="AE141" s="343" t="n">
        <v>54</v>
      </c>
      <c r="AF141" s="343" t="n">
        <v>54</v>
      </c>
      <c r="AG141" s="343" t="n">
        <v>54</v>
      </c>
      <c r="AH141" s="344">
        <f>SUM(AD141:AG141)</f>
        <v/>
      </c>
      <c r="AI141" s="343" t="n">
        <v>54</v>
      </c>
      <c r="AJ141" s="343" t="n">
        <v>54</v>
      </c>
      <c r="AK141" s="343" t="n">
        <v>54</v>
      </c>
      <c r="AL141" s="343" t="n">
        <v>54</v>
      </c>
      <c r="AM141" s="344">
        <f>SUM(AI141:AL141)</f>
        <v/>
      </c>
      <c r="AN141" s="343" t="n">
        <v>54</v>
      </c>
      <c r="AO141" s="343" t="n">
        <v>54</v>
      </c>
      <c r="AP141" s="343" t="n">
        <v>54</v>
      </c>
      <c r="AQ141" s="343" t="n">
        <v>54</v>
      </c>
      <c r="AR141" s="344">
        <f>SUM(AN141:AQ141)</f>
        <v/>
      </c>
    </row>
    <row r="142" ht="13.5" customHeight="1" s="290">
      <c r="A142" s="339" t="n"/>
      <c r="B142" s="340" t="inlineStr">
        <is>
          <t xml:space="preserve">  Debt Placement Bps — Refinancing  —  Downside</t>
        </is>
      </c>
      <c r="E142" s="343" t="n">
        <v>46</v>
      </c>
      <c r="F142" s="343" t="n">
        <v>46</v>
      </c>
      <c r="G142" s="343" t="n">
        <v>46</v>
      </c>
      <c r="H142" s="343" t="n">
        <v>46</v>
      </c>
      <c r="I142" s="344">
        <f>SUM(E142:H142)</f>
        <v/>
      </c>
      <c r="J142" s="343" t="n">
        <v>46</v>
      </c>
      <c r="K142" s="343" t="n">
        <v>46</v>
      </c>
      <c r="L142" s="343" t="n">
        <v>46</v>
      </c>
      <c r="M142" s="343" t="n">
        <v>46</v>
      </c>
      <c r="N142" s="344">
        <f>SUM(J142:M142)</f>
        <v/>
      </c>
      <c r="O142" s="343" t="n">
        <v>46</v>
      </c>
      <c r="P142" s="343" t="n">
        <v>46</v>
      </c>
      <c r="Q142" s="343" t="n">
        <v>46</v>
      </c>
      <c r="R142" s="343" t="n">
        <v>46</v>
      </c>
      <c r="S142" s="344">
        <f>SUM(O142:R142)</f>
        <v/>
      </c>
      <c r="T142" s="343" t="n">
        <v>46</v>
      </c>
      <c r="U142" s="343" t="n">
        <v>46</v>
      </c>
      <c r="V142" s="343" t="n">
        <v>46</v>
      </c>
      <c r="W142" s="343" t="n">
        <v>46</v>
      </c>
      <c r="X142" s="344">
        <f>SUM(T142:W142)</f>
        <v/>
      </c>
      <c r="Y142" s="343" t="n">
        <v>46</v>
      </c>
      <c r="Z142" s="343" t="n">
        <v>46</v>
      </c>
      <c r="AA142" s="343" t="n">
        <v>46</v>
      </c>
      <c r="AB142" s="343" t="n">
        <v>46</v>
      </c>
      <c r="AC142" s="344">
        <f>SUM(Y142:AB142)</f>
        <v/>
      </c>
      <c r="AD142" s="343" t="n">
        <v>46</v>
      </c>
      <c r="AE142" s="343" t="n">
        <v>46</v>
      </c>
      <c r="AF142" s="343" t="n">
        <v>46</v>
      </c>
      <c r="AG142" s="343" t="n">
        <v>46</v>
      </c>
      <c r="AH142" s="344">
        <f>SUM(AD142:AG142)</f>
        <v/>
      </c>
      <c r="AI142" s="343" t="n">
        <v>46</v>
      </c>
      <c r="AJ142" s="343" t="n">
        <v>46</v>
      </c>
      <c r="AK142" s="343" t="n">
        <v>46</v>
      </c>
      <c r="AL142" s="343" t="n">
        <v>46</v>
      </c>
      <c r="AM142" s="344">
        <f>SUM(AI142:AL142)</f>
        <v/>
      </c>
      <c r="AN142" s="343" t="n">
        <v>46</v>
      </c>
      <c r="AO142" s="343" t="n">
        <v>46</v>
      </c>
      <c r="AP142" s="343" t="n">
        <v>46</v>
      </c>
      <c r="AQ142" s="343" t="n">
        <v>46</v>
      </c>
      <c r="AR142" s="344">
        <f>SUM(AN142:AQ142)</f>
        <v/>
      </c>
    </row>
    <row r="143" ht="13.5" customHeight="1" s="290">
      <c r="A143" s="345" t="n"/>
      <c r="B143" s="346" t="inlineStr">
        <is>
          <t xml:space="preserve">  Debt Placement Bps — Refinancing  —  ★ ACTIVE</t>
        </is>
      </c>
      <c r="E143" s="347">
        <f>IF('01 Cover &amp; Control'!$C$19="Base",E140,IF('01 Cover &amp; Control'!$C$19="Upside",E141,E142))</f>
        <v/>
      </c>
      <c r="F143" s="347">
        <f>IF('01 Cover &amp; Control'!$C$19="Base",F140,IF('01 Cover &amp; Control'!$C$19="Upside",F141,F142))</f>
        <v/>
      </c>
      <c r="G143" s="347">
        <f>IF('01 Cover &amp; Control'!$C$19="Base",G140,IF('01 Cover &amp; Control'!$C$19="Upside",G141,G142))</f>
        <v/>
      </c>
      <c r="H143" s="347">
        <f>IF('01 Cover &amp; Control'!$C$19="Base",H140,IF('01 Cover &amp; Control'!$C$19="Upside",H141,H142))</f>
        <v/>
      </c>
      <c r="I143" s="347">
        <f>SUM(E143:H143)</f>
        <v/>
      </c>
      <c r="J143" s="347">
        <f>IF('01 Cover &amp; Control'!$C$19="Base",J140,IF('01 Cover &amp; Control'!$C$19="Upside",J141,J142))</f>
        <v/>
      </c>
      <c r="K143" s="347">
        <f>IF('01 Cover &amp; Control'!$C$19="Base",K140,IF('01 Cover &amp; Control'!$C$19="Upside",K141,K142))</f>
        <v/>
      </c>
      <c r="L143" s="347">
        <f>IF('01 Cover &amp; Control'!$C$19="Base",L140,IF('01 Cover &amp; Control'!$C$19="Upside",L141,L142))</f>
        <v/>
      </c>
      <c r="M143" s="347">
        <f>IF('01 Cover &amp; Control'!$C$19="Base",M140,IF('01 Cover &amp; Control'!$C$19="Upside",M141,M142))</f>
        <v/>
      </c>
      <c r="N143" s="347">
        <f>SUM(J143:M143)</f>
        <v/>
      </c>
      <c r="O143" s="347">
        <f>IF('01 Cover &amp; Control'!$C$19="Base",O140,IF('01 Cover &amp; Control'!$C$19="Upside",O141,O142))</f>
        <v/>
      </c>
      <c r="P143" s="347">
        <f>IF('01 Cover &amp; Control'!$C$19="Base",P140,IF('01 Cover &amp; Control'!$C$19="Upside",P141,P142))</f>
        <v/>
      </c>
      <c r="Q143" s="347">
        <f>IF('01 Cover &amp; Control'!$C$19="Base",Q140,IF('01 Cover &amp; Control'!$C$19="Upside",Q141,Q142))</f>
        <v/>
      </c>
      <c r="R143" s="347">
        <f>IF('01 Cover &amp; Control'!$C$19="Base",R140,IF('01 Cover &amp; Control'!$C$19="Upside",R141,R142))</f>
        <v/>
      </c>
      <c r="S143" s="347">
        <f>SUM(O143:R143)</f>
        <v/>
      </c>
      <c r="T143" s="347">
        <f>IF('01 Cover &amp; Control'!$C$19="Base",T140,IF('01 Cover &amp; Control'!$C$19="Upside",T141,T142))</f>
        <v/>
      </c>
      <c r="U143" s="347">
        <f>IF('01 Cover &amp; Control'!$C$19="Base",U140,IF('01 Cover &amp; Control'!$C$19="Upside",U141,U142))</f>
        <v/>
      </c>
      <c r="V143" s="347">
        <f>IF('01 Cover &amp; Control'!$C$19="Base",V140,IF('01 Cover &amp; Control'!$C$19="Upside",V141,V142))</f>
        <v/>
      </c>
      <c r="W143" s="347">
        <f>IF('01 Cover &amp; Control'!$C$19="Base",W140,IF('01 Cover &amp; Control'!$C$19="Upside",W141,W142))</f>
        <v/>
      </c>
      <c r="X143" s="347">
        <f>SUM(T143:W143)</f>
        <v/>
      </c>
      <c r="Y143" s="347">
        <f>IF('01 Cover &amp; Control'!$C$19="Base",Y140,IF('01 Cover &amp; Control'!$C$19="Upside",Y141,Y142))</f>
        <v/>
      </c>
      <c r="Z143" s="347">
        <f>IF('01 Cover &amp; Control'!$C$19="Base",Z140,IF('01 Cover &amp; Control'!$C$19="Upside",Z141,Z142))</f>
        <v/>
      </c>
      <c r="AA143" s="347">
        <f>IF('01 Cover &amp; Control'!$C$19="Base",AA140,IF('01 Cover &amp; Control'!$C$19="Upside",AA141,AA142))</f>
        <v/>
      </c>
      <c r="AB143" s="347">
        <f>IF('01 Cover &amp; Control'!$C$19="Base",AB140,IF('01 Cover &amp; Control'!$C$19="Upside",AB141,AB142))</f>
        <v/>
      </c>
      <c r="AC143" s="347">
        <f>SUM(Y143:AB143)</f>
        <v/>
      </c>
      <c r="AD143" s="347">
        <f>IF('01 Cover &amp; Control'!$C$19="Base",AD140,IF('01 Cover &amp; Control'!$C$19="Upside",AD141,AD142))</f>
        <v/>
      </c>
      <c r="AE143" s="347">
        <f>IF('01 Cover &amp; Control'!$C$19="Base",AE140,IF('01 Cover &amp; Control'!$C$19="Upside",AE141,AE142))</f>
        <v/>
      </c>
      <c r="AF143" s="347">
        <f>IF('01 Cover &amp; Control'!$C$19="Base",AF140,IF('01 Cover &amp; Control'!$C$19="Upside",AF141,AF142))</f>
        <v/>
      </c>
      <c r="AG143" s="347">
        <f>IF('01 Cover &amp; Control'!$C$19="Base",AG140,IF('01 Cover &amp; Control'!$C$19="Upside",AG141,AG142))</f>
        <v/>
      </c>
      <c r="AH143" s="347">
        <f>SUM(AD143:AG143)</f>
        <v/>
      </c>
      <c r="AI143" s="347">
        <f>IF('01 Cover &amp; Control'!$C$19="Base",AI140,IF('01 Cover &amp; Control'!$C$19="Upside",AI141,AI142))</f>
        <v/>
      </c>
      <c r="AJ143" s="347">
        <f>IF('01 Cover &amp; Control'!$C$19="Base",AJ140,IF('01 Cover &amp; Control'!$C$19="Upside",AJ141,AJ142))</f>
        <v/>
      </c>
      <c r="AK143" s="347">
        <f>IF('01 Cover &amp; Control'!$C$19="Base",AK140,IF('01 Cover &amp; Control'!$C$19="Upside",AK141,AK142))</f>
        <v/>
      </c>
      <c r="AL143" s="347">
        <f>IF('01 Cover &amp; Control'!$C$19="Base",AL140,IF('01 Cover &amp; Control'!$C$19="Upside",AL141,AL142))</f>
        <v/>
      </c>
      <c r="AM143" s="347">
        <f>SUM(AI143:AL143)</f>
        <v/>
      </c>
      <c r="AN143" s="347">
        <f>IF('01 Cover &amp; Control'!$C$19="Base",AN140,IF('01 Cover &amp; Control'!$C$19="Upside",AN141,AN142))</f>
        <v/>
      </c>
      <c r="AO143" s="347">
        <f>IF('01 Cover &amp; Control'!$C$19="Base",AO140,IF('01 Cover &amp; Control'!$C$19="Upside",AO141,AO142))</f>
        <v/>
      </c>
      <c r="AP143" s="347">
        <f>IF('01 Cover &amp; Control'!$C$19="Base",AP140,IF('01 Cover &amp; Control'!$C$19="Upside",AP141,AP142))</f>
        <v/>
      </c>
      <c r="AQ143" s="347">
        <f>IF('01 Cover &amp; Control'!$C$19="Base",AQ140,IF('01 Cover &amp; Control'!$C$19="Upside",AQ141,AQ142))</f>
        <v/>
      </c>
      <c r="AR143" s="347">
        <f>SUM(AN143:AQ143)</f>
        <v/>
      </c>
    </row>
    <row r="144" ht="3.75" customHeight="1" s="290"/>
    <row r="145" ht="13.5" customHeight="1" s="290">
      <c r="A145" s="339" t="n"/>
      <c r="B145" s="340" t="inlineStr">
        <is>
          <t xml:space="preserve">  Equity Placement Fee  —  Base</t>
        </is>
      </c>
      <c r="C145" s="341" t="inlineStr">
        <is>
          <t>%</t>
        </is>
      </c>
      <c r="D145" s="342" t="inlineStr">
        <is>
          <t>Industry norms; private equity placement norms. Typical range: 1.0–3.0%.</t>
        </is>
      </c>
      <c r="E145" s="343" t="n">
        <v>0.0125</v>
      </c>
      <c r="F145" s="343" t="n">
        <v>0.0125</v>
      </c>
      <c r="G145" s="343" t="n">
        <v>0.0125</v>
      </c>
      <c r="H145" s="343" t="n">
        <v>0.0125</v>
      </c>
      <c r="I145" s="344">
        <f>SUM(E145:H145)</f>
        <v/>
      </c>
      <c r="J145" s="343" t="n">
        <v>0.0125</v>
      </c>
      <c r="K145" s="343" t="n">
        <v>0.0125</v>
      </c>
      <c r="L145" s="343" t="n">
        <v>0.0125</v>
      </c>
      <c r="M145" s="343" t="n">
        <v>0.0125</v>
      </c>
      <c r="N145" s="344">
        <f>SUM(J145:M145)</f>
        <v/>
      </c>
      <c r="O145" s="343" t="n">
        <v>0.0125</v>
      </c>
      <c r="P145" s="343" t="n">
        <v>0.0125</v>
      </c>
      <c r="Q145" s="343" t="n">
        <v>0.0125</v>
      </c>
      <c r="R145" s="343" t="n">
        <v>0.0125</v>
      </c>
      <c r="S145" s="344">
        <f>SUM(O145:R145)</f>
        <v/>
      </c>
      <c r="T145" s="343" t="n">
        <v>0.0125</v>
      </c>
      <c r="U145" s="343" t="n">
        <v>0.0125</v>
      </c>
      <c r="V145" s="343" t="n">
        <v>0.0125</v>
      </c>
      <c r="W145" s="343" t="n">
        <v>0.0125</v>
      </c>
      <c r="X145" s="344">
        <f>SUM(T145:W145)</f>
        <v/>
      </c>
      <c r="Y145" s="343" t="n">
        <v>0.0125</v>
      </c>
      <c r="Z145" s="343" t="n">
        <v>0.0125</v>
      </c>
      <c r="AA145" s="343" t="n">
        <v>0.0125</v>
      </c>
      <c r="AB145" s="343" t="n">
        <v>0.0125</v>
      </c>
      <c r="AC145" s="344">
        <f>SUM(Y145:AB145)</f>
        <v/>
      </c>
      <c r="AD145" s="343" t="n">
        <v>0.0125</v>
      </c>
      <c r="AE145" s="343" t="n">
        <v>0.0125</v>
      </c>
      <c r="AF145" s="343" t="n">
        <v>0.0125</v>
      </c>
      <c r="AG145" s="343" t="n">
        <v>0.0125</v>
      </c>
      <c r="AH145" s="344">
        <f>SUM(AD145:AG145)</f>
        <v/>
      </c>
      <c r="AI145" s="343" t="n">
        <v>0.0125</v>
      </c>
      <c r="AJ145" s="343" t="n">
        <v>0.0125</v>
      </c>
      <c r="AK145" s="343" t="n">
        <v>0.0125</v>
      </c>
      <c r="AL145" s="343" t="n">
        <v>0.0125</v>
      </c>
      <c r="AM145" s="344">
        <f>SUM(AI145:AL145)</f>
        <v/>
      </c>
      <c r="AN145" s="343" t="n">
        <v>0.0125</v>
      </c>
      <c r="AO145" s="343" t="n">
        <v>0.0125</v>
      </c>
      <c r="AP145" s="343" t="n">
        <v>0.0125</v>
      </c>
      <c r="AQ145" s="343" t="n">
        <v>0.0125</v>
      </c>
      <c r="AR145" s="344">
        <f>SUM(AN145:AQ145)</f>
        <v/>
      </c>
    </row>
    <row r="146" ht="13.5" customHeight="1" s="290">
      <c r="A146" s="339" t="n"/>
      <c r="B146" s="340" t="inlineStr">
        <is>
          <t xml:space="preserve">  Equity Placement Fee  —  Upside</t>
        </is>
      </c>
      <c r="E146" s="343" t="n">
        <v>0.015</v>
      </c>
      <c r="F146" s="343" t="n">
        <v>0.015</v>
      </c>
      <c r="G146" s="343" t="n">
        <v>0.015</v>
      </c>
      <c r="H146" s="343" t="n">
        <v>0.015</v>
      </c>
      <c r="I146" s="344">
        <f>SUM(E146:H146)</f>
        <v/>
      </c>
      <c r="J146" s="343" t="n">
        <v>0.015</v>
      </c>
      <c r="K146" s="343" t="n">
        <v>0.015</v>
      </c>
      <c r="L146" s="343" t="n">
        <v>0.015</v>
      </c>
      <c r="M146" s="343" t="n">
        <v>0.015</v>
      </c>
      <c r="N146" s="344">
        <f>SUM(J146:M146)</f>
        <v/>
      </c>
      <c r="O146" s="343" t="n">
        <v>0.015</v>
      </c>
      <c r="P146" s="343" t="n">
        <v>0.015</v>
      </c>
      <c r="Q146" s="343" t="n">
        <v>0.015</v>
      </c>
      <c r="R146" s="343" t="n">
        <v>0.015</v>
      </c>
      <c r="S146" s="344">
        <f>SUM(O146:R146)</f>
        <v/>
      </c>
      <c r="T146" s="343" t="n">
        <v>0.015</v>
      </c>
      <c r="U146" s="343" t="n">
        <v>0.015</v>
      </c>
      <c r="V146" s="343" t="n">
        <v>0.015</v>
      </c>
      <c r="W146" s="343" t="n">
        <v>0.015</v>
      </c>
      <c r="X146" s="344">
        <f>SUM(T146:W146)</f>
        <v/>
      </c>
      <c r="Y146" s="343" t="n">
        <v>0.015</v>
      </c>
      <c r="Z146" s="343" t="n">
        <v>0.015</v>
      </c>
      <c r="AA146" s="343" t="n">
        <v>0.015</v>
      </c>
      <c r="AB146" s="343" t="n">
        <v>0.015</v>
      </c>
      <c r="AC146" s="344">
        <f>SUM(Y146:AB146)</f>
        <v/>
      </c>
      <c r="AD146" s="343" t="n">
        <v>0.015</v>
      </c>
      <c r="AE146" s="343" t="n">
        <v>0.015</v>
      </c>
      <c r="AF146" s="343" t="n">
        <v>0.015</v>
      </c>
      <c r="AG146" s="343" t="n">
        <v>0.015</v>
      </c>
      <c r="AH146" s="344">
        <f>SUM(AD146:AG146)</f>
        <v/>
      </c>
      <c r="AI146" s="343" t="n">
        <v>0.015</v>
      </c>
      <c r="AJ146" s="343" t="n">
        <v>0.015</v>
      </c>
      <c r="AK146" s="343" t="n">
        <v>0.015</v>
      </c>
      <c r="AL146" s="343" t="n">
        <v>0.015</v>
      </c>
      <c r="AM146" s="344">
        <f>SUM(AI146:AL146)</f>
        <v/>
      </c>
      <c r="AN146" s="343" t="n">
        <v>0.015</v>
      </c>
      <c r="AO146" s="343" t="n">
        <v>0.015</v>
      </c>
      <c r="AP146" s="343" t="n">
        <v>0.015</v>
      </c>
      <c r="AQ146" s="343" t="n">
        <v>0.015</v>
      </c>
      <c r="AR146" s="344">
        <f>SUM(AN146:AQ146)</f>
        <v/>
      </c>
    </row>
    <row r="147" ht="13.5" customHeight="1" s="290">
      <c r="A147" s="339" t="n"/>
      <c r="B147" s="340" t="inlineStr">
        <is>
          <t xml:space="preserve">  Equity Placement Fee  —  Downside</t>
        </is>
      </c>
      <c r="E147" s="343" t="n">
        <v>0.01</v>
      </c>
      <c r="F147" s="343" t="n">
        <v>0.01</v>
      </c>
      <c r="G147" s="343" t="n">
        <v>0.01</v>
      </c>
      <c r="H147" s="343" t="n">
        <v>0.01</v>
      </c>
      <c r="I147" s="344">
        <f>SUM(E147:H147)</f>
        <v/>
      </c>
      <c r="J147" s="343" t="n">
        <v>0.01</v>
      </c>
      <c r="K147" s="343" t="n">
        <v>0.01</v>
      </c>
      <c r="L147" s="343" t="n">
        <v>0.01</v>
      </c>
      <c r="M147" s="343" t="n">
        <v>0.01</v>
      </c>
      <c r="N147" s="344">
        <f>SUM(J147:M147)</f>
        <v/>
      </c>
      <c r="O147" s="343" t="n">
        <v>0.01</v>
      </c>
      <c r="P147" s="343" t="n">
        <v>0.01</v>
      </c>
      <c r="Q147" s="343" t="n">
        <v>0.01</v>
      </c>
      <c r="R147" s="343" t="n">
        <v>0.01</v>
      </c>
      <c r="S147" s="344">
        <f>SUM(O147:R147)</f>
        <v/>
      </c>
      <c r="T147" s="343" t="n">
        <v>0.01</v>
      </c>
      <c r="U147" s="343" t="n">
        <v>0.01</v>
      </c>
      <c r="V147" s="343" t="n">
        <v>0.01</v>
      </c>
      <c r="W147" s="343" t="n">
        <v>0.01</v>
      </c>
      <c r="X147" s="344">
        <f>SUM(T147:W147)</f>
        <v/>
      </c>
      <c r="Y147" s="343" t="n">
        <v>0.01</v>
      </c>
      <c r="Z147" s="343" t="n">
        <v>0.01</v>
      </c>
      <c r="AA147" s="343" t="n">
        <v>0.01</v>
      </c>
      <c r="AB147" s="343" t="n">
        <v>0.01</v>
      </c>
      <c r="AC147" s="344">
        <f>SUM(Y147:AB147)</f>
        <v/>
      </c>
      <c r="AD147" s="343" t="n">
        <v>0.01</v>
      </c>
      <c r="AE147" s="343" t="n">
        <v>0.01</v>
      </c>
      <c r="AF147" s="343" t="n">
        <v>0.01</v>
      </c>
      <c r="AG147" s="343" t="n">
        <v>0.01</v>
      </c>
      <c r="AH147" s="344">
        <f>SUM(AD147:AG147)</f>
        <v/>
      </c>
      <c r="AI147" s="343" t="n">
        <v>0.01</v>
      </c>
      <c r="AJ147" s="343" t="n">
        <v>0.01</v>
      </c>
      <c r="AK147" s="343" t="n">
        <v>0.01</v>
      </c>
      <c r="AL147" s="343" t="n">
        <v>0.01</v>
      </c>
      <c r="AM147" s="344">
        <f>SUM(AI147:AL147)</f>
        <v/>
      </c>
      <c r="AN147" s="343" t="n">
        <v>0.01</v>
      </c>
      <c r="AO147" s="343" t="n">
        <v>0.01</v>
      </c>
      <c r="AP147" s="343" t="n">
        <v>0.01</v>
      </c>
      <c r="AQ147" s="343" t="n">
        <v>0.01</v>
      </c>
      <c r="AR147" s="344">
        <f>SUM(AN147:AQ147)</f>
        <v/>
      </c>
    </row>
    <row r="148" ht="13.5" customHeight="1" s="290">
      <c r="A148" s="345" t="n"/>
      <c r="B148" s="346" t="inlineStr">
        <is>
          <t xml:space="preserve">  Equity Placement Fee  —  ★ ACTIVE</t>
        </is>
      </c>
      <c r="E148" s="347">
        <f>IF('01 Cover &amp; Control'!$C$19="Base",E145,IF('01 Cover &amp; Control'!$C$19="Upside",E146,E147))</f>
        <v/>
      </c>
      <c r="F148" s="347">
        <f>IF('01 Cover &amp; Control'!$C$19="Base",F145,IF('01 Cover &amp; Control'!$C$19="Upside",F146,F147))</f>
        <v/>
      </c>
      <c r="G148" s="347">
        <f>IF('01 Cover &amp; Control'!$C$19="Base",G145,IF('01 Cover &amp; Control'!$C$19="Upside",G146,G147))</f>
        <v/>
      </c>
      <c r="H148" s="347">
        <f>IF('01 Cover &amp; Control'!$C$19="Base",H145,IF('01 Cover &amp; Control'!$C$19="Upside",H146,H147))</f>
        <v/>
      </c>
      <c r="I148" s="347">
        <f>SUM(E148:H148)</f>
        <v/>
      </c>
      <c r="J148" s="347">
        <f>IF('01 Cover &amp; Control'!$C$19="Base",J145,IF('01 Cover &amp; Control'!$C$19="Upside",J146,J147))</f>
        <v/>
      </c>
      <c r="K148" s="347">
        <f>IF('01 Cover &amp; Control'!$C$19="Base",K145,IF('01 Cover &amp; Control'!$C$19="Upside",K146,K147))</f>
        <v/>
      </c>
      <c r="L148" s="347">
        <f>IF('01 Cover &amp; Control'!$C$19="Base",L145,IF('01 Cover &amp; Control'!$C$19="Upside",L146,L147))</f>
        <v/>
      </c>
      <c r="M148" s="347">
        <f>IF('01 Cover &amp; Control'!$C$19="Base",M145,IF('01 Cover &amp; Control'!$C$19="Upside",M146,M147))</f>
        <v/>
      </c>
      <c r="N148" s="347">
        <f>SUM(J148:M148)</f>
        <v/>
      </c>
      <c r="O148" s="347">
        <f>IF('01 Cover &amp; Control'!$C$19="Base",O145,IF('01 Cover &amp; Control'!$C$19="Upside",O146,O147))</f>
        <v/>
      </c>
      <c r="P148" s="347">
        <f>IF('01 Cover &amp; Control'!$C$19="Base",P145,IF('01 Cover &amp; Control'!$C$19="Upside",P146,P147))</f>
        <v/>
      </c>
      <c r="Q148" s="347">
        <f>IF('01 Cover &amp; Control'!$C$19="Base",Q145,IF('01 Cover &amp; Control'!$C$19="Upside",Q146,Q147))</f>
        <v/>
      </c>
      <c r="R148" s="347">
        <f>IF('01 Cover &amp; Control'!$C$19="Base",R145,IF('01 Cover &amp; Control'!$C$19="Upside",R146,R147))</f>
        <v/>
      </c>
      <c r="S148" s="347">
        <f>SUM(O148:R148)</f>
        <v/>
      </c>
      <c r="T148" s="347">
        <f>IF('01 Cover &amp; Control'!$C$19="Base",T145,IF('01 Cover &amp; Control'!$C$19="Upside",T146,T147))</f>
        <v/>
      </c>
      <c r="U148" s="347">
        <f>IF('01 Cover &amp; Control'!$C$19="Base",U145,IF('01 Cover &amp; Control'!$C$19="Upside",U146,U147))</f>
        <v/>
      </c>
      <c r="V148" s="347">
        <f>IF('01 Cover &amp; Control'!$C$19="Base",V145,IF('01 Cover &amp; Control'!$C$19="Upside",V146,V147))</f>
        <v/>
      </c>
      <c r="W148" s="347">
        <f>IF('01 Cover &amp; Control'!$C$19="Base",W145,IF('01 Cover &amp; Control'!$C$19="Upside",W146,W147))</f>
        <v/>
      </c>
      <c r="X148" s="347">
        <f>SUM(T148:W148)</f>
        <v/>
      </c>
      <c r="Y148" s="347">
        <f>IF('01 Cover &amp; Control'!$C$19="Base",Y145,IF('01 Cover &amp; Control'!$C$19="Upside",Y146,Y147))</f>
        <v/>
      </c>
      <c r="Z148" s="347">
        <f>IF('01 Cover &amp; Control'!$C$19="Base",Z145,IF('01 Cover &amp; Control'!$C$19="Upside",Z146,Z147))</f>
        <v/>
      </c>
      <c r="AA148" s="347">
        <f>IF('01 Cover &amp; Control'!$C$19="Base",AA145,IF('01 Cover &amp; Control'!$C$19="Upside",AA146,AA147))</f>
        <v/>
      </c>
      <c r="AB148" s="347">
        <f>IF('01 Cover &amp; Control'!$C$19="Base",AB145,IF('01 Cover &amp; Control'!$C$19="Upside",AB146,AB147))</f>
        <v/>
      </c>
      <c r="AC148" s="347">
        <f>SUM(Y148:AB148)</f>
        <v/>
      </c>
      <c r="AD148" s="347">
        <f>IF('01 Cover &amp; Control'!$C$19="Base",AD145,IF('01 Cover &amp; Control'!$C$19="Upside",AD146,AD147))</f>
        <v/>
      </c>
      <c r="AE148" s="347">
        <f>IF('01 Cover &amp; Control'!$C$19="Base",AE145,IF('01 Cover &amp; Control'!$C$19="Upside",AE146,AE147))</f>
        <v/>
      </c>
      <c r="AF148" s="347">
        <f>IF('01 Cover &amp; Control'!$C$19="Base",AF145,IF('01 Cover &amp; Control'!$C$19="Upside",AF146,AF147))</f>
        <v/>
      </c>
      <c r="AG148" s="347">
        <f>IF('01 Cover &amp; Control'!$C$19="Base",AG145,IF('01 Cover &amp; Control'!$C$19="Upside",AG146,AG147))</f>
        <v/>
      </c>
      <c r="AH148" s="347">
        <f>SUM(AD148:AG148)</f>
        <v/>
      </c>
      <c r="AI148" s="347">
        <f>IF('01 Cover &amp; Control'!$C$19="Base",AI145,IF('01 Cover &amp; Control'!$C$19="Upside",AI146,AI147))</f>
        <v/>
      </c>
      <c r="AJ148" s="347">
        <f>IF('01 Cover &amp; Control'!$C$19="Base",AJ145,IF('01 Cover &amp; Control'!$C$19="Upside",AJ146,AJ147))</f>
        <v/>
      </c>
      <c r="AK148" s="347">
        <f>IF('01 Cover &amp; Control'!$C$19="Base",AK145,IF('01 Cover &amp; Control'!$C$19="Upside",AK146,AK147))</f>
        <v/>
      </c>
      <c r="AL148" s="347">
        <f>IF('01 Cover &amp; Control'!$C$19="Base",AL145,IF('01 Cover &amp; Control'!$C$19="Upside",AL146,AL147))</f>
        <v/>
      </c>
      <c r="AM148" s="347">
        <f>SUM(AI148:AL148)</f>
        <v/>
      </c>
      <c r="AN148" s="347">
        <f>IF('01 Cover &amp; Control'!$C$19="Base",AN145,IF('01 Cover &amp; Control'!$C$19="Upside",AN146,AN147))</f>
        <v/>
      </c>
      <c r="AO148" s="347">
        <f>IF('01 Cover &amp; Control'!$C$19="Base",AO145,IF('01 Cover &amp; Control'!$C$19="Upside",AO146,AO147))</f>
        <v/>
      </c>
      <c r="AP148" s="347">
        <f>IF('01 Cover &amp; Control'!$C$19="Base",AP145,IF('01 Cover &amp; Control'!$C$19="Upside",AP146,AP147))</f>
        <v/>
      </c>
      <c r="AQ148" s="347">
        <f>IF('01 Cover &amp; Control'!$C$19="Base",AQ145,IF('01 Cover &amp; Control'!$C$19="Upside",AQ146,AQ147))</f>
        <v/>
      </c>
      <c r="AR148" s="347">
        <f>SUM(AN148:AQ148)</f>
        <v/>
      </c>
    </row>
    <row r="149" ht="3.75" customHeight="1" s="290"/>
    <row r="150" ht="13.5" customHeight="1" s="290">
      <c r="A150" s="339" t="n"/>
      <c r="B150" s="357" t="inlineStr">
        <is>
          <t xml:space="preserve">  D&amp;E Blended Bps Benchmark (Reference Only — not used in build formulas)</t>
        </is>
      </c>
      <c r="C150" s="341" t="inlineStr">
        <is>
          <t>bps</t>
        </is>
      </c>
      <c r="D150" s="342" t="inlineStr">
        <is>
          <t>Diagnostic reference. Tab 05 Revenue Engine calculates blended bps from debt/equity mix.</t>
        </is>
      </c>
      <c r="E150" s="343" t="n"/>
      <c r="F150" s="343" t="n"/>
      <c r="G150" s="343" t="n"/>
      <c r="H150" s="343" t="n"/>
      <c r="I150" s="344">
        <f>SUM(E150:H150)</f>
        <v/>
      </c>
      <c r="J150" s="343" t="n"/>
      <c r="K150" s="343" t="n"/>
      <c r="L150" s="343" t="n"/>
      <c r="M150" s="343" t="n"/>
      <c r="N150" s="344">
        <f>SUM(J150:M150)</f>
        <v/>
      </c>
      <c r="O150" s="343" t="n"/>
      <c r="P150" s="343" t="n"/>
      <c r="Q150" s="343" t="n"/>
      <c r="R150" s="343" t="n"/>
      <c r="S150" s="344">
        <f>SUM(O150:R150)</f>
        <v/>
      </c>
      <c r="T150" s="343" t="n"/>
      <c r="U150" s="343" t="n"/>
      <c r="V150" s="343" t="n"/>
      <c r="W150" s="343" t="n"/>
      <c r="X150" s="344">
        <f>SUM(T150:W150)</f>
        <v/>
      </c>
      <c r="Y150" s="343" t="n"/>
      <c r="Z150" s="343" t="n"/>
      <c r="AA150" s="343" t="n"/>
      <c r="AB150" s="343" t="n"/>
      <c r="AC150" s="344">
        <f>SUM(Y150:AB150)</f>
        <v/>
      </c>
      <c r="AD150" s="343" t="n"/>
      <c r="AE150" s="343" t="n"/>
      <c r="AF150" s="343" t="n"/>
      <c r="AG150" s="343" t="n"/>
      <c r="AH150" s="344">
        <f>SUM(AD150:AG150)</f>
        <v/>
      </c>
      <c r="AI150" s="343" t="n"/>
      <c r="AJ150" s="343" t="n"/>
      <c r="AK150" s="343" t="n"/>
      <c r="AL150" s="343" t="n"/>
      <c r="AM150" s="344">
        <f>SUM(AI150:AL150)</f>
        <v/>
      </c>
      <c r="AN150" s="343" t="n"/>
      <c r="AO150" s="343" t="n"/>
      <c r="AP150" s="343" t="n"/>
      <c r="AQ150" s="343" t="n"/>
      <c r="AR150" s="344">
        <f>SUM(AN150:AQ150)</f>
        <v/>
      </c>
    </row>
    <row r="151" ht="4.5" customHeight="1" s="290"/>
    <row r="152" ht="15" customHeight="1" s="290">
      <c r="A152" s="307" t="inlineStr">
        <is>
          <t xml:space="preserve">    C3 — LEASING COMMISSION RATES</t>
        </is>
      </c>
    </row>
    <row r="153" ht="3" customHeight="1" s="290"/>
    <row r="154" ht="13.5" customHeight="1" s="290">
      <c r="A154" s="339" t="n"/>
      <c r="B154" s="340" t="inlineStr">
        <is>
          <t xml:space="preserve">  Leasing Commission — Tenant Rep  —  Base</t>
        </is>
      </c>
      <c r="C154" s="341" t="inlineStr">
        <is>
          <t>% of ALC</t>
        </is>
      </c>
      <c r="D154" s="342" t="inlineStr">
        <is>
          <t>Industry norms; CBRE/JLL/Cushman internal benchmarks. ALC = Aggregate Lease Consideration (SF × rent × term). Typical: 4–6%.</t>
        </is>
      </c>
      <c r="E154" s="343" t="n">
        <v>0.04</v>
      </c>
      <c r="F154" s="343" t="n">
        <v>0.04</v>
      </c>
      <c r="G154" s="343" t="n">
        <v>0.04</v>
      </c>
      <c r="H154" s="343" t="n">
        <v>0.04</v>
      </c>
      <c r="I154" s="344">
        <f>SUM(E154:H154)</f>
        <v/>
      </c>
      <c r="J154" s="343" t="n">
        <v>0.04</v>
      </c>
      <c r="K154" s="343" t="n">
        <v>0.04</v>
      </c>
      <c r="L154" s="343" t="n">
        <v>0.04</v>
      </c>
      <c r="M154" s="343" t="n">
        <v>0.04</v>
      </c>
      <c r="N154" s="344">
        <f>SUM(J154:M154)</f>
        <v/>
      </c>
      <c r="O154" s="343" t="n">
        <v>0.04</v>
      </c>
      <c r="P154" s="343" t="n">
        <v>0.04</v>
      </c>
      <c r="Q154" s="343" t="n">
        <v>0.04</v>
      </c>
      <c r="R154" s="343" t="n">
        <v>0.04</v>
      </c>
      <c r="S154" s="344">
        <f>SUM(O154:R154)</f>
        <v/>
      </c>
      <c r="T154" s="343" t="n">
        <v>0.04</v>
      </c>
      <c r="U154" s="343" t="n">
        <v>0.04</v>
      </c>
      <c r="V154" s="343" t="n">
        <v>0.04</v>
      </c>
      <c r="W154" s="343" t="n">
        <v>0.04</v>
      </c>
      <c r="X154" s="344">
        <f>SUM(T154:W154)</f>
        <v/>
      </c>
      <c r="Y154" s="343" t="n">
        <v>0.04</v>
      </c>
      <c r="Z154" s="343" t="n">
        <v>0.04</v>
      </c>
      <c r="AA154" s="343" t="n">
        <v>0.04</v>
      </c>
      <c r="AB154" s="343" t="n">
        <v>0.04</v>
      </c>
      <c r="AC154" s="344">
        <f>SUM(Y154:AB154)</f>
        <v/>
      </c>
      <c r="AD154" s="343" t="n">
        <v>0.04</v>
      </c>
      <c r="AE154" s="343" t="n">
        <v>0.04</v>
      </c>
      <c r="AF154" s="343" t="n">
        <v>0.04</v>
      </c>
      <c r="AG154" s="343" t="n">
        <v>0.04</v>
      </c>
      <c r="AH154" s="344">
        <f>SUM(AD154:AG154)</f>
        <v/>
      </c>
      <c r="AI154" s="343" t="n">
        <v>0.04</v>
      </c>
      <c r="AJ154" s="343" t="n">
        <v>0.04</v>
      </c>
      <c r="AK154" s="343" t="n">
        <v>0.04</v>
      </c>
      <c r="AL154" s="343" t="n">
        <v>0.04</v>
      </c>
      <c r="AM154" s="344">
        <f>SUM(AI154:AL154)</f>
        <v/>
      </c>
      <c r="AN154" s="343" t="n">
        <v>0.04</v>
      </c>
      <c r="AO154" s="343" t="n">
        <v>0.04</v>
      </c>
      <c r="AP154" s="343" t="n">
        <v>0.04</v>
      </c>
      <c r="AQ154" s="343" t="n">
        <v>0.04</v>
      </c>
      <c r="AR154" s="344">
        <f>SUM(AN154:AQ154)</f>
        <v/>
      </c>
    </row>
    <row r="155" ht="13.5" customHeight="1" s="290">
      <c r="A155" s="339" t="n"/>
      <c r="B155" s="340" t="inlineStr">
        <is>
          <t xml:space="preserve">  Leasing Commission — Tenant Rep  —  Upside</t>
        </is>
      </c>
      <c r="E155" s="343" t="n">
        <v>0.044</v>
      </c>
      <c r="F155" s="343" t="n">
        <v>0.044</v>
      </c>
      <c r="G155" s="343" t="n">
        <v>0.044</v>
      </c>
      <c r="H155" s="343" t="n">
        <v>0.044</v>
      </c>
      <c r="I155" s="344">
        <f>SUM(E155:H155)</f>
        <v/>
      </c>
      <c r="J155" s="343" t="n">
        <v>0.044</v>
      </c>
      <c r="K155" s="343" t="n">
        <v>0.044</v>
      </c>
      <c r="L155" s="343" t="n">
        <v>0.044</v>
      </c>
      <c r="M155" s="343" t="n">
        <v>0.044</v>
      </c>
      <c r="N155" s="344">
        <f>SUM(J155:M155)</f>
        <v/>
      </c>
      <c r="O155" s="343" t="n">
        <v>0.044</v>
      </c>
      <c r="P155" s="343" t="n">
        <v>0.044</v>
      </c>
      <c r="Q155" s="343" t="n">
        <v>0.044</v>
      </c>
      <c r="R155" s="343" t="n">
        <v>0.044</v>
      </c>
      <c r="S155" s="344">
        <f>SUM(O155:R155)</f>
        <v/>
      </c>
      <c r="T155" s="343" t="n">
        <v>0.044</v>
      </c>
      <c r="U155" s="343" t="n">
        <v>0.044</v>
      </c>
      <c r="V155" s="343" t="n">
        <v>0.044</v>
      </c>
      <c r="W155" s="343" t="n">
        <v>0.044</v>
      </c>
      <c r="X155" s="344">
        <f>SUM(T155:W155)</f>
        <v/>
      </c>
      <c r="Y155" s="343" t="n">
        <v>0.044</v>
      </c>
      <c r="Z155" s="343" t="n">
        <v>0.044</v>
      </c>
      <c r="AA155" s="343" t="n">
        <v>0.044</v>
      </c>
      <c r="AB155" s="343" t="n">
        <v>0.044</v>
      </c>
      <c r="AC155" s="344">
        <f>SUM(Y155:AB155)</f>
        <v/>
      </c>
      <c r="AD155" s="343" t="n">
        <v>0.044</v>
      </c>
      <c r="AE155" s="343" t="n">
        <v>0.044</v>
      </c>
      <c r="AF155" s="343" t="n">
        <v>0.044</v>
      </c>
      <c r="AG155" s="343" t="n">
        <v>0.044</v>
      </c>
      <c r="AH155" s="344">
        <f>SUM(AD155:AG155)</f>
        <v/>
      </c>
      <c r="AI155" s="343" t="n">
        <v>0.044</v>
      </c>
      <c r="AJ155" s="343" t="n">
        <v>0.044</v>
      </c>
      <c r="AK155" s="343" t="n">
        <v>0.044</v>
      </c>
      <c r="AL155" s="343" t="n">
        <v>0.044</v>
      </c>
      <c r="AM155" s="344">
        <f>SUM(AI155:AL155)</f>
        <v/>
      </c>
      <c r="AN155" s="343" t="n">
        <v>0.044</v>
      </c>
      <c r="AO155" s="343" t="n">
        <v>0.044</v>
      </c>
      <c r="AP155" s="343" t="n">
        <v>0.044</v>
      </c>
      <c r="AQ155" s="343" t="n">
        <v>0.044</v>
      </c>
      <c r="AR155" s="344">
        <f>SUM(AN155:AQ155)</f>
        <v/>
      </c>
    </row>
    <row r="156" ht="13.5" customHeight="1" s="290">
      <c r="A156" s="339" t="n"/>
      <c r="B156" s="340" t="inlineStr">
        <is>
          <t xml:space="preserve">  Leasing Commission — Tenant Rep  —  Downside</t>
        </is>
      </c>
      <c r="E156" s="343" t="n">
        <v>0.036</v>
      </c>
      <c r="F156" s="343" t="n">
        <v>0.036</v>
      </c>
      <c r="G156" s="343" t="n">
        <v>0.036</v>
      </c>
      <c r="H156" s="343" t="n">
        <v>0.036</v>
      </c>
      <c r="I156" s="344">
        <f>SUM(E156:H156)</f>
        <v/>
      </c>
      <c r="J156" s="343" t="n">
        <v>0.036</v>
      </c>
      <c r="K156" s="343" t="n">
        <v>0.036</v>
      </c>
      <c r="L156" s="343" t="n">
        <v>0.036</v>
      </c>
      <c r="M156" s="343" t="n">
        <v>0.036</v>
      </c>
      <c r="N156" s="344">
        <f>SUM(J156:M156)</f>
        <v/>
      </c>
      <c r="O156" s="343" t="n">
        <v>0.036</v>
      </c>
      <c r="P156" s="343" t="n">
        <v>0.036</v>
      </c>
      <c r="Q156" s="343" t="n">
        <v>0.036</v>
      </c>
      <c r="R156" s="343" t="n">
        <v>0.036</v>
      </c>
      <c r="S156" s="344">
        <f>SUM(O156:R156)</f>
        <v/>
      </c>
      <c r="T156" s="343" t="n">
        <v>0.036</v>
      </c>
      <c r="U156" s="343" t="n">
        <v>0.036</v>
      </c>
      <c r="V156" s="343" t="n">
        <v>0.036</v>
      </c>
      <c r="W156" s="343" t="n">
        <v>0.036</v>
      </c>
      <c r="X156" s="344">
        <f>SUM(T156:W156)</f>
        <v/>
      </c>
      <c r="Y156" s="343" t="n">
        <v>0.036</v>
      </c>
      <c r="Z156" s="343" t="n">
        <v>0.036</v>
      </c>
      <c r="AA156" s="343" t="n">
        <v>0.036</v>
      </c>
      <c r="AB156" s="343" t="n">
        <v>0.036</v>
      </c>
      <c r="AC156" s="344">
        <f>SUM(Y156:AB156)</f>
        <v/>
      </c>
      <c r="AD156" s="343" t="n">
        <v>0.036</v>
      </c>
      <c r="AE156" s="343" t="n">
        <v>0.036</v>
      </c>
      <c r="AF156" s="343" t="n">
        <v>0.036</v>
      </c>
      <c r="AG156" s="343" t="n">
        <v>0.036</v>
      </c>
      <c r="AH156" s="344">
        <f>SUM(AD156:AG156)</f>
        <v/>
      </c>
      <c r="AI156" s="343" t="n">
        <v>0.036</v>
      </c>
      <c r="AJ156" s="343" t="n">
        <v>0.036</v>
      </c>
      <c r="AK156" s="343" t="n">
        <v>0.036</v>
      </c>
      <c r="AL156" s="343" t="n">
        <v>0.036</v>
      </c>
      <c r="AM156" s="344">
        <f>SUM(AI156:AL156)</f>
        <v/>
      </c>
      <c r="AN156" s="343" t="n">
        <v>0.036</v>
      </c>
      <c r="AO156" s="343" t="n">
        <v>0.036</v>
      </c>
      <c r="AP156" s="343" t="n">
        <v>0.036</v>
      </c>
      <c r="AQ156" s="343" t="n">
        <v>0.036</v>
      </c>
      <c r="AR156" s="344">
        <f>SUM(AN156:AQ156)</f>
        <v/>
      </c>
    </row>
    <row r="157" ht="13.5" customHeight="1" s="290">
      <c r="A157" s="345" t="n"/>
      <c r="B157" s="346" t="inlineStr">
        <is>
          <t xml:space="preserve">  Leasing Commission — Tenant Rep  —  ★ ACTIVE</t>
        </is>
      </c>
      <c r="E157" s="347">
        <f>IF('01 Cover &amp; Control'!$C$19="Base",E154,IF('01 Cover &amp; Control'!$C$19="Upside",E155,E156))</f>
        <v/>
      </c>
      <c r="F157" s="347">
        <f>IF('01 Cover &amp; Control'!$C$19="Base",F154,IF('01 Cover &amp; Control'!$C$19="Upside",F155,F156))</f>
        <v/>
      </c>
      <c r="G157" s="347">
        <f>IF('01 Cover &amp; Control'!$C$19="Base",G154,IF('01 Cover &amp; Control'!$C$19="Upside",G155,G156))</f>
        <v/>
      </c>
      <c r="H157" s="347">
        <f>IF('01 Cover &amp; Control'!$C$19="Base",H154,IF('01 Cover &amp; Control'!$C$19="Upside",H155,H156))</f>
        <v/>
      </c>
      <c r="I157" s="347">
        <f>SUM(E157:H157)</f>
        <v/>
      </c>
      <c r="J157" s="347">
        <f>IF('01 Cover &amp; Control'!$C$19="Base",J154,IF('01 Cover &amp; Control'!$C$19="Upside",J155,J156))</f>
        <v/>
      </c>
      <c r="K157" s="347">
        <f>IF('01 Cover &amp; Control'!$C$19="Base",K154,IF('01 Cover &amp; Control'!$C$19="Upside",K155,K156))</f>
        <v/>
      </c>
      <c r="L157" s="347">
        <f>IF('01 Cover &amp; Control'!$C$19="Base",L154,IF('01 Cover &amp; Control'!$C$19="Upside",L155,L156))</f>
        <v/>
      </c>
      <c r="M157" s="347">
        <f>IF('01 Cover &amp; Control'!$C$19="Base",M154,IF('01 Cover &amp; Control'!$C$19="Upside",M155,M156))</f>
        <v/>
      </c>
      <c r="N157" s="347">
        <f>SUM(J157:M157)</f>
        <v/>
      </c>
      <c r="O157" s="347">
        <f>IF('01 Cover &amp; Control'!$C$19="Base",O154,IF('01 Cover &amp; Control'!$C$19="Upside",O155,O156))</f>
        <v/>
      </c>
      <c r="P157" s="347">
        <f>IF('01 Cover &amp; Control'!$C$19="Base",P154,IF('01 Cover &amp; Control'!$C$19="Upside",P155,P156))</f>
        <v/>
      </c>
      <c r="Q157" s="347">
        <f>IF('01 Cover &amp; Control'!$C$19="Base",Q154,IF('01 Cover &amp; Control'!$C$19="Upside",Q155,Q156))</f>
        <v/>
      </c>
      <c r="R157" s="347">
        <f>IF('01 Cover &amp; Control'!$C$19="Base",R154,IF('01 Cover &amp; Control'!$C$19="Upside",R155,R156))</f>
        <v/>
      </c>
      <c r="S157" s="347">
        <f>SUM(O157:R157)</f>
        <v/>
      </c>
      <c r="T157" s="347">
        <f>IF('01 Cover &amp; Control'!$C$19="Base",T154,IF('01 Cover &amp; Control'!$C$19="Upside",T155,T156))</f>
        <v/>
      </c>
      <c r="U157" s="347">
        <f>IF('01 Cover &amp; Control'!$C$19="Base",U154,IF('01 Cover &amp; Control'!$C$19="Upside",U155,U156))</f>
        <v/>
      </c>
      <c r="V157" s="347">
        <f>IF('01 Cover &amp; Control'!$C$19="Base",V154,IF('01 Cover &amp; Control'!$C$19="Upside",V155,V156))</f>
        <v/>
      </c>
      <c r="W157" s="347">
        <f>IF('01 Cover &amp; Control'!$C$19="Base",W154,IF('01 Cover &amp; Control'!$C$19="Upside",W155,W156))</f>
        <v/>
      </c>
      <c r="X157" s="347">
        <f>SUM(T157:W157)</f>
        <v/>
      </c>
      <c r="Y157" s="347">
        <f>IF('01 Cover &amp; Control'!$C$19="Base",Y154,IF('01 Cover &amp; Control'!$C$19="Upside",Y155,Y156))</f>
        <v/>
      </c>
      <c r="Z157" s="347">
        <f>IF('01 Cover &amp; Control'!$C$19="Base",Z154,IF('01 Cover &amp; Control'!$C$19="Upside",Z155,Z156))</f>
        <v/>
      </c>
      <c r="AA157" s="347">
        <f>IF('01 Cover &amp; Control'!$C$19="Base",AA154,IF('01 Cover &amp; Control'!$C$19="Upside",AA155,AA156))</f>
        <v/>
      </c>
      <c r="AB157" s="347">
        <f>IF('01 Cover &amp; Control'!$C$19="Base",AB154,IF('01 Cover &amp; Control'!$C$19="Upside",AB155,AB156))</f>
        <v/>
      </c>
      <c r="AC157" s="347">
        <f>SUM(Y157:AB157)</f>
        <v/>
      </c>
      <c r="AD157" s="347">
        <f>IF('01 Cover &amp; Control'!$C$19="Base",AD154,IF('01 Cover &amp; Control'!$C$19="Upside",AD155,AD156))</f>
        <v/>
      </c>
      <c r="AE157" s="347">
        <f>IF('01 Cover &amp; Control'!$C$19="Base",AE154,IF('01 Cover &amp; Control'!$C$19="Upside",AE155,AE156))</f>
        <v/>
      </c>
      <c r="AF157" s="347">
        <f>IF('01 Cover &amp; Control'!$C$19="Base",AF154,IF('01 Cover &amp; Control'!$C$19="Upside",AF155,AF156))</f>
        <v/>
      </c>
      <c r="AG157" s="347">
        <f>IF('01 Cover &amp; Control'!$C$19="Base",AG154,IF('01 Cover &amp; Control'!$C$19="Upside",AG155,AG156))</f>
        <v/>
      </c>
      <c r="AH157" s="347">
        <f>SUM(AD157:AG157)</f>
        <v/>
      </c>
      <c r="AI157" s="347">
        <f>IF('01 Cover &amp; Control'!$C$19="Base",AI154,IF('01 Cover &amp; Control'!$C$19="Upside",AI155,AI156))</f>
        <v/>
      </c>
      <c r="AJ157" s="347">
        <f>IF('01 Cover &amp; Control'!$C$19="Base",AJ154,IF('01 Cover &amp; Control'!$C$19="Upside",AJ155,AJ156))</f>
        <v/>
      </c>
      <c r="AK157" s="347">
        <f>IF('01 Cover &amp; Control'!$C$19="Base",AK154,IF('01 Cover &amp; Control'!$C$19="Upside",AK155,AK156))</f>
        <v/>
      </c>
      <c r="AL157" s="347">
        <f>IF('01 Cover &amp; Control'!$C$19="Base",AL154,IF('01 Cover &amp; Control'!$C$19="Upside",AL155,AL156))</f>
        <v/>
      </c>
      <c r="AM157" s="347">
        <f>SUM(AI157:AL157)</f>
        <v/>
      </c>
      <c r="AN157" s="347">
        <f>IF('01 Cover &amp; Control'!$C$19="Base",AN154,IF('01 Cover &amp; Control'!$C$19="Upside",AN155,AN156))</f>
        <v/>
      </c>
      <c r="AO157" s="347">
        <f>IF('01 Cover &amp; Control'!$C$19="Base",AO154,IF('01 Cover &amp; Control'!$C$19="Upside",AO155,AO156))</f>
        <v/>
      </c>
      <c r="AP157" s="347">
        <f>IF('01 Cover &amp; Control'!$C$19="Base",AP154,IF('01 Cover &amp; Control'!$C$19="Upside",AP155,AP156))</f>
        <v/>
      </c>
      <c r="AQ157" s="347">
        <f>IF('01 Cover &amp; Control'!$C$19="Base",AQ154,IF('01 Cover &amp; Control'!$C$19="Upside",AQ155,AQ156))</f>
        <v/>
      </c>
      <c r="AR157" s="347">
        <f>SUM(AN157:AQ157)</f>
        <v/>
      </c>
    </row>
    <row r="158" ht="3.75" customHeight="1" s="290"/>
    <row r="159" ht="13.5" customHeight="1" s="290">
      <c r="A159" s="339" t="n"/>
      <c r="B159" s="340" t="inlineStr">
        <is>
          <t xml:space="preserve">  Leasing Commission — Landlord / Agency Rep  —  Base</t>
        </is>
      </c>
      <c r="C159" s="341" t="inlineStr">
        <is>
          <t>% of ALC</t>
        </is>
      </c>
      <c r="D159" s="342" t="inlineStr">
        <is>
          <t>Industry norms. Typical: 3–5%. Lower than tenant rep.</t>
        </is>
      </c>
      <c r="E159" s="343" t="n">
        <v>0.03</v>
      </c>
      <c r="F159" s="343" t="n">
        <v>0.03</v>
      </c>
      <c r="G159" s="343" t="n">
        <v>0.03</v>
      </c>
      <c r="H159" s="343" t="n">
        <v>0.03</v>
      </c>
      <c r="I159" s="344">
        <f>SUM(E159:H159)</f>
        <v/>
      </c>
      <c r="J159" s="343" t="n">
        <v>0.03</v>
      </c>
      <c r="K159" s="343" t="n">
        <v>0.03</v>
      </c>
      <c r="L159" s="343" t="n">
        <v>0.03</v>
      </c>
      <c r="M159" s="343" t="n">
        <v>0.03</v>
      </c>
      <c r="N159" s="344">
        <f>SUM(J159:M159)</f>
        <v/>
      </c>
      <c r="O159" s="343" t="n">
        <v>0.03</v>
      </c>
      <c r="P159" s="343" t="n">
        <v>0.03</v>
      </c>
      <c r="Q159" s="343" t="n">
        <v>0.03</v>
      </c>
      <c r="R159" s="343" t="n">
        <v>0.03</v>
      </c>
      <c r="S159" s="344">
        <f>SUM(O159:R159)</f>
        <v/>
      </c>
      <c r="T159" s="343" t="n">
        <v>0.03</v>
      </c>
      <c r="U159" s="343" t="n">
        <v>0.03</v>
      </c>
      <c r="V159" s="343" t="n">
        <v>0.03</v>
      </c>
      <c r="W159" s="343" t="n">
        <v>0.03</v>
      </c>
      <c r="X159" s="344">
        <f>SUM(T159:W159)</f>
        <v/>
      </c>
      <c r="Y159" s="343" t="n">
        <v>0.03</v>
      </c>
      <c r="Z159" s="343" t="n">
        <v>0.03</v>
      </c>
      <c r="AA159" s="343" t="n">
        <v>0.03</v>
      </c>
      <c r="AB159" s="343" t="n">
        <v>0.03</v>
      </c>
      <c r="AC159" s="344">
        <f>SUM(Y159:AB159)</f>
        <v/>
      </c>
      <c r="AD159" s="343" t="n">
        <v>0.03</v>
      </c>
      <c r="AE159" s="343" t="n">
        <v>0.03</v>
      </c>
      <c r="AF159" s="343" t="n">
        <v>0.03</v>
      </c>
      <c r="AG159" s="343" t="n">
        <v>0.03</v>
      </c>
      <c r="AH159" s="344">
        <f>SUM(AD159:AG159)</f>
        <v/>
      </c>
      <c r="AI159" s="343" t="n">
        <v>0.03</v>
      </c>
      <c r="AJ159" s="343" t="n">
        <v>0.03</v>
      </c>
      <c r="AK159" s="343" t="n">
        <v>0.03</v>
      </c>
      <c r="AL159" s="343" t="n">
        <v>0.03</v>
      </c>
      <c r="AM159" s="344">
        <f>SUM(AI159:AL159)</f>
        <v/>
      </c>
      <c r="AN159" s="343" t="n">
        <v>0.03</v>
      </c>
      <c r="AO159" s="343" t="n">
        <v>0.03</v>
      </c>
      <c r="AP159" s="343" t="n">
        <v>0.03</v>
      </c>
      <c r="AQ159" s="343" t="n">
        <v>0.03</v>
      </c>
      <c r="AR159" s="344">
        <f>SUM(AN159:AQ159)</f>
        <v/>
      </c>
    </row>
    <row r="160" ht="13.5" customHeight="1" s="290">
      <c r="A160" s="339" t="n"/>
      <c r="B160" s="340" t="inlineStr">
        <is>
          <t xml:space="preserve">  Leasing Commission — Landlord / Agency Rep  —  Upside</t>
        </is>
      </c>
      <c r="E160" s="343" t="n">
        <v>0.033</v>
      </c>
      <c r="F160" s="343" t="n">
        <v>0.033</v>
      </c>
      <c r="G160" s="343" t="n">
        <v>0.033</v>
      </c>
      <c r="H160" s="343" t="n">
        <v>0.033</v>
      </c>
      <c r="I160" s="344">
        <f>SUM(E160:H160)</f>
        <v/>
      </c>
      <c r="J160" s="343" t="n">
        <v>0.033</v>
      </c>
      <c r="K160" s="343" t="n">
        <v>0.033</v>
      </c>
      <c r="L160" s="343" t="n">
        <v>0.033</v>
      </c>
      <c r="M160" s="343" t="n">
        <v>0.033</v>
      </c>
      <c r="N160" s="344">
        <f>SUM(J160:M160)</f>
        <v/>
      </c>
      <c r="O160" s="343" t="n">
        <v>0.033</v>
      </c>
      <c r="P160" s="343" t="n">
        <v>0.033</v>
      </c>
      <c r="Q160" s="343" t="n">
        <v>0.033</v>
      </c>
      <c r="R160" s="343" t="n">
        <v>0.033</v>
      </c>
      <c r="S160" s="344">
        <f>SUM(O160:R160)</f>
        <v/>
      </c>
      <c r="T160" s="343" t="n">
        <v>0.033</v>
      </c>
      <c r="U160" s="343" t="n">
        <v>0.033</v>
      </c>
      <c r="V160" s="343" t="n">
        <v>0.033</v>
      </c>
      <c r="W160" s="343" t="n">
        <v>0.033</v>
      </c>
      <c r="X160" s="344">
        <f>SUM(T160:W160)</f>
        <v/>
      </c>
      <c r="Y160" s="343" t="n">
        <v>0.033</v>
      </c>
      <c r="Z160" s="343" t="n">
        <v>0.033</v>
      </c>
      <c r="AA160" s="343" t="n">
        <v>0.033</v>
      </c>
      <c r="AB160" s="343" t="n">
        <v>0.033</v>
      </c>
      <c r="AC160" s="344">
        <f>SUM(Y160:AB160)</f>
        <v/>
      </c>
      <c r="AD160" s="343" t="n">
        <v>0.033</v>
      </c>
      <c r="AE160" s="343" t="n">
        <v>0.033</v>
      </c>
      <c r="AF160" s="343" t="n">
        <v>0.033</v>
      </c>
      <c r="AG160" s="343" t="n">
        <v>0.033</v>
      </c>
      <c r="AH160" s="344">
        <f>SUM(AD160:AG160)</f>
        <v/>
      </c>
      <c r="AI160" s="343" t="n">
        <v>0.033</v>
      </c>
      <c r="AJ160" s="343" t="n">
        <v>0.033</v>
      </c>
      <c r="AK160" s="343" t="n">
        <v>0.033</v>
      </c>
      <c r="AL160" s="343" t="n">
        <v>0.033</v>
      </c>
      <c r="AM160" s="344">
        <f>SUM(AI160:AL160)</f>
        <v/>
      </c>
      <c r="AN160" s="343" t="n">
        <v>0.033</v>
      </c>
      <c r="AO160" s="343" t="n">
        <v>0.033</v>
      </c>
      <c r="AP160" s="343" t="n">
        <v>0.033</v>
      </c>
      <c r="AQ160" s="343" t="n">
        <v>0.033</v>
      </c>
      <c r="AR160" s="344">
        <f>SUM(AN160:AQ160)</f>
        <v/>
      </c>
    </row>
    <row r="161" ht="13.5" customHeight="1" s="290">
      <c r="A161" s="339" t="n"/>
      <c r="B161" s="340" t="inlineStr">
        <is>
          <t xml:space="preserve">  Leasing Commission — Landlord / Agency Rep  —  Downside</t>
        </is>
      </c>
      <c r="E161" s="343" t="n">
        <v>0.027</v>
      </c>
      <c r="F161" s="343" t="n">
        <v>0.027</v>
      </c>
      <c r="G161" s="343" t="n">
        <v>0.027</v>
      </c>
      <c r="H161" s="343" t="n">
        <v>0.027</v>
      </c>
      <c r="I161" s="344">
        <f>SUM(E161:H161)</f>
        <v/>
      </c>
      <c r="J161" s="343" t="n">
        <v>0.027</v>
      </c>
      <c r="K161" s="343" t="n">
        <v>0.027</v>
      </c>
      <c r="L161" s="343" t="n">
        <v>0.027</v>
      </c>
      <c r="M161" s="343" t="n">
        <v>0.027</v>
      </c>
      <c r="N161" s="344">
        <f>SUM(J161:M161)</f>
        <v/>
      </c>
      <c r="O161" s="343" t="n">
        <v>0.027</v>
      </c>
      <c r="P161" s="343" t="n">
        <v>0.027</v>
      </c>
      <c r="Q161" s="343" t="n">
        <v>0.027</v>
      </c>
      <c r="R161" s="343" t="n">
        <v>0.027</v>
      </c>
      <c r="S161" s="344">
        <f>SUM(O161:R161)</f>
        <v/>
      </c>
      <c r="T161" s="343" t="n">
        <v>0.027</v>
      </c>
      <c r="U161" s="343" t="n">
        <v>0.027</v>
      </c>
      <c r="V161" s="343" t="n">
        <v>0.027</v>
      </c>
      <c r="W161" s="343" t="n">
        <v>0.027</v>
      </c>
      <c r="X161" s="344">
        <f>SUM(T161:W161)</f>
        <v/>
      </c>
      <c r="Y161" s="343" t="n">
        <v>0.027</v>
      </c>
      <c r="Z161" s="343" t="n">
        <v>0.027</v>
      </c>
      <c r="AA161" s="343" t="n">
        <v>0.027</v>
      </c>
      <c r="AB161" s="343" t="n">
        <v>0.027</v>
      </c>
      <c r="AC161" s="344">
        <f>SUM(Y161:AB161)</f>
        <v/>
      </c>
      <c r="AD161" s="343" t="n">
        <v>0.027</v>
      </c>
      <c r="AE161" s="343" t="n">
        <v>0.027</v>
      </c>
      <c r="AF161" s="343" t="n">
        <v>0.027</v>
      </c>
      <c r="AG161" s="343" t="n">
        <v>0.027</v>
      </c>
      <c r="AH161" s="344">
        <f>SUM(AD161:AG161)</f>
        <v/>
      </c>
      <c r="AI161" s="343" t="n">
        <v>0.027</v>
      </c>
      <c r="AJ161" s="343" t="n">
        <v>0.027</v>
      </c>
      <c r="AK161" s="343" t="n">
        <v>0.027</v>
      </c>
      <c r="AL161" s="343" t="n">
        <v>0.027</v>
      </c>
      <c r="AM161" s="344">
        <f>SUM(AI161:AL161)</f>
        <v/>
      </c>
      <c r="AN161" s="343" t="n">
        <v>0.027</v>
      </c>
      <c r="AO161" s="343" t="n">
        <v>0.027</v>
      </c>
      <c r="AP161" s="343" t="n">
        <v>0.027</v>
      </c>
      <c r="AQ161" s="343" t="n">
        <v>0.027</v>
      </c>
      <c r="AR161" s="344">
        <f>SUM(AN161:AQ161)</f>
        <v/>
      </c>
    </row>
    <row r="162" ht="13.5" customHeight="1" s="290">
      <c r="A162" s="345" t="n"/>
      <c r="B162" s="346" t="inlineStr">
        <is>
          <t xml:space="preserve">  Leasing Commission — Landlord / Agency Rep  —  ★ ACTIVE</t>
        </is>
      </c>
      <c r="E162" s="347">
        <f>IF('01 Cover &amp; Control'!$C$19="Base",E159,IF('01 Cover &amp; Control'!$C$19="Upside",E160,E161))</f>
        <v/>
      </c>
      <c r="F162" s="347">
        <f>IF('01 Cover &amp; Control'!$C$19="Base",F159,IF('01 Cover &amp; Control'!$C$19="Upside",F160,F161))</f>
        <v/>
      </c>
      <c r="G162" s="347">
        <f>IF('01 Cover &amp; Control'!$C$19="Base",G159,IF('01 Cover &amp; Control'!$C$19="Upside",G160,G161))</f>
        <v/>
      </c>
      <c r="H162" s="347">
        <f>IF('01 Cover &amp; Control'!$C$19="Base",H159,IF('01 Cover &amp; Control'!$C$19="Upside",H160,H161))</f>
        <v/>
      </c>
      <c r="I162" s="347">
        <f>SUM(E162:H162)</f>
        <v/>
      </c>
      <c r="J162" s="347">
        <f>IF('01 Cover &amp; Control'!$C$19="Base",J159,IF('01 Cover &amp; Control'!$C$19="Upside",J160,J161))</f>
        <v/>
      </c>
      <c r="K162" s="347">
        <f>IF('01 Cover &amp; Control'!$C$19="Base",K159,IF('01 Cover &amp; Control'!$C$19="Upside",K160,K161))</f>
        <v/>
      </c>
      <c r="L162" s="347">
        <f>IF('01 Cover &amp; Control'!$C$19="Base",L159,IF('01 Cover &amp; Control'!$C$19="Upside",L160,L161))</f>
        <v/>
      </c>
      <c r="M162" s="347">
        <f>IF('01 Cover &amp; Control'!$C$19="Base",M159,IF('01 Cover &amp; Control'!$C$19="Upside",M160,M161))</f>
        <v/>
      </c>
      <c r="N162" s="347">
        <f>SUM(J162:M162)</f>
        <v/>
      </c>
      <c r="O162" s="347">
        <f>IF('01 Cover &amp; Control'!$C$19="Base",O159,IF('01 Cover &amp; Control'!$C$19="Upside",O160,O161))</f>
        <v/>
      </c>
      <c r="P162" s="347">
        <f>IF('01 Cover &amp; Control'!$C$19="Base",P159,IF('01 Cover &amp; Control'!$C$19="Upside",P160,P161))</f>
        <v/>
      </c>
      <c r="Q162" s="347">
        <f>IF('01 Cover &amp; Control'!$C$19="Base",Q159,IF('01 Cover &amp; Control'!$C$19="Upside",Q160,Q161))</f>
        <v/>
      </c>
      <c r="R162" s="347">
        <f>IF('01 Cover &amp; Control'!$C$19="Base",R159,IF('01 Cover &amp; Control'!$C$19="Upside",R160,R161))</f>
        <v/>
      </c>
      <c r="S162" s="347">
        <f>SUM(O162:R162)</f>
        <v/>
      </c>
      <c r="T162" s="347">
        <f>IF('01 Cover &amp; Control'!$C$19="Base",T159,IF('01 Cover &amp; Control'!$C$19="Upside",T160,T161))</f>
        <v/>
      </c>
      <c r="U162" s="347">
        <f>IF('01 Cover &amp; Control'!$C$19="Base",U159,IF('01 Cover &amp; Control'!$C$19="Upside",U160,U161))</f>
        <v/>
      </c>
      <c r="V162" s="347">
        <f>IF('01 Cover &amp; Control'!$C$19="Base",V159,IF('01 Cover &amp; Control'!$C$19="Upside",V160,V161))</f>
        <v/>
      </c>
      <c r="W162" s="347">
        <f>IF('01 Cover &amp; Control'!$C$19="Base",W159,IF('01 Cover &amp; Control'!$C$19="Upside",W160,W161))</f>
        <v/>
      </c>
      <c r="X162" s="347">
        <f>SUM(T162:W162)</f>
        <v/>
      </c>
      <c r="Y162" s="347">
        <f>IF('01 Cover &amp; Control'!$C$19="Base",Y159,IF('01 Cover &amp; Control'!$C$19="Upside",Y160,Y161))</f>
        <v/>
      </c>
      <c r="Z162" s="347">
        <f>IF('01 Cover &amp; Control'!$C$19="Base",Z159,IF('01 Cover &amp; Control'!$C$19="Upside",Z160,Z161))</f>
        <v/>
      </c>
      <c r="AA162" s="347">
        <f>IF('01 Cover &amp; Control'!$C$19="Base",AA159,IF('01 Cover &amp; Control'!$C$19="Upside",AA160,AA161))</f>
        <v/>
      </c>
      <c r="AB162" s="347">
        <f>IF('01 Cover &amp; Control'!$C$19="Base",AB159,IF('01 Cover &amp; Control'!$C$19="Upside",AB160,AB161))</f>
        <v/>
      </c>
      <c r="AC162" s="347">
        <f>SUM(Y162:AB162)</f>
        <v/>
      </c>
      <c r="AD162" s="347">
        <f>IF('01 Cover &amp; Control'!$C$19="Base",AD159,IF('01 Cover &amp; Control'!$C$19="Upside",AD160,AD161))</f>
        <v/>
      </c>
      <c r="AE162" s="347">
        <f>IF('01 Cover &amp; Control'!$C$19="Base",AE159,IF('01 Cover &amp; Control'!$C$19="Upside",AE160,AE161))</f>
        <v/>
      </c>
      <c r="AF162" s="347">
        <f>IF('01 Cover &amp; Control'!$C$19="Base",AF159,IF('01 Cover &amp; Control'!$C$19="Upside",AF160,AF161))</f>
        <v/>
      </c>
      <c r="AG162" s="347">
        <f>IF('01 Cover &amp; Control'!$C$19="Base",AG159,IF('01 Cover &amp; Control'!$C$19="Upside",AG160,AG161))</f>
        <v/>
      </c>
      <c r="AH162" s="347">
        <f>SUM(AD162:AG162)</f>
        <v/>
      </c>
      <c r="AI162" s="347">
        <f>IF('01 Cover &amp; Control'!$C$19="Base",AI159,IF('01 Cover &amp; Control'!$C$19="Upside",AI160,AI161))</f>
        <v/>
      </c>
      <c r="AJ162" s="347">
        <f>IF('01 Cover &amp; Control'!$C$19="Base",AJ159,IF('01 Cover &amp; Control'!$C$19="Upside",AJ160,AJ161))</f>
        <v/>
      </c>
      <c r="AK162" s="347">
        <f>IF('01 Cover &amp; Control'!$C$19="Base",AK159,IF('01 Cover &amp; Control'!$C$19="Upside",AK160,AK161))</f>
        <v/>
      </c>
      <c r="AL162" s="347">
        <f>IF('01 Cover &amp; Control'!$C$19="Base",AL159,IF('01 Cover &amp; Control'!$C$19="Upside",AL160,AL161))</f>
        <v/>
      </c>
      <c r="AM162" s="347">
        <f>SUM(AI162:AL162)</f>
        <v/>
      </c>
      <c r="AN162" s="347">
        <f>IF('01 Cover &amp; Control'!$C$19="Base",AN159,IF('01 Cover &amp; Control'!$C$19="Upside",AN160,AN161))</f>
        <v/>
      </c>
      <c r="AO162" s="347">
        <f>IF('01 Cover &amp; Control'!$C$19="Base",AO159,IF('01 Cover &amp; Control'!$C$19="Upside",AO160,AO161))</f>
        <v/>
      </c>
      <c r="AP162" s="347">
        <f>IF('01 Cover &amp; Control'!$C$19="Base",AP159,IF('01 Cover &amp; Control'!$C$19="Upside",AP160,AP161))</f>
        <v/>
      </c>
      <c r="AQ162" s="347">
        <f>IF('01 Cover &amp; Control'!$C$19="Base",AQ159,IF('01 Cover &amp; Control'!$C$19="Upside",AQ160,AQ161))</f>
        <v/>
      </c>
      <c r="AR162" s="347">
        <f>SUM(AN162:AQ162)</f>
        <v/>
      </c>
    </row>
    <row r="163" ht="4.5" customHeight="1" s="290"/>
    <row r="164" ht="3" customHeight="1" s="290">
      <c r="A164" s="293" t="n"/>
    </row>
    <row r="165" ht="4.5" customHeight="1" s="290"/>
    <row r="166" ht="15.75" customHeight="1" s="290">
      <c r="A166" s="338" t="inlineStr">
        <is>
          <t xml:space="preserve">  SECTION D — MARKET ASSUMPTION CHECKS  [ All checks feed Tab 11 — Checks ]</t>
        </is>
      </c>
    </row>
    <row r="167" ht="3.75" customHeight="1" s="290"/>
    <row r="168" ht="15" customHeight="1" s="290">
      <c r="B168" s="358" t="inlineStr">
        <is>
          <t>Check Description</t>
        </is>
      </c>
      <c r="D168" s="358" t="inlineStr">
        <is>
          <t>Linked To</t>
        </is>
      </c>
      <c r="I168" s="358" t="inlineStr">
        <is>
          <t>2023A</t>
        </is>
      </c>
      <c r="N168" s="358" t="inlineStr">
        <is>
          <t>2024A</t>
        </is>
      </c>
      <c r="S168" s="358" t="inlineStr">
        <is>
          <t>2025A</t>
        </is>
      </c>
      <c r="X168" s="358" t="inlineStr">
        <is>
          <t>2026E</t>
        </is>
      </c>
      <c r="AC168" s="358" t="inlineStr">
        <is>
          <t>2027E</t>
        </is>
      </c>
      <c r="AH168" s="358" t="inlineStr">
        <is>
          <t>2028E</t>
        </is>
      </c>
      <c r="AM168" s="358" t="inlineStr">
        <is>
          <t>2029E</t>
        </is>
      </c>
      <c r="AR168" s="358" t="inlineStr">
        <is>
          <t>2030E</t>
        </is>
      </c>
    </row>
    <row r="169" ht="13.5" customHeight="1" s="290">
      <c r="A169" s="359" t="n"/>
      <c r="B169" s="353" t="inlineStr">
        <is>
          <t xml:space="preserve">  ✔  IS Property Mix Sums to 100%  → See row 66</t>
        </is>
      </c>
      <c r="I169" s="356">
        <f>I66</f>
        <v/>
      </c>
      <c r="N169" s="356">
        <f>N66</f>
        <v/>
      </c>
      <c r="S169" s="356">
        <f>S66</f>
        <v/>
      </c>
      <c r="X169" s="356">
        <f>X66</f>
        <v/>
      </c>
      <c r="AC169" s="356">
        <f>AC66</f>
        <v/>
      </c>
      <c r="AH169" s="356">
        <f>AH66</f>
        <v/>
      </c>
      <c r="AM169" s="356">
        <f>AM66</f>
        <v/>
      </c>
      <c r="AR169" s="356">
        <f>AR66</f>
        <v/>
      </c>
    </row>
    <row r="170" ht="13.5" customHeight="1" s="290">
      <c r="A170" s="359" t="n"/>
      <c r="B170" s="353" t="inlineStr">
        <is>
          <t xml:space="preserve">  ✔  IS Bps: Small &gt; Mid &gt; Institutional  → See row 131</t>
        </is>
      </c>
      <c r="I170" s="356">
        <f>I131</f>
        <v/>
      </c>
      <c r="N170" s="356">
        <f>N131</f>
        <v/>
      </c>
      <c r="S170" s="356">
        <f>S131</f>
        <v/>
      </c>
      <c r="X170" s="356">
        <f>X131</f>
        <v/>
      </c>
      <c r="AC170" s="356">
        <f>AC131</f>
        <v/>
      </c>
      <c r="AH170" s="356">
        <f>AH131</f>
        <v/>
      </c>
      <c r="AM170" s="356">
        <f>AM131</f>
        <v/>
      </c>
      <c r="AR170" s="356">
        <f>AR131</f>
        <v/>
      </c>
    </row>
    <row r="171" ht="13.5" customHeight="1" s="290">
      <c r="A171" s="339" t="n"/>
      <c r="B171" s="353" t="inlineStr">
        <is>
          <t xml:space="preserve">  ✔  CHECK: National IS Volume — No Negative Values</t>
        </is>
      </c>
      <c r="D171" s="354" t="inlineStr">
        <is>
          <t>Active row: row 52</t>
        </is>
      </c>
      <c r="E171" s="355" t="inlineStr">
        <is>
          <t>—</t>
        </is>
      </c>
      <c r="F171" s="355" t="inlineStr">
        <is>
          <t>—</t>
        </is>
      </c>
      <c r="G171" s="355" t="inlineStr">
        <is>
          <t>—</t>
        </is>
      </c>
      <c r="H171" s="355" t="inlineStr">
        <is>
          <t>—</t>
        </is>
      </c>
      <c r="I171" s="356">
        <f>IF(MIN(I52)&gt;=0,"PASS","FAIL — NEGATIVE VOLUME")</f>
        <v/>
      </c>
      <c r="J171" s="355" t="inlineStr">
        <is>
          <t>—</t>
        </is>
      </c>
      <c r="K171" s="355" t="inlineStr">
        <is>
          <t>—</t>
        </is>
      </c>
      <c r="L171" s="355" t="inlineStr">
        <is>
          <t>—</t>
        </is>
      </c>
      <c r="M171" s="355" t="inlineStr">
        <is>
          <t>—</t>
        </is>
      </c>
      <c r="N171" s="356">
        <f>IF(MIN(N52)&gt;=0,"PASS","FAIL — NEGATIVE VOLUME")</f>
        <v/>
      </c>
      <c r="O171" s="355" t="inlineStr">
        <is>
          <t>—</t>
        </is>
      </c>
      <c r="P171" s="355" t="inlineStr">
        <is>
          <t>—</t>
        </is>
      </c>
      <c r="Q171" s="355" t="inlineStr">
        <is>
          <t>—</t>
        </is>
      </c>
      <c r="R171" s="355" t="inlineStr">
        <is>
          <t>—</t>
        </is>
      </c>
      <c r="S171" s="356">
        <f>IF(MIN(S52)&gt;=0,"PASS","FAIL — NEGATIVE VOLUME")</f>
        <v/>
      </c>
      <c r="T171" s="355" t="inlineStr">
        <is>
          <t>—</t>
        </is>
      </c>
      <c r="U171" s="355" t="inlineStr">
        <is>
          <t>—</t>
        </is>
      </c>
      <c r="V171" s="355" t="inlineStr">
        <is>
          <t>—</t>
        </is>
      </c>
      <c r="W171" s="355" t="inlineStr">
        <is>
          <t>—</t>
        </is>
      </c>
      <c r="X171" s="356">
        <f>IF(MIN(X52)&gt;=0,"PASS","FAIL — NEGATIVE VOLUME")</f>
        <v/>
      </c>
      <c r="Y171" s="355" t="inlineStr">
        <is>
          <t>—</t>
        </is>
      </c>
      <c r="Z171" s="355" t="inlineStr">
        <is>
          <t>—</t>
        </is>
      </c>
      <c r="AA171" s="355" t="inlineStr">
        <is>
          <t>—</t>
        </is>
      </c>
      <c r="AB171" s="355" t="inlineStr">
        <is>
          <t>—</t>
        </is>
      </c>
      <c r="AC171" s="356">
        <f>IF(MIN(AC52)&gt;=0,"PASS","FAIL — NEGATIVE VOLUME")</f>
        <v/>
      </c>
      <c r="AD171" s="355" t="inlineStr">
        <is>
          <t>—</t>
        </is>
      </c>
      <c r="AE171" s="355" t="inlineStr">
        <is>
          <t>—</t>
        </is>
      </c>
      <c r="AF171" s="355" t="inlineStr">
        <is>
          <t>—</t>
        </is>
      </c>
      <c r="AG171" s="355" t="inlineStr">
        <is>
          <t>—</t>
        </is>
      </c>
      <c r="AH171" s="356">
        <f>IF(MIN(AH52)&gt;=0,"PASS","FAIL — NEGATIVE VOLUME")</f>
        <v/>
      </c>
      <c r="AI171" s="355" t="inlineStr">
        <is>
          <t>—</t>
        </is>
      </c>
      <c r="AJ171" s="355" t="inlineStr">
        <is>
          <t>—</t>
        </is>
      </c>
      <c r="AK171" s="355" t="inlineStr">
        <is>
          <t>—</t>
        </is>
      </c>
      <c r="AL171" s="355" t="inlineStr">
        <is>
          <t>—</t>
        </is>
      </c>
      <c r="AM171" s="356">
        <f>IF(MIN(AM52)&gt;=0,"PASS","FAIL — NEGATIVE VOLUME")</f>
        <v/>
      </c>
      <c r="AN171" s="355" t="inlineStr">
        <is>
          <t>—</t>
        </is>
      </c>
      <c r="AO171" s="355" t="inlineStr">
        <is>
          <t>—</t>
        </is>
      </c>
      <c r="AP171" s="355" t="inlineStr">
        <is>
          <t>—</t>
        </is>
      </c>
      <c r="AQ171" s="355" t="inlineStr">
        <is>
          <t>—</t>
        </is>
      </c>
      <c r="AR171" s="356">
        <f>IF(MIN(AR52)&gt;=0,"PASS","FAIL — NEGATIVE VOLUME")</f>
        <v/>
      </c>
    </row>
    <row r="172" ht="13.5" customHeight="1" s="290">
      <c r="A172" s="339" t="n"/>
      <c r="B172" s="353" t="inlineStr">
        <is>
          <t xml:space="preserve">  ✔  CHECK: National Leasing Volume — No Negative Values</t>
        </is>
      </c>
      <c r="D172" s="354" t="inlineStr">
        <is>
          <t>Active row: row 90</t>
        </is>
      </c>
      <c r="E172" s="355" t="inlineStr">
        <is>
          <t>—</t>
        </is>
      </c>
      <c r="F172" s="355" t="inlineStr">
        <is>
          <t>—</t>
        </is>
      </c>
      <c r="G172" s="355" t="inlineStr">
        <is>
          <t>—</t>
        </is>
      </c>
      <c r="H172" s="355" t="inlineStr">
        <is>
          <t>—</t>
        </is>
      </c>
      <c r="I172" s="356">
        <f>IF(MIN(I90)&gt;=0,"PASS","FAIL — NEGATIVE VOLUME")</f>
        <v/>
      </c>
      <c r="J172" s="355" t="inlineStr">
        <is>
          <t>—</t>
        </is>
      </c>
      <c r="K172" s="355" t="inlineStr">
        <is>
          <t>—</t>
        </is>
      </c>
      <c r="L172" s="355" t="inlineStr">
        <is>
          <t>—</t>
        </is>
      </c>
      <c r="M172" s="355" t="inlineStr">
        <is>
          <t>—</t>
        </is>
      </c>
      <c r="N172" s="356">
        <f>IF(MIN(N90)&gt;=0,"PASS","FAIL — NEGATIVE VOLUME")</f>
        <v/>
      </c>
      <c r="O172" s="355" t="inlineStr">
        <is>
          <t>—</t>
        </is>
      </c>
      <c r="P172" s="355" t="inlineStr">
        <is>
          <t>—</t>
        </is>
      </c>
      <c r="Q172" s="355" t="inlineStr">
        <is>
          <t>—</t>
        </is>
      </c>
      <c r="R172" s="355" t="inlineStr">
        <is>
          <t>—</t>
        </is>
      </c>
      <c r="S172" s="356">
        <f>IF(MIN(S90)&gt;=0,"PASS","FAIL — NEGATIVE VOLUME")</f>
        <v/>
      </c>
      <c r="T172" s="355" t="inlineStr">
        <is>
          <t>—</t>
        </is>
      </c>
      <c r="U172" s="355" t="inlineStr">
        <is>
          <t>—</t>
        </is>
      </c>
      <c r="V172" s="355" t="inlineStr">
        <is>
          <t>—</t>
        </is>
      </c>
      <c r="W172" s="355" t="inlineStr">
        <is>
          <t>—</t>
        </is>
      </c>
      <c r="X172" s="356">
        <f>IF(MIN(X90)&gt;=0,"PASS","FAIL — NEGATIVE VOLUME")</f>
        <v/>
      </c>
      <c r="Y172" s="355" t="inlineStr">
        <is>
          <t>—</t>
        </is>
      </c>
      <c r="Z172" s="355" t="inlineStr">
        <is>
          <t>—</t>
        </is>
      </c>
      <c r="AA172" s="355" t="inlineStr">
        <is>
          <t>—</t>
        </is>
      </c>
      <c r="AB172" s="355" t="inlineStr">
        <is>
          <t>—</t>
        </is>
      </c>
      <c r="AC172" s="356">
        <f>IF(MIN(AC90)&gt;=0,"PASS","FAIL — NEGATIVE VOLUME")</f>
        <v/>
      </c>
      <c r="AD172" s="355" t="inlineStr">
        <is>
          <t>—</t>
        </is>
      </c>
      <c r="AE172" s="355" t="inlineStr">
        <is>
          <t>—</t>
        </is>
      </c>
      <c r="AF172" s="355" t="inlineStr">
        <is>
          <t>—</t>
        </is>
      </c>
      <c r="AG172" s="355" t="inlineStr">
        <is>
          <t>—</t>
        </is>
      </c>
      <c r="AH172" s="356">
        <f>IF(MIN(AH90)&gt;=0,"PASS","FAIL — NEGATIVE VOLUME")</f>
        <v/>
      </c>
      <c r="AI172" s="355" t="inlineStr">
        <is>
          <t>—</t>
        </is>
      </c>
      <c r="AJ172" s="355" t="inlineStr">
        <is>
          <t>—</t>
        </is>
      </c>
      <c r="AK172" s="355" t="inlineStr">
        <is>
          <t>—</t>
        </is>
      </c>
      <c r="AL172" s="355" t="inlineStr">
        <is>
          <t>—</t>
        </is>
      </c>
      <c r="AM172" s="356">
        <f>IF(MIN(AM90)&gt;=0,"PASS","FAIL — NEGATIVE VOLUME")</f>
        <v/>
      </c>
      <c r="AN172" s="355" t="inlineStr">
        <is>
          <t>—</t>
        </is>
      </c>
      <c r="AO172" s="355" t="inlineStr">
        <is>
          <t>—</t>
        </is>
      </c>
      <c r="AP172" s="355" t="inlineStr">
        <is>
          <t>—</t>
        </is>
      </c>
      <c r="AQ172" s="355" t="inlineStr">
        <is>
          <t>—</t>
        </is>
      </c>
      <c r="AR172" s="356">
        <f>IF(MIN(AR90)&gt;=0,"PASS","FAIL — NEGATIVE VOLUME")</f>
        <v/>
      </c>
    </row>
    <row r="173" ht="13.5" customHeight="1" s="290">
      <c r="A173" s="339" t="n"/>
      <c r="B173" s="353" t="inlineStr">
        <is>
          <t xml:space="preserve">  ✔  CHECK: CRE Origination Volume — No Negative Values</t>
        </is>
      </c>
      <c r="D173" s="354" t="inlineStr">
        <is>
          <t>Active row: row 102</t>
        </is>
      </c>
      <c r="E173" s="355" t="inlineStr">
        <is>
          <t>—</t>
        </is>
      </c>
      <c r="F173" s="355" t="inlineStr">
        <is>
          <t>—</t>
        </is>
      </c>
      <c r="G173" s="355" t="inlineStr">
        <is>
          <t>—</t>
        </is>
      </c>
      <c r="H173" s="355" t="inlineStr">
        <is>
          <t>—</t>
        </is>
      </c>
      <c r="I173" s="356">
        <f>IF(MIN(I102)&gt;=0,"PASS","FAIL — NEGATIVE VOLUME")</f>
        <v/>
      </c>
      <c r="J173" s="355" t="inlineStr">
        <is>
          <t>—</t>
        </is>
      </c>
      <c r="K173" s="355" t="inlineStr">
        <is>
          <t>—</t>
        </is>
      </c>
      <c r="L173" s="355" t="inlineStr">
        <is>
          <t>—</t>
        </is>
      </c>
      <c r="M173" s="355" t="inlineStr">
        <is>
          <t>—</t>
        </is>
      </c>
      <c r="N173" s="356">
        <f>IF(MIN(N102)&gt;=0,"PASS","FAIL — NEGATIVE VOLUME")</f>
        <v/>
      </c>
      <c r="O173" s="355" t="inlineStr">
        <is>
          <t>—</t>
        </is>
      </c>
      <c r="P173" s="355" t="inlineStr">
        <is>
          <t>—</t>
        </is>
      </c>
      <c r="Q173" s="355" t="inlineStr">
        <is>
          <t>—</t>
        </is>
      </c>
      <c r="R173" s="355" t="inlineStr">
        <is>
          <t>—</t>
        </is>
      </c>
      <c r="S173" s="356">
        <f>IF(MIN(S102)&gt;=0,"PASS","FAIL — NEGATIVE VOLUME")</f>
        <v/>
      </c>
      <c r="T173" s="355" t="inlineStr">
        <is>
          <t>—</t>
        </is>
      </c>
      <c r="U173" s="355" t="inlineStr">
        <is>
          <t>—</t>
        </is>
      </c>
      <c r="V173" s="355" t="inlineStr">
        <is>
          <t>—</t>
        </is>
      </c>
      <c r="W173" s="355" t="inlineStr">
        <is>
          <t>—</t>
        </is>
      </c>
      <c r="X173" s="356">
        <f>IF(MIN(X102)&gt;=0,"PASS","FAIL — NEGATIVE VOLUME")</f>
        <v/>
      </c>
      <c r="Y173" s="355" t="inlineStr">
        <is>
          <t>—</t>
        </is>
      </c>
      <c r="Z173" s="355" t="inlineStr">
        <is>
          <t>—</t>
        </is>
      </c>
      <c r="AA173" s="355" t="inlineStr">
        <is>
          <t>—</t>
        </is>
      </c>
      <c r="AB173" s="355" t="inlineStr">
        <is>
          <t>—</t>
        </is>
      </c>
      <c r="AC173" s="356">
        <f>IF(MIN(AC102)&gt;=0,"PASS","FAIL — NEGATIVE VOLUME")</f>
        <v/>
      </c>
      <c r="AD173" s="355" t="inlineStr">
        <is>
          <t>—</t>
        </is>
      </c>
      <c r="AE173" s="355" t="inlineStr">
        <is>
          <t>—</t>
        </is>
      </c>
      <c r="AF173" s="355" t="inlineStr">
        <is>
          <t>—</t>
        </is>
      </c>
      <c r="AG173" s="355" t="inlineStr">
        <is>
          <t>—</t>
        </is>
      </c>
      <c r="AH173" s="356">
        <f>IF(MIN(AH102)&gt;=0,"PASS","FAIL — NEGATIVE VOLUME")</f>
        <v/>
      </c>
      <c r="AI173" s="355" t="inlineStr">
        <is>
          <t>—</t>
        </is>
      </c>
      <c r="AJ173" s="355" t="inlineStr">
        <is>
          <t>—</t>
        </is>
      </c>
      <c r="AK173" s="355" t="inlineStr">
        <is>
          <t>—</t>
        </is>
      </c>
      <c r="AL173" s="355" t="inlineStr">
        <is>
          <t>—</t>
        </is>
      </c>
      <c r="AM173" s="356">
        <f>IF(MIN(AM102)&gt;=0,"PASS","FAIL — NEGATIVE VOLUME")</f>
        <v/>
      </c>
      <c r="AN173" s="355" t="inlineStr">
        <is>
          <t>—</t>
        </is>
      </c>
      <c r="AO173" s="355" t="inlineStr">
        <is>
          <t>—</t>
        </is>
      </c>
      <c r="AP173" s="355" t="inlineStr">
        <is>
          <t>—</t>
        </is>
      </c>
      <c r="AQ173" s="355" t="inlineStr">
        <is>
          <t>—</t>
        </is>
      </c>
      <c r="AR173" s="356">
        <f>IF(MIN(AR102)&gt;=0,"PASS","FAIL — NEGATIVE VOLUME")</f>
        <v/>
      </c>
    </row>
    <row r="174" ht="13.5" customHeight="1" s="290">
      <c r="A174" s="339" t="n"/>
      <c r="B174" s="353" t="inlineStr">
        <is>
          <t xml:space="preserve">  ✔  CHECK: IS Bps — No Zero or Negative Values</t>
        </is>
      </c>
      <c r="D174" s="354" t="inlineStr">
        <is>
          <t>All three IS bps tiers must be positive.</t>
        </is>
      </c>
      <c r="E174" s="355" t="inlineStr">
        <is>
          <t>—</t>
        </is>
      </c>
      <c r="F174" s="355" t="inlineStr">
        <is>
          <t>—</t>
        </is>
      </c>
      <c r="G174" s="355" t="inlineStr">
        <is>
          <t>—</t>
        </is>
      </c>
      <c r="H174" s="355" t="inlineStr">
        <is>
          <t>—</t>
        </is>
      </c>
      <c r="I174" s="356">
        <f>IF(AND(I119&gt;0,I124&gt;0,I129&gt;0),"PASS","FAIL — ZERO/NEG BPS")</f>
        <v/>
      </c>
      <c r="J174" s="355" t="inlineStr">
        <is>
          <t>—</t>
        </is>
      </c>
      <c r="K174" s="355" t="inlineStr">
        <is>
          <t>—</t>
        </is>
      </c>
      <c r="L174" s="355" t="inlineStr">
        <is>
          <t>—</t>
        </is>
      </c>
      <c r="M174" s="355" t="inlineStr">
        <is>
          <t>—</t>
        </is>
      </c>
      <c r="N174" s="356">
        <f>IF(AND(N119&gt;0,N124&gt;0,N129&gt;0),"PASS","FAIL — ZERO/NEG BPS")</f>
        <v/>
      </c>
      <c r="O174" s="355" t="inlineStr">
        <is>
          <t>—</t>
        </is>
      </c>
      <c r="P174" s="355" t="inlineStr">
        <is>
          <t>—</t>
        </is>
      </c>
      <c r="Q174" s="355" t="inlineStr">
        <is>
          <t>—</t>
        </is>
      </c>
      <c r="R174" s="355" t="inlineStr">
        <is>
          <t>—</t>
        </is>
      </c>
      <c r="S174" s="356">
        <f>IF(AND(S119&gt;0,S124&gt;0,S129&gt;0),"PASS","FAIL — ZERO/NEG BPS")</f>
        <v/>
      </c>
      <c r="T174" s="355" t="inlineStr">
        <is>
          <t>—</t>
        </is>
      </c>
      <c r="U174" s="355" t="inlineStr">
        <is>
          <t>—</t>
        </is>
      </c>
      <c r="V174" s="355" t="inlineStr">
        <is>
          <t>—</t>
        </is>
      </c>
      <c r="W174" s="355" t="inlineStr">
        <is>
          <t>—</t>
        </is>
      </c>
      <c r="X174" s="356">
        <f>IF(AND(X119&gt;0,X124&gt;0,X129&gt;0),"PASS","FAIL — ZERO/NEG BPS")</f>
        <v/>
      </c>
      <c r="Y174" s="355" t="inlineStr">
        <is>
          <t>—</t>
        </is>
      </c>
      <c r="Z174" s="355" t="inlineStr">
        <is>
          <t>—</t>
        </is>
      </c>
      <c r="AA174" s="355" t="inlineStr">
        <is>
          <t>—</t>
        </is>
      </c>
      <c r="AB174" s="355" t="inlineStr">
        <is>
          <t>—</t>
        </is>
      </c>
      <c r="AC174" s="356">
        <f>IF(AND(AC119&gt;0,AC124&gt;0,AC129&gt;0),"PASS","FAIL — ZERO/NEG BPS")</f>
        <v/>
      </c>
      <c r="AD174" s="355" t="inlineStr">
        <is>
          <t>—</t>
        </is>
      </c>
      <c r="AE174" s="355" t="inlineStr">
        <is>
          <t>—</t>
        </is>
      </c>
      <c r="AF174" s="355" t="inlineStr">
        <is>
          <t>—</t>
        </is>
      </c>
      <c r="AG174" s="355" t="inlineStr">
        <is>
          <t>—</t>
        </is>
      </c>
      <c r="AH174" s="356">
        <f>IF(AND(AH119&gt;0,AH124&gt;0,AH129&gt;0),"PASS","FAIL — ZERO/NEG BPS")</f>
        <v/>
      </c>
      <c r="AI174" s="355" t="inlineStr">
        <is>
          <t>—</t>
        </is>
      </c>
      <c r="AJ174" s="355" t="inlineStr">
        <is>
          <t>—</t>
        </is>
      </c>
      <c r="AK174" s="355" t="inlineStr">
        <is>
          <t>—</t>
        </is>
      </c>
      <c r="AL174" s="355" t="inlineStr">
        <is>
          <t>—</t>
        </is>
      </c>
      <c r="AM174" s="356">
        <f>IF(AND(AM119&gt;0,AM124&gt;0,AM129&gt;0),"PASS","FAIL — ZERO/NEG BPS")</f>
        <v/>
      </c>
      <c r="AN174" s="355" t="inlineStr">
        <is>
          <t>—</t>
        </is>
      </c>
      <c r="AO174" s="355" t="inlineStr">
        <is>
          <t>—</t>
        </is>
      </c>
      <c r="AP174" s="355" t="inlineStr">
        <is>
          <t>—</t>
        </is>
      </c>
      <c r="AQ174" s="355" t="inlineStr">
        <is>
          <t>—</t>
        </is>
      </c>
      <c r="AR174" s="356">
        <f>IF(AND(AR119&gt;0,AR124&gt;0,AR129&gt;0),"PASS","FAIL — ZERO/NEG BPS")</f>
        <v/>
      </c>
    </row>
    <row r="175" ht="13.5" customHeight="1" s="290">
      <c r="A175" s="339" t="n"/>
      <c r="B175" s="353" t="inlineStr">
        <is>
          <t xml:space="preserve">  ✔  CHECK: Leasing Commission Rates — No Zero or Negative Values</t>
        </is>
      </c>
      <c r="D175" s="354" t="inlineStr">
        <is>
          <t>Both tenant-rep and landlord-rep rates must be positive.</t>
        </is>
      </c>
      <c r="E175" s="355" t="inlineStr">
        <is>
          <t>—</t>
        </is>
      </c>
      <c r="F175" s="355" t="inlineStr">
        <is>
          <t>—</t>
        </is>
      </c>
      <c r="G175" s="355" t="inlineStr">
        <is>
          <t>—</t>
        </is>
      </c>
      <c r="H175" s="355" t="inlineStr">
        <is>
          <t>—</t>
        </is>
      </c>
      <c r="I175" s="356">
        <f>IF(AND(I157&gt;0,I162&gt;0),"PASS","FAIL — ZERO/NEG COMM RATE")</f>
        <v/>
      </c>
      <c r="J175" s="355" t="inlineStr">
        <is>
          <t>—</t>
        </is>
      </c>
      <c r="K175" s="355" t="inlineStr">
        <is>
          <t>—</t>
        </is>
      </c>
      <c r="L175" s="355" t="inlineStr">
        <is>
          <t>—</t>
        </is>
      </c>
      <c r="M175" s="355" t="inlineStr">
        <is>
          <t>—</t>
        </is>
      </c>
      <c r="N175" s="356">
        <f>IF(AND(N157&gt;0,N162&gt;0),"PASS","FAIL — ZERO/NEG COMM RATE")</f>
        <v/>
      </c>
      <c r="O175" s="355" t="inlineStr">
        <is>
          <t>—</t>
        </is>
      </c>
      <c r="P175" s="355" t="inlineStr">
        <is>
          <t>—</t>
        </is>
      </c>
      <c r="Q175" s="355" t="inlineStr">
        <is>
          <t>—</t>
        </is>
      </c>
      <c r="R175" s="355" t="inlineStr">
        <is>
          <t>—</t>
        </is>
      </c>
      <c r="S175" s="356">
        <f>IF(AND(S157&gt;0,S162&gt;0),"PASS","FAIL — ZERO/NEG COMM RATE")</f>
        <v/>
      </c>
      <c r="T175" s="355" t="inlineStr">
        <is>
          <t>—</t>
        </is>
      </c>
      <c r="U175" s="355" t="inlineStr">
        <is>
          <t>—</t>
        </is>
      </c>
      <c r="V175" s="355" t="inlineStr">
        <is>
          <t>—</t>
        </is>
      </c>
      <c r="W175" s="355" t="inlineStr">
        <is>
          <t>—</t>
        </is>
      </c>
      <c r="X175" s="356">
        <f>IF(AND(X157&gt;0,X162&gt;0),"PASS","FAIL — ZERO/NEG COMM RATE")</f>
        <v/>
      </c>
      <c r="Y175" s="355" t="inlineStr">
        <is>
          <t>—</t>
        </is>
      </c>
      <c r="Z175" s="355" t="inlineStr">
        <is>
          <t>—</t>
        </is>
      </c>
      <c r="AA175" s="355" t="inlineStr">
        <is>
          <t>—</t>
        </is>
      </c>
      <c r="AB175" s="355" t="inlineStr">
        <is>
          <t>—</t>
        </is>
      </c>
      <c r="AC175" s="356">
        <f>IF(AND(AC157&gt;0,AC162&gt;0),"PASS","FAIL — ZERO/NEG COMM RATE")</f>
        <v/>
      </c>
      <c r="AD175" s="355" t="inlineStr">
        <is>
          <t>—</t>
        </is>
      </c>
      <c r="AE175" s="355" t="inlineStr">
        <is>
          <t>—</t>
        </is>
      </c>
      <c r="AF175" s="355" t="inlineStr">
        <is>
          <t>—</t>
        </is>
      </c>
      <c r="AG175" s="355" t="inlineStr">
        <is>
          <t>—</t>
        </is>
      </c>
      <c r="AH175" s="356">
        <f>IF(AND(AH157&gt;0,AH162&gt;0),"PASS","FAIL — ZERO/NEG COMM RATE")</f>
        <v/>
      </c>
      <c r="AI175" s="355" t="inlineStr">
        <is>
          <t>—</t>
        </is>
      </c>
      <c r="AJ175" s="355" t="inlineStr">
        <is>
          <t>—</t>
        </is>
      </c>
      <c r="AK175" s="355" t="inlineStr">
        <is>
          <t>—</t>
        </is>
      </c>
      <c r="AL175" s="355" t="inlineStr">
        <is>
          <t>—</t>
        </is>
      </c>
      <c r="AM175" s="356">
        <f>IF(AND(AM157&gt;0,AM162&gt;0),"PASS","FAIL — ZERO/NEG COMM RATE")</f>
        <v/>
      </c>
      <c r="AN175" s="355" t="inlineStr">
        <is>
          <t>—</t>
        </is>
      </c>
      <c r="AO175" s="355" t="inlineStr">
        <is>
          <t>—</t>
        </is>
      </c>
      <c r="AP175" s="355" t="inlineStr">
        <is>
          <t>—</t>
        </is>
      </c>
      <c r="AQ175" s="355" t="inlineStr">
        <is>
          <t>—</t>
        </is>
      </c>
      <c r="AR175" s="356">
        <f>IF(AND(AR157&gt;0,AR162&gt;0),"PASS","FAIL — ZERO/NEG COMM RATE")</f>
        <v/>
      </c>
    </row>
    <row r="176" ht="13.5" customHeight="1" s="290">
      <c r="A176" s="339" t="n"/>
      <c r="B176" s="353" t="inlineStr">
        <is>
          <t xml:space="preserve">  ✔  CHECK: IS Volume Active Row — No Blanks in Forecast Period</t>
        </is>
      </c>
      <c r="D176" s="354" t="inlineStr">
        <is>
          <t>Verifies all 20 forecast quarterly cells in IS Vol Active row are populated.</t>
        </is>
      </c>
      <c r="E176" s="355" t="inlineStr">
        <is>
          <t>—</t>
        </is>
      </c>
      <c r="F176" s="355" t="inlineStr">
        <is>
          <t>—</t>
        </is>
      </c>
      <c r="G176" s="355" t="inlineStr">
        <is>
          <t>—</t>
        </is>
      </c>
      <c r="H176" s="355" t="inlineStr">
        <is>
          <t>—</t>
        </is>
      </c>
      <c r="I176" s="356" t="inlineStr">
        <is>
          <t>—</t>
        </is>
      </c>
      <c r="J176" s="355" t="inlineStr">
        <is>
          <t>—</t>
        </is>
      </c>
      <c r="K176" s="355" t="inlineStr">
        <is>
          <t>—</t>
        </is>
      </c>
      <c r="L176" s="355" t="inlineStr">
        <is>
          <t>—</t>
        </is>
      </c>
      <c r="M176" s="355" t="inlineStr">
        <is>
          <t>—</t>
        </is>
      </c>
      <c r="N176" s="356" t="inlineStr">
        <is>
          <t>—</t>
        </is>
      </c>
      <c r="O176" s="355" t="inlineStr">
        <is>
          <t>—</t>
        </is>
      </c>
      <c r="P176" s="355" t="inlineStr">
        <is>
          <t>—</t>
        </is>
      </c>
      <c r="Q176" s="355" t="inlineStr">
        <is>
          <t>—</t>
        </is>
      </c>
      <c r="R176" s="355" t="inlineStr">
        <is>
          <t>—</t>
        </is>
      </c>
      <c r="S176" s="356" t="inlineStr">
        <is>
          <t>—</t>
        </is>
      </c>
      <c r="T176" s="355" t="inlineStr">
        <is>
          <t>—</t>
        </is>
      </c>
      <c r="U176" s="355" t="inlineStr">
        <is>
          <t>—</t>
        </is>
      </c>
      <c r="V176" s="355" t="inlineStr">
        <is>
          <t>—</t>
        </is>
      </c>
      <c r="W176" s="355" t="inlineStr">
        <is>
          <t>—</t>
        </is>
      </c>
      <c r="X176" s="356">
        <f>IF(X52&gt;0,"PASS","WARN — INPUT ZERO/BLANK")</f>
        <v/>
      </c>
      <c r="Y176" s="355" t="inlineStr">
        <is>
          <t>—</t>
        </is>
      </c>
      <c r="Z176" s="355" t="inlineStr">
        <is>
          <t>—</t>
        </is>
      </c>
      <c r="AA176" s="355" t="inlineStr">
        <is>
          <t>—</t>
        </is>
      </c>
      <c r="AB176" s="355" t="inlineStr">
        <is>
          <t>—</t>
        </is>
      </c>
      <c r="AC176" s="356">
        <f>IF(AC52&gt;0,"PASS","WARN — INPUT ZERO/BLANK")</f>
        <v/>
      </c>
      <c r="AD176" s="355" t="inlineStr">
        <is>
          <t>—</t>
        </is>
      </c>
      <c r="AE176" s="355" t="inlineStr">
        <is>
          <t>—</t>
        </is>
      </c>
      <c r="AF176" s="355" t="inlineStr">
        <is>
          <t>—</t>
        </is>
      </c>
      <c r="AG176" s="355" t="inlineStr">
        <is>
          <t>—</t>
        </is>
      </c>
      <c r="AH176" s="356">
        <f>IF(AH52&gt;0,"PASS","WARN — INPUT ZERO/BLANK")</f>
        <v/>
      </c>
      <c r="AI176" s="355" t="inlineStr">
        <is>
          <t>—</t>
        </is>
      </c>
      <c r="AJ176" s="355" t="inlineStr">
        <is>
          <t>—</t>
        </is>
      </c>
      <c r="AK176" s="355" t="inlineStr">
        <is>
          <t>—</t>
        </is>
      </c>
      <c r="AL176" s="355" t="inlineStr">
        <is>
          <t>—</t>
        </is>
      </c>
      <c r="AM176" s="356">
        <f>IF(AM52&gt;0,"PASS","WARN — INPUT ZERO/BLANK")</f>
        <v/>
      </c>
      <c r="AN176" s="355" t="inlineStr">
        <is>
          <t>—</t>
        </is>
      </c>
      <c r="AO176" s="355" t="inlineStr">
        <is>
          <t>—</t>
        </is>
      </c>
      <c r="AP176" s="355" t="inlineStr">
        <is>
          <t>—</t>
        </is>
      </c>
      <c r="AQ176" s="355" t="inlineStr">
        <is>
          <t>—</t>
        </is>
      </c>
      <c r="AR176" s="356">
        <f>IF(AR52&gt;0,"PASS","WARN — INPUT ZERO/BLANK")</f>
        <v/>
      </c>
    </row>
    <row r="177" ht="4.5" customHeight="1" s="290"/>
    <row r="178" ht="18" customHeight="1" s="290">
      <c r="A178" s="360" t="inlineStr">
        <is>
          <t xml:space="preserve">  All PASS/FAIL results above are referenced by Tab 11 — Checks (Section B, Market Share Governor). A FAIL on any check should be investigated before running scenarios.</t>
        </is>
      </c>
    </row>
    <row r="179" ht="4.5" customHeight="1" s="290"/>
    <row r="180" ht="3" customHeight="1" s="290">
      <c r="A180" s="293" t="n"/>
    </row>
  </sheetData>
  <mergeCells count="23">
    <mergeCell ref="A109:AR109"/>
    <mergeCell ref="A180:AR180"/>
    <mergeCell ref="A43:AR43"/>
    <mergeCell ref="A152:AR152"/>
    <mergeCell ref="B61:D61"/>
    <mergeCell ref="A68:AR68"/>
    <mergeCell ref="E2:AR2"/>
    <mergeCell ref="B17:D17"/>
    <mergeCell ref="A111:AR111"/>
    <mergeCell ref="A59:AR59"/>
    <mergeCell ref="A166:AR166"/>
    <mergeCell ref="A178:AR178"/>
    <mergeCell ref="A1:AR1"/>
    <mergeCell ref="A45:AR45"/>
    <mergeCell ref="B114:AR114"/>
    <mergeCell ref="A164:AR164"/>
    <mergeCell ref="A133:AR133"/>
    <mergeCell ref="A113:AR113"/>
    <mergeCell ref="A47:AR47"/>
    <mergeCell ref="A85:AR85"/>
    <mergeCell ref="A5:AR5"/>
    <mergeCell ref="A2:D2"/>
    <mergeCell ref="A97:AR97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4472C4"/>
    <outlinePr summaryBelow="1" summaryRight="1"/>
    <pageSetUpPr fitToPage="1"/>
  </sheetPr>
  <dimension ref="A1:AR3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2" customWidth="1" style="289" min="1" max="1"/>
    <col width="38" customWidth="1" style="289" min="2" max="2"/>
    <col width="10" customWidth="1" style="289" min="3" max="3"/>
    <col width="22" customWidth="1" style="289" min="4" max="4"/>
    <col width="8.800000000000001" customWidth="1" style="289" min="5" max="8"/>
    <col width="10.51" customWidth="1" style="289" min="9" max="9"/>
    <col width="8.800000000000001" customWidth="1" style="289" min="10" max="13"/>
    <col width="10.51" customWidth="1" style="289" min="14" max="14"/>
    <col width="8.800000000000001" customWidth="1" style="289" min="15" max="18"/>
    <col width="10.51" customWidth="1" style="289" min="19" max="19"/>
    <col width="8.800000000000001" customWidth="1" style="289" min="20" max="23"/>
    <col width="10.51" customWidth="1" style="289" min="24" max="24"/>
    <col width="8.800000000000001" customWidth="1" style="289" min="25" max="28"/>
    <col width="10.51" customWidth="1" style="289" min="29" max="29"/>
    <col width="8.800000000000001" customWidth="1" style="289" min="30" max="33"/>
    <col width="10.51" customWidth="1" style="289" min="34" max="34"/>
    <col width="8.800000000000001" customWidth="1" style="289" min="35" max="38"/>
    <col width="10.51" customWidth="1" style="289" min="39" max="39"/>
    <col width="8.800000000000001" customWidth="1" style="289" min="40" max="43"/>
    <col width="10.51" customWidth="1" style="289" min="44" max="44"/>
  </cols>
  <sheetData>
    <row r="1" ht="25.5" customHeight="1" s="290">
      <c r="A1" s="330" t="inlineStr">
        <is>
          <t xml:space="preserve">  03  |  OPERATIONAL ASSUMPTIONS — FIRM-CONTROLLED DRIVERS</t>
        </is>
      </c>
    </row>
    <row r="2" ht="15" customHeight="1" s="290">
      <c r="A2" s="331" t="inlineStr">
        <is>
          <t xml:space="preserve">  Scenario-sensitive rows: Base / Upside / Downside / Active. Active rows link to Tab 01 C19. Static tables use different column layout (noted inline).</t>
        </is>
      </c>
      <c r="E2" s="308">
        <f>'01 Cover &amp; Control'!C19</f>
        <v/>
      </c>
    </row>
    <row r="3" ht="30" customHeight="1" s="290">
      <c r="A3" s="332" t="n"/>
      <c r="B3" s="333" t="inlineStr">
        <is>
          <t>Assumption / Row</t>
        </is>
      </c>
      <c r="C3" s="333" t="inlineStr">
        <is>
          <t>Units</t>
        </is>
      </c>
      <c r="D3" s="333" t="inlineStr">
        <is>
          <t>Source / Notes</t>
        </is>
      </c>
      <c r="E3" s="334" t="inlineStr">
        <is>
          <t>2023A
Q1</t>
        </is>
      </c>
      <c r="F3" s="334" t="inlineStr">
        <is>
          <t>2023A
Q2</t>
        </is>
      </c>
      <c r="G3" s="334" t="inlineStr">
        <is>
          <t>2023A
Q3</t>
        </is>
      </c>
      <c r="H3" s="334" t="inlineStr">
        <is>
          <t>2023A
Q4</t>
        </is>
      </c>
      <c r="I3" s="335" t="inlineStr">
        <is>
          <t>2023A
Annual</t>
        </is>
      </c>
      <c r="J3" s="334" t="inlineStr">
        <is>
          <t>2024A
Q1</t>
        </is>
      </c>
      <c r="K3" s="334" t="inlineStr">
        <is>
          <t>2024A
Q2</t>
        </is>
      </c>
      <c r="L3" s="334" t="inlineStr">
        <is>
          <t>2024A
Q3</t>
        </is>
      </c>
      <c r="M3" s="334" t="inlineStr">
        <is>
          <t>2024A
Q4</t>
        </is>
      </c>
      <c r="N3" s="335" t="inlineStr">
        <is>
          <t>2024A
Annual</t>
        </is>
      </c>
      <c r="O3" s="334" t="inlineStr">
        <is>
          <t>2025A
Q1</t>
        </is>
      </c>
      <c r="P3" s="334" t="inlineStr">
        <is>
          <t>2025A
Q2</t>
        </is>
      </c>
      <c r="Q3" s="334" t="inlineStr">
        <is>
          <t>2025A
Q3</t>
        </is>
      </c>
      <c r="R3" s="334" t="inlineStr">
        <is>
          <t>2025A
Q4</t>
        </is>
      </c>
      <c r="S3" s="335" t="inlineStr">
        <is>
          <t>2025A
Annual</t>
        </is>
      </c>
      <c r="T3" s="336" t="inlineStr">
        <is>
          <t>2026E
Q1</t>
        </is>
      </c>
      <c r="U3" s="336" t="inlineStr">
        <is>
          <t>2026E
Q2</t>
        </is>
      </c>
      <c r="V3" s="336" t="inlineStr">
        <is>
          <t>2026E
Q3</t>
        </is>
      </c>
      <c r="W3" s="336" t="inlineStr">
        <is>
          <t>2026E
Q4</t>
        </is>
      </c>
      <c r="X3" s="337" t="inlineStr">
        <is>
          <t>2026E
Annual</t>
        </is>
      </c>
      <c r="Y3" s="336" t="inlineStr">
        <is>
          <t>2027E
Q1</t>
        </is>
      </c>
      <c r="Z3" s="336" t="inlineStr">
        <is>
          <t>2027E
Q2</t>
        </is>
      </c>
      <c r="AA3" s="336" t="inlineStr">
        <is>
          <t>2027E
Q3</t>
        </is>
      </c>
      <c r="AB3" s="336" t="inlineStr">
        <is>
          <t>2027E
Q4</t>
        </is>
      </c>
      <c r="AC3" s="337" t="inlineStr">
        <is>
          <t>2027E
Annual</t>
        </is>
      </c>
      <c r="AD3" s="336" t="inlineStr">
        <is>
          <t>2028E
Q1</t>
        </is>
      </c>
      <c r="AE3" s="336" t="inlineStr">
        <is>
          <t>2028E
Q2</t>
        </is>
      </c>
      <c r="AF3" s="336" t="inlineStr">
        <is>
          <t>2028E
Q3</t>
        </is>
      </c>
      <c r="AG3" s="336" t="inlineStr">
        <is>
          <t>2028E
Q4</t>
        </is>
      </c>
      <c r="AH3" s="337" t="inlineStr">
        <is>
          <t>2028E
Annual</t>
        </is>
      </c>
      <c r="AI3" s="336" t="inlineStr">
        <is>
          <t>2029E
Q1</t>
        </is>
      </c>
      <c r="AJ3" s="336" t="inlineStr">
        <is>
          <t>2029E
Q2</t>
        </is>
      </c>
      <c r="AK3" s="336" t="inlineStr">
        <is>
          <t>2029E
Q3</t>
        </is>
      </c>
      <c r="AL3" s="336" t="inlineStr">
        <is>
          <t>2029E
Q4</t>
        </is>
      </c>
      <c r="AM3" s="337" t="inlineStr">
        <is>
          <t>2029E
Annual</t>
        </is>
      </c>
      <c r="AN3" s="336" t="inlineStr">
        <is>
          <t>2030E
Q1</t>
        </is>
      </c>
      <c r="AO3" s="336" t="inlineStr">
        <is>
          <t>2030E
Q2</t>
        </is>
      </c>
      <c r="AP3" s="336" t="inlineStr">
        <is>
          <t>2030E
Q3</t>
        </is>
      </c>
      <c r="AQ3" s="336" t="inlineStr">
        <is>
          <t>2030E
Q4</t>
        </is>
      </c>
      <c r="AR3" s="337" t="inlineStr">
        <is>
          <t>2030E
Annual</t>
        </is>
      </c>
    </row>
    <row r="4" ht="4.5" customHeight="1" s="290"/>
    <row r="5" ht="15.75" customHeight="1" s="290">
      <c r="A5" s="338" t="inlineStr">
        <is>
          <t xml:space="preserve">  SECTION A — HEADCOUNT PLAN  |  EPE = Beginning HC + (Hires × Ramp Factor) − Attrition</t>
        </is>
      </c>
    </row>
    <row r="6" ht="3.75" customHeight="1" s="290"/>
    <row r="7" ht="13.5" customHeight="1" s="290">
      <c r="A7" s="348" t="inlineStr">
        <is>
          <t xml:space="preserve">  Beginning Headcount: input once per year (Q1 of each year). Hires &amp; Attrition Rate: scenario-keyed quarterly inputs. Attrition rate applied to Beginning HC in the Producer Engine: Attrition = Rate × Beginning HC. Historical period: enter actuals. Forecast period: scenario-keyed inputs.</t>
        </is>
      </c>
    </row>
    <row r="8" ht="3.75" customHeight="1" s="290"/>
    <row r="9" ht="15" customHeight="1" s="290">
      <c r="A9" s="307" t="inlineStr">
        <is>
          <t xml:space="preserve">    LEASING — HEADCOUNT</t>
        </is>
      </c>
    </row>
    <row r="10" ht="3" customHeight="1" s="290"/>
    <row r="11" ht="13.5" customHeight="1" s="290">
      <c r="A11" s="339" t="n"/>
      <c r="B11" s="357" t="inlineStr">
        <is>
          <t xml:space="preserve">  Beginning HC — Rainmaker</t>
        </is>
      </c>
      <c r="C11" s="341" t="inlineStr">
        <is>
          <t>#</t>
        </is>
      </c>
      <c r="D11" s="342" t="inlineStr">
        <is>
          <t>Input: actuals for hist period; forecast = prior yr ending HC. Used directly in EPE formula.</t>
        </is>
      </c>
      <c r="E11" s="343" t="n">
        <v>8</v>
      </c>
      <c r="F11" s="343" t="n"/>
      <c r="G11" s="343" t="n"/>
      <c r="H11" s="343" t="n"/>
      <c r="I11" s="344">
        <f>SUM(E11:H11)</f>
        <v/>
      </c>
      <c r="J11" s="343" t="n"/>
      <c r="K11" s="343" t="n"/>
      <c r="L11" s="343" t="n"/>
      <c r="M11" s="343" t="n"/>
      <c r="N11" s="344">
        <f>SUM(J11:M11)</f>
        <v/>
      </c>
      <c r="O11" s="343" t="n"/>
      <c r="P11" s="343" t="n"/>
      <c r="Q11" s="343" t="n"/>
      <c r="R11" s="343" t="n"/>
      <c r="S11" s="344">
        <f>SUM(O11:R11)</f>
        <v/>
      </c>
      <c r="T11" s="343" t="n"/>
      <c r="U11" s="343" t="n"/>
      <c r="V11" s="343" t="n"/>
      <c r="W11" s="343" t="n"/>
      <c r="X11" s="344">
        <f>SUM(T11:W11)</f>
        <v/>
      </c>
      <c r="Y11" s="343" t="n"/>
      <c r="Z11" s="343" t="n"/>
      <c r="AA11" s="343" t="n"/>
      <c r="AB11" s="343" t="n"/>
      <c r="AC11" s="344">
        <f>SUM(Y11:AB11)</f>
        <v/>
      </c>
      <c r="AD11" s="343" t="n"/>
      <c r="AE11" s="343" t="n"/>
      <c r="AF11" s="343" t="n"/>
      <c r="AG11" s="343" t="n"/>
      <c r="AH11" s="344">
        <f>SUM(AD11:AG11)</f>
        <v/>
      </c>
      <c r="AI11" s="343" t="n"/>
      <c r="AJ11" s="343" t="n"/>
      <c r="AK11" s="343" t="n"/>
      <c r="AL11" s="343" t="n"/>
      <c r="AM11" s="344">
        <f>SUM(AI11:AL11)</f>
        <v/>
      </c>
      <c r="AN11" s="343" t="n"/>
      <c r="AO11" s="343" t="n"/>
      <c r="AP11" s="343" t="n"/>
      <c r="AQ11" s="343" t="n"/>
      <c r="AR11" s="344">
        <f>SUM(AN11:AQ11)</f>
        <v/>
      </c>
    </row>
    <row r="12" ht="13.5" customHeight="1" s="290">
      <c r="A12" s="339" t="n"/>
      <c r="B12" s="340" t="inlineStr">
        <is>
          <t xml:space="preserve">  Gross Hires / Qtr — Rainmaker  — Base</t>
        </is>
      </c>
      <c r="C12" s="341" t="inlineStr">
        <is>
          <t>#/qtr</t>
        </is>
      </c>
      <c r="D12" s="342" t="inlineStr">
        <is>
          <t>Scenario-keyed. Upside = faster hiring. Downside = slower/failed hiring.</t>
        </is>
      </c>
      <c r="E12" s="343" t="n">
        <v>0.5</v>
      </c>
      <c r="F12" s="343" t="n">
        <v>0.5</v>
      </c>
      <c r="G12" s="343" t="n">
        <v>0.5</v>
      </c>
      <c r="H12" s="343" t="n">
        <v>0.5</v>
      </c>
      <c r="I12" s="344">
        <f>SUM(E12:H12)</f>
        <v/>
      </c>
      <c r="J12" s="343" t="n">
        <v>0.5</v>
      </c>
      <c r="K12" s="343" t="n">
        <v>0.5</v>
      </c>
      <c r="L12" s="343" t="n">
        <v>0.5</v>
      </c>
      <c r="M12" s="343" t="n">
        <v>0.5</v>
      </c>
      <c r="N12" s="344">
        <f>SUM(J12:M12)</f>
        <v/>
      </c>
      <c r="O12" s="343" t="n">
        <v>0.5</v>
      </c>
      <c r="P12" s="343" t="n">
        <v>0.5</v>
      </c>
      <c r="Q12" s="343" t="n">
        <v>0.5</v>
      </c>
      <c r="R12" s="343" t="n">
        <v>0.5</v>
      </c>
      <c r="S12" s="344">
        <f>SUM(O12:R12)</f>
        <v/>
      </c>
      <c r="T12" s="343" t="n">
        <v>0.5</v>
      </c>
      <c r="U12" s="343" t="n">
        <v>0.5</v>
      </c>
      <c r="V12" s="343" t="n">
        <v>0.5</v>
      </c>
      <c r="W12" s="343" t="n">
        <v>0.5</v>
      </c>
      <c r="X12" s="344">
        <f>SUM(T12:W12)</f>
        <v/>
      </c>
      <c r="Y12" s="343" t="n">
        <v>0.5</v>
      </c>
      <c r="Z12" s="343" t="n">
        <v>0.5</v>
      </c>
      <c r="AA12" s="343" t="n">
        <v>0.5</v>
      </c>
      <c r="AB12" s="343" t="n">
        <v>0.5</v>
      </c>
      <c r="AC12" s="344">
        <f>SUM(Y12:AB12)</f>
        <v/>
      </c>
      <c r="AD12" s="343" t="n">
        <v>0.5</v>
      </c>
      <c r="AE12" s="343" t="n">
        <v>0.5</v>
      </c>
      <c r="AF12" s="343" t="n">
        <v>0.5</v>
      </c>
      <c r="AG12" s="343" t="n">
        <v>0.5</v>
      </c>
      <c r="AH12" s="344">
        <f>SUM(AD12:AG12)</f>
        <v/>
      </c>
      <c r="AI12" s="343" t="n">
        <v>0.5</v>
      </c>
      <c r="AJ12" s="343" t="n">
        <v>0.5</v>
      </c>
      <c r="AK12" s="343" t="n">
        <v>0.5</v>
      </c>
      <c r="AL12" s="343" t="n">
        <v>0.5</v>
      </c>
      <c r="AM12" s="344">
        <f>SUM(AI12:AL12)</f>
        <v/>
      </c>
      <c r="AN12" s="343" t="n">
        <v>0.5</v>
      </c>
      <c r="AO12" s="343" t="n">
        <v>0.5</v>
      </c>
      <c r="AP12" s="343" t="n">
        <v>0.5</v>
      </c>
      <c r="AQ12" s="343" t="n">
        <v>0.5</v>
      </c>
      <c r="AR12" s="344">
        <f>SUM(AN12:AQ12)</f>
        <v/>
      </c>
    </row>
    <row r="13" ht="13.5" customHeight="1" s="290">
      <c r="A13" s="339" t="n"/>
      <c r="B13" s="340" t="inlineStr">
        <is>
          <t xml:space="preserve">  Gross Hires / Qtr — Rainmaker  — Upside</t>
        </is>
      </c>
      <c r="E13" s="343" t="n">
        <v>0.55</v>
      </c>
      <c r="F13" s="343" t="n">
        <v>0.55</v>
      </c>
      <c r="G13" s="343" t="n">
        <v>0.55</v>
      </c>
      <c r="H13" s="343" t="n">
        <v>0.55</v>
      </c>
      <c r="I13" s="344">
        <f>SUM(E13:H13)</f>
        <v/>
      </c>
      <c r="J13" s="343" t="n">
        <v>0.55</v>
      </c>
      <c r="K13" s="343" t="n">
        <v>0.55</v>
      </c>
      <c r="L13" s="343" t="n">
        <v>0.55</v>
      </c>
      <c r="M13" s="343" t="n">
        <v>0.55</v>
      </c>
      <c r="N13" s="344">
        <f>SUM(J13:M13)</f>
        <v/>
      </c>
      <c r="O13" s="343" t="n">
        <v>0.55</v>
      </c>
      <c r="P13" s="343" t="n">
        <v>0.55</v>
      </c>
      <c r="Q13" s="343" t="n">
        <v>0.55</v>
      </c>
      <c r="R13" s="343" t="n">
        <v>0.55</v>
      </c>
      <c r="S13" s="344">
        <f>SUM(O13:R13)</f>
        <v/>
      </c>
      <c r="T13" s="343" t="n">
        <v>0.55</v>
      </c>
      <c r="U13" s="343" t="n">
        <v>0.55</v>
      </c>
      <c r="V13" s="343" t="n">
        <v>0.55</v>
      </c>
      <c r="W13" s="343" t="n">
        <v>0.55</v>
      </c>
      <c r="X13" s="344">
        <f>SUM(T13:W13)</f>
        <v/>
      </c>
      <c r="Y13" s="343" t="n">
        <v>0.55</v>
      </c>
      <c r="Z13" s="343" t="n">
        <v>0.55</v>
      </c>
      <c r="AA13" s="343" t="n">
        <v>0.55</v>
      </c>
      <c r="AB13" s="343" t="n">
        <v>0.55</v>
      </c>
      <c r="AC13" s="344">
        <f>SUM(Y13:AB13)</f>
        <v/>
      </c>
      <c r="AD13" s="343" t="n">
        <v>0.55</v>
      </c>
      <c r="AE13" s="343" t="n">
        <v>0.55</v>
      </c>
      <c r="AF13" s="343" t="n">
        <v>0.55</v>
      </c>
      <c r="AG13" s="343" t="n">
        <v>0.55</v>
      </c>
      <c r="AH13" s="344">
        <f>SUM(AD13:AG13)</f>
        <v/>
      </c>
      <c r="AI13" s="343" t="n">
        <v>0.55</v>
      </c>
      <c r="AJ13" s="343" t="n">
        <v>0.55</v>
      </c>
      <c r="AK13" s="343" t="n">
        <v>0.55</v>
      </c>
      <c r="AL13" s="343" t="n">
        <v>0.55</v>
      </c>
      <c r="AM13" s="344">
        <f>SUM(AI13:AL13)</f>
        <v/>
      </c>
      <c r="AN13" s="343" t="n">
        <v>0.55</v>
      </c>
      <c r="AO13" s="343" t="n">
        <v>0.55</v>
      </c>
      <c r="AP13" s="343" t="n">
        <v>0.55</v>
      </c>
      <c r="AQ13" s="343" t="n">
        <v>0.55</v>
      </c>
      <c r="AR13" s="344">
        <f>SUM(AN13:AQ13)</f>
        <v/>
      </c>
    </row>
    <row r="14" ht="13.5" customHeight="1" s="290">
      <c r="A14" s="339" t="n"/>
      <c r="B14" s="340" t="inlineStr">
        <is>
          <t xml:space="preserve">  Gross Hires / Qtr — Rainmaker  — Downside</t>
        </is>
      </c>
      <c r="E14" s="343" t="n">
        <v>0.42</v>
      </c>
      <c r="F14" s="343" t="n">
        <v>0.42</v>
      </c>
      <c r="G14" s="343" t="n">
        <v>0.42</v>
      </c>
      <c r="H14" s="343" t="n">
        <v>0.42</v>
      </c>
      <c r="I14" s="344">
        <f>SUM(E14:H14)</f>
        <v/>
      </c>
      <c r="J14" s="343" t="n">
        <v>0.42</v>
      </c>
      <c r="K14" s="343" t="n">
        <v>0.42</v>
      </c>
      <c r="L14" s="343" t="n">
        <v>0.42</v>
      </c>
      <c r="M14" s="343" t="n">
        <v>0.42</v>
      </c>
      <c r="N14" s="344">
        <f>SUM(J14:M14)</f>
        <v/>
      </c>
      <c r="O14" s="343" t="n">
        <v>0.42</v>
      </c>
      <c r="P14" s="343" t="n">
        <v>0.42</v>
      </c>
      <c r="Q14" s="343" t="n">
        <v>0.42</v>
      </c>
      <c r="R14" s="343" t="n">
        <v>0.42</v>
      </c>
      <c r="S14" s="344">
        <f>SUM(O14:R14)</f>
        <v/>
      </c>
      <c r="T14" s="343" t="n">
        <v>0.42</v>
      </c>
      <c r="U14" s="343" t="n">
        <v>0.42</v>
      </c>
      <c r="V14" s="343" t="n">
        <v>0.42</v>
      </c>
      <c r="W14" s="343" t="n">
        <v>0.42</v>
      </c>
      <c r="X14" s="344">
        <f>SUM(T14:W14)</f>
        <v/>
      </c>
      <c r="Y14" s="343" t="n">
        <v>0.42</v>
      </c>
      <c r="Z14" s="343" t="n">
        <v>0.42</v>
      </c>
      <c r="AA14" s="343" t="n">
        <v>0.42</v>
      </c>
      <c r="AB14" s="343" t="n">
        <v>0.42</v>
      </c>
      <c r="AC14" s="344">
        <f>SUM(Y14:AB14)</f>
        <v/>
      </c>
      <c r="AD14" s="343" t="n">
        <v>0.42</v>
      </c>
      <c r="AE14" s="343" t="n">
        <v>0.42</v>
      </c>
      <c r="AF14" s="343" t="n">
        <v>0.42</v>
      </c>
      <c r="AG14" s="343" t="n">
        <v>0.42</v>
      </c>
      <c r="AH14" s="344">
        <f>SUM(AD14:AG14)</f>
        <v/>
      </c>
      <c r="AI14" s="343" t="n">
        <v>0.42</v>
      </c>
      <c r="AJ14" s="343" t="n">
        <v>0.42</v>
      </c>
      <c r="AK14" s="343" t="n">
        <v>0.42</v>
      </c>
      <c r="AL14" s="343" t="n">
        <v>0.42</v>
      </c>
      <c r="AM14" s="344">
        <f>SUM(AI14:AL14)</f>
        <v/>
      </c>
      <c r="AN14" s="343" t="n">
        <v>0.42</v>
      </c>
      <c r="AO14" s="343" t="n">
        <v>0.42</v>
      </c>
      <c r="AP14" s="343" t="n">
        <v>0.42</v>
      </c>
      <c r="AQ14" s="343" t="n">
        <v>0.42</v>
      </c>
      <c r="AR14" s="344">
        <f>SUM(AN14:AQ14)</f>
        <v/>
      </c>
    </row>
    <row r="15" ht="13.5" customHeight="1" s="290">
      <c r="A15" s="345" t="n"/>
      <c r="B15" s="346" t="inlineStr">
        <is>
          <t xml:space="preserve">  Gross Hires / Qtr — Rainmaker  — ★ ACTIVE</t>
        </is>
      </c>
      <c r="E15" s="361">
        <f>IF('01 Cover &amp; Control'!$C$19="Base",E12,IF('01 Cover &amp; Control'!$C$19="Upside",E13,E14))</f>
        <v/>
      </c>
      <c r="F15" s="361">
        <f>IF('01 Cover &amp; Control'!$C$19="Base",F12,IF('01 Cover &amp; Control'!$C$19="Upside",F13,F14))</f>
        <v/>
      </c>
      <c r="G15" s="361">
        <f>IF('01 Cover &amp; Control'!$C$19="Base",G12,IF('01 Cover &amp; Control'!$C$19="Upside",G13,G14))</f>
        <v/>
      </c>
      <c r="H15" s="361">
        <f>IF('01 Cover &amp; Control'!$C$19="Base",H12,IF('01 Cover &amp; Control'!$C$19="Upside",H13,H14))</f>
        <v/>
      </c>
      <c r="I15" s="347">
        <f>SUM(E15:H15)</f>
        <v/>
      </c>
      <c r="J15" s="361">
        <f>IF('01 Cover &amp; Control'!$C$19="Base",J12,IF('01 Cover &amp; Control'!$C$19="Upside",J13,J14))</f>
        <v/>
      </c>
      <c r="K15" s="361">
        <f>IF('01 Cover &amp; Control'!$C$19="Base",K12,IF('01 Cover &amp; Control'!$C$19="Upside",K13,K14))</f>
        <v/>
      </c>
      <c r="L15" s="361">
        <f>IF('01 Cover &amp; Control'!$C$19="Base",L12,IF('01 Cover &amp; Control'!$C$19="Upside",L13,L14))</f>
        <v/>
      </c>
      <c r="M15" s="361">
        <f>IF('01 Cover &amp; Control'!$C$19="Base",M12,IF('01 Cover &amp; Control'!$C$19="Upside",M13,M14))</f>
        <v/>
      </c>
      <c r="N15" s="347">
        <f>SUM(J15:M15)</f>
        <v/>
      </c>
      <c r="O15" s="361">
        <f>IF('01 Cover &amp; Control'!$C$19="Base",O12,IF('01 Cover &amp; Control'!$C$19="Upside",O13,O14))</f>
        <v/>
      </c>
      <c r="P15" s="361">
        <f>IF('01 Cover &amp; Control'!$C$19="Base",P12,IF('01 Cover &amp; Control'!$C$19="Upside",P13,P14))</f>
        <v/>
      </c>
      <c r="Q15" s="361">
        <f>IF('01 Cover &amp; Control'!$C$19="Base",Q12,IF('01 Cover &amp; Control'!$C$19="Upside",Q13,Q14))</f>
        <v/>
      </c>
      <c r="R15" s="361">
        <f>IF('01 Cover &amp; Control'!$C$19="Base",R12,IF('01 Cover &amp; Control'!$C$19="Upside",R13,R14))</f>
        <v/>
      </c>
      <c r="S15" s="347">
        <f>SUM(O15:R15)</f>
        <v/>
      </c>
      <c r="T15" s="361">
        <f>IF('01 Cover &amp; Control'!$C$19="Base",T12,IF('01 Cover &amp; Control'!$C$19="Upside",T13,T14))</f>
        <v/>
      </c>
      <c r="U15" s="361">
        <f>IF('01 Cover &amp; Control'!$C$19="Base",U12,IF('01 Cover &amp; Control'!$C$19="Upside",U13,U14))</f>
        <v/>
      </c>
      <c r="V15" s="361">
        <f>IF('01 Cover &amp; Control'!$C$19="Base",V12,IF('01 Cover &amp; Control'!$C$19="Upside",V13,V14))</f>
        <v/>
      </c>
      <c r="W15" s="361">
        <f>IF('01 Cover &amp; Control'!$C$19="Base",W12,IF('01 Cover &amp; Control'!$C$19="Upside",W13,W14))</f>
        <v/>
      </c>
      <c r="X15" s="347">
        <f>SUM(T15:W15)</f>
        <v/>
      </c>
      <c r="Y15" s="361">
        <f>IF('01 Cover &amp; Control'!$C$19="Base",Y12,IF('01 Cover &amp; Control'!$C$19="Upside",Y13,Y14))</f>
        <v/>
      </c>
      <c r="Z15" s="361">
        <f>IF('01 Cover &amp; Control'!$C$19="Base",Z12,IF('01 Cover &amp; Control'!$C$19="Upside",Z13,Z14))</f>
        <v/>
      </c>
      <c r="AA15" s="361">
        <f>IF('01 Cover &amp; Control'!$C$19="Base",AA12,IF('01 Cover &amp; Control'!$C$19="Upside",AA13,AA14))</f>
        <v/>
      </c>
      <c r="AB15" s="361">
        <f>IF('01 Cover &amp; Control'!$C$19="Base",AB12,IF('01 Cover &amp; Control'!$C$19="Upside",AB13,AB14))</f>
        <v/>
      </c>
      <c r="AC15" s="347">
        <f>SUM(Y15:AB15)</f>
        <v/>
      </c>
      <c r="AD15" s="361">
        <f>IF('01 Cover &amp; Control'!$C$19="Base",AD12,IF('01 Cover &amp; Control'!$C$19="Upside",AD13,AD14))</f>
        <v/>
      </c>
      <c r="AE15" s="361">
        <f>IF('01 Cover &amp; Control'!$C$19="Base",AE12,IF('01 Cover &amp; Control'!$C$19="Upside",AE13,AE14))</f>
        <v/>
      </c>
      <c r="AF15" s="361">
        <f>IF('01 Cover &amp; Control'!$C$19="Base",AF12,IF('01 Cover &amp; Control'!$C$19="Upside",AF13,AF14))</f>
        <v/>
      </c>
      <c r="AG15" s="361">
        <f>IF('01 Cover &amp; Control'!$C$19="Base",AG12,IF('01 Cover &amp; Control'!$C$19="Upside",AG13,AG14))</f>
        <v/>
      </c>
      <c r="AH15" s="347">
        <f>SUM(AD15:AG15)</f>
        <v/>
      </c>
      <c r="AI15" s="361">
        <f>IF('01 Cover &amp; Control'!$C$19="Base",AI12,IF('01 Cover &amp; Control'!$C$19="Upside",AI13,AI14))</f>
        <v/>
      </c>
      <c r="AJ15" s="361">
        <f>IF('01 Cover &amp; Control'!$C$19="Base",AJ12,IF('01 Cover &amp; Control'!$C$19="Upside",AJ13,AJ14))</f>
        <v/>
      </c>
      <c r="AK15" s="361">
        <f>IF('01 Cover &amp; Control'!$C$19="Base",AK12,IF('01 Cover &amp; Control'!$C$19="Upside",AK13,AK14))</f>
        <v/>
      </c>
      <c r="AL15" s="361">
        <f>IF('01 Cover &amp; Control'!$C$19="Base",AL12,IF('01 Cover &amp; Control'!$C$19="Upside",AL13,AL14))</f>
        <v/>
      </c>
      <c r="AM15" s="347">
        <f>SUM(AI15:AL15)</f>
        <v/>
      </c>
      <c r="AN15" s="361">
        <f>IF('01 Cover &amp; Control'!$C$19="Base",AN12,IF('01 Cover &amp; Control'!$C$19="Upside",AN13,AN14))</f>
        <v/>
      </c>
      <c r="AO15" s="361">
        <f>IF('01 Cover &amp; Control'!$C$19="Base",AO12,IF('01 Cover &amp; Control'!$C$19="Upside",AO13,AO14))</f>
        <v/>
      </c>
      <c r="AP15" s="361">
        <f>IF('01 Cover &amp; Control'!$C$19="Base",AP12,IF('01 Cover &amp; Control'!$C$19="Upside",AP13,AP14))</f>
        <v/>
      </c>
      <c r="AQ15" s="361">
        <f>IF('01 Cover &amp; Control'!$C$19="Base",AQ12,IF('01 Cover &amp; Control'!$C$19="Upside",AQ13,AQ14))</f>
        <v/>
      </c>
      <c r="AR15" s="347">
        <f>SUM(AN15:AQ15)</f>
        <v/>
      </c>
    </row>
    <row r="16" ht="13.5" customHeight="1" s="290">
      <c r="A16" s="339" t="n"/>
      <c r="B16" s="340" t="inlineStr">
        <is>
          <t xml:space="preserve">  Attrition Rate — Rainmaker  — Base</t>
        </is>
      </c>
      <c r="C16" s="341" t="inlineStr">
        <is>
          <t>%/qtr</t>
        </is>
      </c>
      <c r="D16" s="342" t="inlineStr">
        <is>
          <t>Quarterly attrition rate applied to Beginning HC. Upside = lower attrition (strong market). Downside = higher (competitors poach).</t>
        </is>
      </c>
      <c r="E16" s="343" t="n">
        <v>0.02</v>
      </c>
      <c r="F16" s="343" t="n">
        <v>0.02</v>
      </c>
      <c r="G16" s="343" t="n">
        <v>0.02</v>
      </c>
      <c r="H16" s="343" t="n">
        <v>0.02</v>
      </c>
      <c r="I16" s="344">
        <f>SUM(E16:H16)</f>
        <v/>
      </c>
      <c r="J16" s="343" t="n">
        <v>0.02</v>
      </c>
      <c r="K16" s="343" t="n">
        <v>0.02</v>
      </c>
      <c r="L16" s="343" t="n">
        <v>0.02</v>
      </c>
      <c r="M16" s="343" t="n">
        <v>0.02</v>
      </c>
      <c r="N16" s="344">
        <f>SUM(J16:M16)</f>
        <v/>
      </c>
      <c r="O16" s="343" t="n">
        <v>0.02</v>
      </c>
      <c r="P16" s="343" t="n">
        <v>0.02</v>
      </c>
      <c r="Q16" s="343" t="n">
        <v>0.02</v>
      </c>
      <c r="R16" s="343" t="n">
        <v>0.02</v>
      </c>
      <c r="S16" s="344">
        <f>SUM(O16:R16)</f>
        <v/>
      </c>
      <c r="T16" s="343" t="n">
        <v>0.02</v>
      </c>
      <c r="U16" s="343" t="n">
        <v>0.02</v>
      </c>
      <c r="V16" s="343" t="n">
        <v>0.02</v>
      </c>
      <c r="W16" s="343" t="n">
        <v>0.02</v>
      </c>
      <c r="X16" s="344">
        <f>SUM(T16:W16)</f>
        <v/>
      </c>
      <c r="Y16" s="343" t="n">
        <v>0.02</v>
      </c>
      <c r="Z16" s="343" t="n">
        <v>0.02</v>
      </c>
      <c r="AA16" s="343" t="n">
        <v>0.02</v>
      </c>
      <c r="AB16" s="343" t="n">
        <v>0.02</v>
      </c>
      <c r="AC16" s="344">
        <f>SUM(Y16:AB16)</f>
        <v/>
      </c>
      <c r="AD16" s="343" t="n">
        <v>0.02</v>
      </c>
      <c r="AE16" s="343" t="n">
        <v>0.02</v>
      </c>
      <c r="AF16" s="343" t="n">
        <v>0.02</v>
      </c>
      <c r="AG16" s="343" t="n">
        <v>0.02</v>
      </c>
      <c r="AH16" s="344">
        <f>SUM(AD16:AG16)</f>
        <v/>
      </c>
      <c r="AI16" s="343" t="n">
        <v>0.02</v>
      </c>
      <c r="AJ16" s="343" t="n">
        <v>0.02</v>
      </c>
      <c r="AK16" s="343" t="n">
        <v>0.02</v>
      </c>
      <c r="AL16" s="343" t="n">
        <v>0.02</v>
      </c>
      <c r="AM16" s="344">
        <f>SUM(AI16:AL16)</f>
        <v/>
      </c>
      <c r="AN16" s="343" t="n">
        <v>0.02</v>
      </c>
      <c r="AO16" s="343" t="n">
        <v>0.02</v>
      </c>
      <c r="AP16" s="343" t="n">
        <v>0.02</v>
      </c>
      <c r="AQ16" s="343" t="n">
        <v>0.02</v>
      </c>
      <c r="AR16" s="344">
        <f>SUM(AN16:AQ16)</f>
        <v/>
      </c>
    </row>
    <row r="17" ht="13.5" customHeight="1" s="290">
      <c r="A17" s="339" t="n"/>
      <c r="B17" s="340" t="inlineStr">
        <is>
          <t xml:space="preserve">  Attrition Rate — Rainmaker  — Upside</t>
        </is>
      </c>
      <c r="E17" s="343" t="n">
        <v>0.018</v>
      </c>
      <c r="F17" s="343" t="n">
        <v>0.018</v>
      </c>
      <c r="G17" s="343" t="n">
        <v>0.018</v>
      </c>
      <c r="H17" s="343" t="n">
        <v>0.018</v>
      </c>
      <c r="I17" s="344">
        <f>SUM(E17:H17)</f>
        <v/>
      </c>
      <c r="J17" s="343" t="n">
        <v>0.018</v>
      </c>
      <c r="K17" s="343" t="n">
        <v>0.018</v>
      </c>
      <c r="L17" s="343" t="n">
        <v>0.018</v>
      </c>
      <c r="M17" s="343" t="n">
        <v>0.018</v>
      </c>
      <c r="N17" s="344">
        <f>SUM(J17:M17)</f>
        <v/>
      </c>
      <c r="O17" s="343" t="n">
        <v>0.018</v>
      </c>
      <c r="P17" s="343" t="n">
        <v>0.018</v>
      </c>
      <c r="Q17" s="343" t="n">
        <v>0.018</v>
      </c>
      <c r="R17" s="343" t="n">
        <v>0.018</v>
      </c>
      <c r="S17" s="344">
        <f>SUM(O17:R17)</f>
        <v/>
      </c>
      <c r="T17" s="343" t="n">
        <v>0.018</v>
      </c>
      <c r="U17" s="343" t="n">
        <v>0.018</v>
      </c>
      <c r="V17" s="343" t="n">
        <v>0.018</v>
      </c>
      <c r="W17" s="343" t="n">
        <v>0.018</v>
      </c>
      <c r="X17" s="344">
        <f>SUM(T17:W17)</f>
        <v/>
      </c>
      <c r="Y17" s="343" t="n">
        <v>0.018</v>
      </c>
      <c r="Z17" s="343" t="n">
        <v>0.018</v>
      </c>
      <c r="AA17" s="343" t="n">
        <v>0.018</v>
      </c>
      <c r="AB17" s="343" t="n">
        <v>0.018</v>
      </c>
      <c r="AC17" s="344">
        <f>SUM(Y17:AB17)</f>
        <v/>
      </c>
      <c r="AD17" s="343" t="n">
        <v>0.018</v>
      </c>
      <c r="AE17" s="343" t="n">
        <v>0.018</v>
      </c>
      <c r="AF17" s="343" t="n">
        <v>0.018</v>
      </c>
      <c r="AG17" s="343" t="n">
        <v>0.018</v>
      </c>
      <c r="AH17" s="344">
        <f>SUM(AD17:AG17)</f>
        <v/>
      </c>
      <c r="AI17" s="343" t="n">
        <v>0.018</v>
      </c>
      <c r="AJ17" s="343" t="n">
        <v>0.018</v>
      </c>
      <c r="AK17" s="343" t="n">
        <v>0.018</v>
      </c>
      <c r="AL17" s="343" t="n">
        <v>0.018</v>
      </c>
      <c r="AM17" s="344">
        <f>SUM(AI17:AL17)</f>
        <v/>
      </c>
      <c r="AN17" s="343" t="n">
        <v>0.018</v>
      </c>
      <c r="AO17" s="343" t="n">
        <v>0.018</v>
      </c>
      <c r="AP17" s="343" t="n">
        <v>0.018</v>
      </c>
      <c r="AQ17" s="343" t="n">
        <v>0.018</v>
      </c>
      <c r="AR17" s="344">
        <f>SUM(AN17:AQ17)</f>
        <v/>
      </c>
    </row>
    <row r="18" ht="13.5" customHeight="1" s="290">
      <c r="A18" s="339" t="n"/>
      <c r="B18" s="340" t="inlineStr">
        <is>
          <t xml:space="preserve">  Attrition Rate — Rainmaker  — Downside</t>
        </is>
      </c>
      <c r="E18" s="343" t="n">
        <v>0.03</v>
      </c>
      <c r="F18" s="343" t="n">
        <v>0.03</v>
      </c>
      <c r="G18" s="343" t="n">
        <v>0.03</v>
      </c>
      <c r="H18" s="343" t="n">
        <v>0.03</v>
      </c>
      <c r="I18" s="344">
        <f>SUM(E18:H18)</f>
        <v/>
      </c>
      <c r="J18" s="343" t="n">
        <v>0.03</v>
      </c>
      <c r="K18" s="343" t="n">
        <v>0.03</v>
      </c>
      <c r="L18" s="343" t="n">
        <v>0.03</v>
      </c>
      <c r="M18" s="343" t="n">
        <v>0.03</v>
      </c>
      <c r="N18" s="344">
        <f>SUM(J18:M18)</f>
        <v/>
      </c>
      <c r="O18" s="343" t="n">
        <v>0.03</v>
      </c>
      <c r="P18" s="343" t="n">
        <v>0.03</v>
      </c>
      <c r="Q18" s="343" t="n">
        <v>0.03</v>
      </c>
      <c r="R18" s="343" t="n">
        <v>0.03</v>
      </c>
      <c r="S18" s="344">
        <f>SUM(O18:R18)</f>
        <v/>
      </c>
      <c r="T18" s="343" t="n">
        <v>0.03</v>
      </c>
      <c r="U18" s="343" t="n">
        <v>0.03</v>
      </c>
      <c r="V18" s="343" t="n">
        <v>0.03</v>
      </c>
      <c r="W18" s="343" t="n">
        <v>0.03</v>
      </c>
      <c r="X18" s="344">
        <f>SUM(T18:W18)</f>
        <v/>
      </c>
      <c r="Y18" s="343" t="n">
        <v>0.03</v>
      </c>
      <c r="Z18" s="343" t="n">
        <v>0.03</v>
      </c>
      <c r="AA18" s="343" t="n">
        <v>0.03</v>
      </c>
      <c r="AB18" s="343" t="n">
        <v>0.03</v>
      </c>
      <c r="AC18" s="344">
        <f>SUM(Y18:AB18)</f>
        <v/>
      </c>
      <c r="AD18" s="343" t="n">
        <v>0.03</v>
      </c>
      <c r="AE18" s="343" t="n">
        <v>0.03</v>
      </c>
      <c r="AF18" s="343" t="n">
        <v>0.03</v>
      </c>
      <c r="AG18" s="343" t="n">
        <v>0.03</v>
      </c>
      <c r="AH18" s="344">
        <f>SUM(AD18:AG18)</f>
        <v/>
      </c>
      <c r="AI18" s="343" t="n">
        <v>0.03</v>
      </c>
      <c r="AJ18" s="343" t="n">
        <v>0.03</v>
      </c>
      <c r="AK18" s="343" t="n">
        <v>0.03</v>
      </c>
      <c r="AL18" s="343" t="n">
        <v>0.03</v>
      </c>
      <c r="AM18" s="344">
        <f>SUM(AI18:AL18)</f>
        <v/>
      </c>
      <c r="AN18" s="343" t="n">
        <v>0.03</v>
      </c>
      <c r="AO18" s="343" t="n">
        <v>0.03</v>
      </c>
      <c r="AP18" s="343" t="n">
        <v>0.03</v>
      </c>
      <c r="AQ18" s="343" t="n">
        <v>0.03</v>
      </c>
      <c r="AR18" s="344">
        <f>SUM(AN18:AQ18)</f>
        <v/>
      </c>
    </row>
    <row r="19" ht="13.5" customHeight="1" s="290">
      <c r="A19" s="345" t="n"/>
      <c r="B19" s="346" t="inlineStr">
        <is>
          <t xml:space="preserve">  Attrition Rate — Rainmaker  — ★ ACTIVE</t>
        </is>
      </c>
      <c r="E19" s="361">
        <f>IF('01 Cover &amp; Control'!$C$19="Base",E16,IF('01 Cover &amp; Control'!$C$19="Upside",E17,E18))</f>
        <v/>
      </c>
      <c r="F19" s="361">
        <f>IF('01 Cover &amp; Control'!$C$19="Base",F16,IF('01 Cover &amp; Control'!$C$19="Upside",F17,F18))</f>
        <v/>
      </c>
      <c r="G19" s="361">
        <f>IF('01 Cover &amp; Control'!$C$19="Base",G16,IF('01 Cover &amp; Control'!$C$19="Upside",G17,G18))</f>
        <v/>
      </c>
      <c r="H19" s="361">
        <f>IF('01 Cover &amp; Control'!$C$19="Base",H16,IF('01 Cover &amp; Control'!$C$19="Upside",H17,H18))</f>
        <v/>
      </c>
      <c r="I19" s="347">
        <f>AVERAGE(E19:H19)</f>
        <v/>
      </c>
      <c r="J19" s="361">
        <f>IF('01 Cover &amp; Control'!$C$19="Base",J16,IF('01 Cover &amp; Control'!$C$19="Upside",J17,J18))</f>
        <v/>
      </c>
      <c r="K19" s="361">
        <f>IF('01 Cover &amp; Control'!$C$19="Base",K16,IF('01 Cover &amp; Control'!$C$19="Upside",K17,K18))</f>
        <v/>
      </c>
      <c r="L19" s="361">
        <f>IF('01 Cover &amp; Control'!$C$19="Base",L16,IF('01 Cover &amp; Control'!$C$19="Upside",L17,L18))</f>
        <v/>
      </c>
      <c r="M19" s="361">
        <f>IF('01 Cover &amp; Control'!$C$19="Base",M16,IF('01 Cover &amp; Control'!$C$19="Upside",M17,M18))</f>
        <v/>
      </c>
      <c r="N19" s="347">
        <f>AVERAGE(J19:M19)</f>
        <v/>
      </c>
      <c r="O19" s="361">
        <f>IF('01 Cover &amp; Control'!$C$19="Base",O16,IF('01 Cover &amp; Control'!$C$19="Upside",O17,O18))</f>
        <v/>
      </c>
      <c r="P19" s="361">
        <f>IF('01 Cover &amp; Control'!$C$19="Base",P16,IF('01 Cover &amp; Control'!$C$19="Upside",P17,P18))</f>
        <v/>
      </c>
      <c r="Q19" s="361">
        <f>IF('01 Cover &amp; Control'!$C$19="Base",Q16,IF('01 Cover &amp; Control'!$C$19="Upside",Q17,Q18))</f>
        <v/>
      </c>
      <c r="R19" s="361">
        <f>IF('01 Cover &amp; Control'!$C$19="Base",R16,IF('01 Cover &amp; Control'!$C$19="Upside",R17,R18))</f>
        <v/>
      </c>
      <c r="S19" s="347">
        <f>AVERAGE(O19:R19)</f>
        <v/>
      </c>
      <c r="T19" s="361">
        <f>IF('01 Cover &amp; Control'!$C$19="Base",T16,IF('01 Cover &amp; Control'!$C$19="Upside",T17,T18))</f>
        <v/>
      </c>
      <c r="U19" s="361">
        <f>IF('01 Cover &amp; Control'!$C$19="Base",U16,IF('01 Cover &amp; Control'!$C$19="Upside",U17,U18))</f>
        <v/>
      </c>
      <c r="V19" s="361">
        <f>IF('01 Cover &amp; Control'!$C$19="Base",V16,IF('01 Cover &amp; Control'!$C$19="Upside",V17,V18))</f>
        <v/>
      </c>
      <c r="W19" s="361">
        <f>IF('01 Cover &amp; Control'!$C$19="Base",W16,IF('01 Cover &amp; Control'!$C$19="Upside",W17,W18))</f>
        <v/>
      </c>
      <c r="X19" s="347">
        <f>AVERAGE(T19:W19)</f>
        <v/>
      </c>
      <c r="Y19" s="361">
        <f>IF('01 Cover &amp; Control'!$C$19="Base",Y16,IF('01 Cover &amp; Control'!$C$19="Upside",Y17,Y18))</f>
        <v/>
      </c>
      <c r="Z19" s="361">
        <f>IF('01 Cover &amp; Control'!$C$19="Base",Z16,IF('01 Cover &amp; Control'!$C$19="Upside",Z17,Z18))</f>
        <v/>
      </c>
      <c r="AA19" s="361">
        <f>IF('01 Cover &amp; Control'!$C$19="Base",AA16,IF('01 Cover &amp; Control'!$C$19="Upside",AA17,AA18))</f>
        <v/>
      </c>
      <c r="AB19" s="361">
        <f>IF('01 Cover &amp; Control'!$C$19="Base",AB16,IF('01 Cover &amp; Control'!$C$19="Upside",AB17,AB18))</f>
        <v/>
      </c>
      <c r="AC19" s="347">
        <f>AVERAGE(Y19:AB19)</f>
        <v/>
      </c>
      <c r="AD19" s="361">
        <f>IF('01 Cover &amp; Control'!$C$19="Base",AD16,IF('01 Cover &amp; Control'!$C$19="Upside",AD17,AD18))</f>
        <v/>
      </c>
      <c r="AE19" s="361">
        <f>IF('01 Cover &amp; Control'!$C$19="Base",AE16,IF('01 Cover &amp; Control'!$C$19="Upside",AE17,AE18))</f>
        <v/>
      </c>
      <c r="AF19" s="361">
        <f>IF('01 Cover &amp; Control'!$C$19="Base",AF16,IF('01 Cover &amp; Control'!$C$19="Upside",AF17,AF18))</f>
        <v/>
      </c>
      <c r="AG19" s="361">
        <f>IF('01 Cover &amp; Control'!$C$19="Base",AG16,IF('01 Cover &amp; Control'!$C$19="Upside",AG17,AG18))</f>
        <v/>
      </c>
      <c r="AH19" s="347">
        <f>AVERAGE(AD19:AG19)</f>
        <v/>
      </c>
      <c r="AI19" s="361">
        <f>IF('01 Cover &amp; Control'!$C$19="Base",AI16,IF('01 Cover &amp; Control'!$C$19="Upside",AI17,AI18))</f>
        <v/>
      </c>
      <c r="AJ19" s="361">
        <f>IF('01 Cover &amp; Control'!$C$19="Base",AJ16,IF('01 Cover &amp; Control'!$C$19="Upside",AJ17,AJ18))</f>
        <v/>
      </c>
      <c r="AK19" s="361">
        <f>IF('01 Cover &amp; Control'!$C$19="Base",AK16,IF('01 Cover &amp; Control'!$C$19="Upside",AK17,AK18))</f>
        <v/>
      </c>
      <c r="AL19" s="361">
        <f>IF('01 Cover &amp; Control'!$C$19="Base",AL16,IF('01 Cover &amp; Control'!$C$19="Upside",AL17,AL18))</f>
        <v/>
      </c>
      <c r="AM19" s="347">
        <f>AVERAGE(AI19:AL19)</f>
        <v/>
      </c>
      <c r="AN19" s="361">
        <f>IF('01 Cover &amp; Control'!$C$19="Base",AN16,IF('01 Cover &amp; Control'!$C$19="Upside",AN17,AN18))</f>
        <v/>
      </c>
      <c r="AO19" s="361">
        <f>IF('01 Cover &amp; Control'!$C$19="Base",AO16,IF('01 Cover &amp; Control'!$C$19="Upside",AO17,AO18))</f>
        <v/>
      </c>
      <c r="AP19" s="361">
        <f>IF('01 Cover &amp; Control'!$C$19="Base",AP16,IF('01 Cover &amp; Control'!$C$19="Upside",AP17,AP18))</f>
        <v/>
      </c>
      <c r="AQ19" s="361">
        <f>IF('01 Cover &amp; Control'!$C$19="Base",AQ16,IF('01 Cover &amp; Control'!$C$19="Upside",AQ17,AQ18))</f>
        <v/>
      </c>
      <c r="AR19" s="347">
        <f>AVERAGE(AN19:AQ19)</f>
        <v/>
      </c>
    </row>
    <row r="20" ht="3.75" customHeight="1" s="290"/>
    <row r="21" ht="13.5" customHeight="1" s="290">
      <c r="A21" s="339" t="n"/>
      <c r="B21" s="357" t="inlineStr">
        <is>
          <t xml:space="preserve">  Beginning HC — Core</t>
        </is>
      </c>
      <c r="C21" s="341" t="inlineStr">
        <is>
          <t>#</t>
        </is>
      </c>
      <c r="D21" s="342" t="inlineStr">
        <is>
          <t>Input: actuals for hist period; forecast = prior yr ending HC. Used directly in EPE formula.</t>
        </is>
      </c>
      <c r="E21" s="343" t="n">
        <v>14</v>
      </c>
      <c r="F21" s="343" t="n"/>
      <c r="G21" s="343" t="n"/>
      <c r="H21" s="343" t="n"/>
      <c r="I21" s="344">
        <f>SUM(E21:H21)</f>
        <v/>
      </c>
      <c r="J21" s="343" t="n"/>
      <c r="K21" s="343" t="n"/>
      <c r="L21" s="343" t="n"/>
      <c r="M21" s="343" t="n"/>
      <c r="N21" s="344">
        <f>SUM(J21:M21)</f>
        <v/>
      </c>
      <c r="O21" s="343" t="n"/>
      <c r="P21" s="343" t="n"/>
      <c r="Q21" s="343" t="n"/>
      <c r="R21" s="343" t="n"/>
      <c r="S21" s="344">
        <f>SUM(O21:R21)</f>
        <v/>
      </c>
      <c r="T21" s="343" t="n"/>
      <c r="U21" s="343" t="n"/>
      <c r="V21" s="343" t="n"/>
      <c r="W21" s="343" t="n"/>
      <c r="X21" s="344">
        <f>SUM(T21:W21)</f>
        <v/>
      </c>
      <c r="Y21" s="343" t="n"/>
      <c r="Z21" s="343" t="n"/>
      <c r="AA21" s="343" t="n"/>
      <c r="AB21" s="343" t="n"/>
      <c r="AC21" s="344">
        <f>SUM(Y21:AB21)</f>
        <v/>
      </c>
      <c r="AD21" s="343" t="n"/>
      <c r="AE21" s="343" t="n"/>
      <c r="AF21" s="343" t="n"/>
      <c r="AG21" s="343" t="n"/>
      <c r="AH21" s="344">
        <f>SUM(AD21:AG21)</f>
        <v/>
      </c>
      <c r="AI21" s="343" t="n"/>
      <c r="AJ21" s="343" t="n"/>
      <c r="AK21" s="343" t="n"/>
      <c r="AL21" s="343" t="n"/>
      <c r="AM21" s="344">
        <f>SUM(AI21:AL21)</f>
        <v/>
      </c>
      <c r="AN21" s="343" t="n"/>
      <c r="AO21" s="343" t="n"/>
      <c r="AP21" s="343" t="n"/>
      <c r="AQ21" s="343" t="n"/>
      <c r="AR21" s="344">
        <f>SUM(AN21:AQ21)</f>
        <v/>
      </c>
    </row>
    <row r="22" ht="13.5" customHeight="1" s="290">
      <c r="A22" s="339" t="n"/>
      <c r="B22" s="340" t="inlineStr">
        <is>
          <t xml:space="preserve">  Gross Hires / Qtr — Core  — Base</t>
        </is>
      </c>
      <c r="C22" s="341" t="inlineStr">
        <is>
          <t>#/qtr</t>
        </is>
      </c>
      <c r="D22" s="342" t="inlineStr">
        <is>
          <t>Scenario-keyed. Upside = faster hiring. Downside = slower/failed hiring.</t>
        </is>
      </c>
      <c r="E22" s="343" t="n">
        <v>1.5</v>
      </c>
      <c r="F22" s="343" t="n">
        <v>1.5</v>
      </c>
      <c r="G22" s="343" t="n">
        <v>1.5</v>
      </c>
      <c r="H22" s="343" t="n">
        <v>1.5</v>
      </c>
      <c r="I22" s="344">
        <f>SUM(E22:H22)</f>
        <v/>
      </c>
      <c r="J22" s="343" t="n">
        <v>1.5</v>
      </c>
      <c r="K22" s="343" t="n">
        <v>1.5</v>
      </c>
      <c r="L22" s="343" t="n">
        <v>1.5</v>
      </c>
      <c r="M22" s="343" t="n">
        <v>1.5</v>
      </c>
      <c r="N22" s="344">
        <f>SUM(J22:M22)</f>
        <v/>
      </c>
      <c r="O22" s="343" t="n">
        <v>1.5</v>
      </c>
      <c r="P22" s="343" t="n">
        <v>1.5</v>
      </c>
      <c r="Q22" s="343" t="n">
        <v>1.5</v>
      </c>
      <c r="R22" s="343" t="n">
        <v>1.5</v>
      </c>
      <c r="S22" s="344">
        <f>SUM(O22:R22)</f>
        <v/>
      </c>
      <c r="T22" s="343" t="n">
        <v>1.5</v>
      </c>
      <c r="U22" s="343" t="n">
        <v>1.5</v>
      </c>
      <c r="V22" s="343" t="n">
        <v>1.5</v>
      </c>
      <c r="W22" s="343" t="n">
        <v>1.5</v>
      </c>
      <c r="X22" s="344">
        <f>SUM(T22:W22)</f>
        <v/>
      </c>
      <c r="Y22" s="343" t="n">
        <v>1.5</v>
      </c>
      <c r="Z22" s="343" t="n">
        <v>1.5</v>
      </c>
      <c r="AA22" s="343" t="n">
        <v>1.5</v>
      </c>
      <c r="AB22" s="343" t="n">
        <v>1.5</v>
      </c>
      <c r="AC22" s="344">
        <f>SUM(Y22:AB22)</f>
        <v/>
      </c>
      <c r="AD22" s="343" t="n">
        <v>1.5</v>
      </c>
      <c r="AE22" s="343" t="n">
        <v>1.5</v>
      </c>
      <c r="AF22" s="343" t="n">
        <v>1.5</v>
      </c>
      <c r="AG22" s="343" t="n">
        <v>1.5</v>
      </c>
      <c r="AH22" s="344">
        <f>SUM(AD22:AG22)</f>
        <v/>
      </c>
      <c r="AI22" s="343" t="n">
        <v>1.5</v>
      </c>
      <c r="AJ22" s="343" t="n">
        <v>1.5</v>
      </c>
      <c r="AK22" s="343" t="n">
        <v>1.5</v>
      </c>
      <c r="AL22" s="343" t="n">
        <v>1.5</v>
      </c>
      <c r="AM22" s="344">
        <f>SUM(AI22:AL22)</f>
        <v/>
      </c>
      <c r="AN22" s="343" t="n">
        <v>1.5</v>
      </c>
      <c r="AO22" s="343" t="n">
        <v>1.5</v>
      </c>
      <c r="AP22" s="343" t="n">
        <v>1.5</v>
      </c>
      <c r="AQ22" s="343" t="n">
        <v>1.5</v>
      </c>
      <c r="AR22" s="344">
        <f>SUM(AN22:AQ22)</f>
        <v/>
      </c>
    </row>
    <row r="23" ht="13.5" customHeight="1" s="290">
      <c r="A23" s="339" t="n"/>
      <c r="B23" s="340" t="inlineStr">
        <is>
          <t xml:space="preserve">  Gross Hires / Qtr — Core  — Upside</t>
        </is>
      </c>
      <c r="E23" s="343" t="n">
        <v>1.65</v>
      </c>
      <c r="F23" s="343" t="n">
        <v>1.65</v>
      </c>
      <c r="G23" s="343" t="n">
        <v>1.65</v>
      </c>
      <c r="H23" s="343" t="n">
        <v>1.65</v>
      </c>
      <c r="I23" s="344">
        <f>SUM(E23:H23)</f>
        <v/>
      </c>
      <c r="J23" s="343" t="n">
        <v>1.65</v>
      </c>
      <c r="K23" s="343" t="n">
        <v>1.65</v>
      </c>
      <c r="L23" s="343" t="n">
        <v>1.65</v>
      </c>
      <c r="M23" s="343" t="n">
        <v>1.65</v>
      </c>
      <c r="N23" s="344">
        <f>SUM(J23:M23)</f>
        <v/>
      </c>
      <c r="O23" s="343" t="n">
        <v>1.65</v>
      </c>
      <c r="P23" s="343" t="n">
        <v>1.65</v>
      </c>
      <c r="Q23" s="343" t="n">
        <v>1.65</v>
      </c>
      <c r="R23" s="343" t="n">
        <v>1.65</v>
      </c>
      <c r="S23" s="344">
        <f>SUM(O23:R23)</f>
        <v/>
      </c>
      <c r="T23" s="343" t="n">
        <v>1.65</v>
      </c>
      <c r="U23" s="343" t="n">
        <v>1.65</v>
      </c>
      <c r="V23" s="343" t="n">
        <v>1.65</v>
      </c>
      <c r="W23" s="343" t="n">
        <v>1.65</v>
      </c>
      <c r="X23" s="344">
        <f>SUM(T23:W23)</f>
        <v/>
      </c>
      <c r="Y23" s="343" t="n">
        <v>1.65</v>
      </c>
      <c r="Z23" s="343" t="n">
        <v>1.65</v>
      </c>
      <c r="AA23" s="343" t="n">
        <v>1.65</v>
      </c>
      <c r="AB23" s="343" t="n">
        <v>1.65</v>
      </c>
      <c r="AC23" s="344">
        <f>SUM(Y23:AB23)</f>
        <v/>
      </c>
      <c r="AD23" s="343" t="n">
        <v>1.65</v>
      </c>
      <c r="AE23" s="343" t="n">
        <v>1.65</v>
      </c>
      <c r="AF23" s="343" t="n">
        <v>1.65</v>
      </c>
      <c r="AG23" s="343" t="n">
        <v>1.65</v>
      </c>
      <c r="AH23" s="344">
        <f>SUM(AD23:AG23)</f>
        <v/>
      </c>
      <c r="AI23" s="343" t="n">
        <v>1.65</v>
      </c>
      <c r="AJ23" s="343" t="n">
        <v>1.65</v>
      </c>
      <c r="AK23" s="343" t="n">
        <v>1.65</v>
      </c>
      <c r="AL23" s="343" t="n">
        <v>1.65</v>
      </c>
      <c r="AM23" s="344">
        <f>SUM(AI23:AL23)</f>
        <v/>
      </c>
      <c r="AN23" s="343" t="n">
        <v>1.65</v>
      </c>
      <c r="AO23" s="343" t="n">
        <v>1.65</v>
      </c>
      <c r="AP23" s="343" t="n">
        <v>1.65</v>
      </c>
      <c r="AQ23" s="343" t="n">
        <v>1.65</v>
      </c>
      <c r="AR23" s="344">
        <f>SUM(AN23:AQ23)</f>
        <v/>
      </c>
    </row>
    <row r="24" ht="13.5" customHeight="1" s="290">
      <c r="A24" s="339" t="n"/>
      <c r="B24" s="340" t="inlineStr">
        <is>
          <t xml:space="preserve">  Gross Hires / Qtr — Core  — Downside</t>
        </is>
      </c>
      <c r="E24" s="343" t="n">
        <v>1.28</v>
      </c>
      <c r="F24" s="343" t="n">
        <v>1.28</v>
      </c>
      <c r="G24" s="343" t="n">
        <v>1.28</v>
      </c>
      <c r="H24" s="343" t="n">
        <v>1.28</v>
      </c>
      <c r="I24" s="344">
        <f>SUM(E24:H24)</f>
        <v/>
      </c>
      <c r="J24" s="343" t="n">
        <v>1.28</v>
      </c>
      <c r="K24" s="343" t="n">
        <v>1.28</v>
      </c>
      <c r="L24" s="343" t="n">
        <v>1.28</v>
      </c>
      <c r="M24" s="343" t="n">
        <v>1.28</v>
      </c>
      <c r="N24" s="344">
        <f>SUM(J24:M24)</f>
        <v/>
      </c>
      <c r="O24" s="343" t="n">
        <v>1.28</v>
      </c>
      <c r="P24" s="343" t="n">
        <v>1.28</v>
      </c>
      <c r="Q24" s="343" t="n">
        <v>1.28</v>
      </c>
      <c r="R24" s="343" t="n">
        <v>1.28</v>
      </c>
      <c r="S24" s="344">
        <f>SUM(O24:R24)</f>
        <v/>
      </c>
      <c r="T24" s="343" t="n">
        <v>1.28</v>
      </c>
      <c r="U24" s="343" t="n">
        <v>1.28</v>
      </c>
      <c r="V24" s="343" t="n">
        <v>1.28</v>
      </c>
      <c r="W24" s="343" t="n">
        <v>1.28</v>
      </c>
      <c r="X24" s="344">
        <f>SUM(T24:W24)</f>
        <v/>
      </c>
      <c r="Y24" s="343" t="n">
        <v>1.28</v>
      </c>
      <c r="Z24" s="343" t="n">
        <v>1.28</v>
      </c>
      <c r="AA24" s="343" t="n">
        <v>1.28</v>
      </c>
      <c r="AB24" s="343" t="n">
        <v>1.28</v>
      </c>
      <c r="AC24" s="344">
        <f>SUM(Y24:AB24)</f>
        <v/>
      </c>
      <c r="AD24" s="343" t="n">
        <v>1.28</v>
      </c>
      <c r="AE24" s="343" t="n">
        <v>1.28</v>
      </c>
      <c r="AF24" s="343" t="n">
        <v>1.28</v>
      </c>
      <c r="AG24" s="343" t="n">
        <v>1.28</v>
      </c>
      <c r="AH24" s="344">
        <f>SUM(AD24:AG24)</f>
        <v/>
      </c>
      <c r="AI24" s="343" t="n">
        <v>1.28</v>
      </c>
      <c r="AJ24" s="343" t="n">
        <v>1.28</v>
      </c>
      <c r="AK24" s="343" t="n">
        <v>1.28</v>
      </c>
      <c r="AL24" s="343" t="n">
        <v>1.28</v>
      </c>
      <c r="AM24" s="344">
        <f>SUM(AI24:AL24)</f>
        <v/>
      </c>
      <c r="AN24" s="343" t="n">
        <v>1.28</v>
      </c>
      <c r="AO24" s="343" t="n">
        <v>1.28</v>
      </c>
      <c r="AP24" s="343" t="n">
        <v>1.28</v>
      </c>
      <c r="AQ24" s="343" t="n">
        <v>1.28</v>
      </c>
      <c r="AR24" s="344">
        <f>SUM(AN24:AQ24)</f>
        <v/>
      </c>
    </row>
    <row r="25" ht="13.5" customHeight="1" s="290">
      <c r="A25" s="345" t="n"/>
      <c r="B25" s="346" t="inlineStr">
        <is>
          <t xml:space="preserve">  Gross Hires / Qtr — Core  — ★ ACTIVE</t>
        </is>
      </c>
      <c r="E25" s="361">
        <f>IF('01 Cover &amp; Control'!$C$19="Base",E22,IF('01 Cover &amp; Control'!$C$19="Upside",E23,E24))</f>
        <v/>
      </c>
      <c r="F25" s="361">
        <f>IF('01 Cover &amp; Control'!$C$19="Base",F22,IF('01 Cover &amp; Control'!$C$19="Upside",F23,F24))</f>
        <v/>
      </c>
      <c r="G25" s="361">
        <f>IF('01 Cover &amp; Control'!$C$19="Base",G22,IF('01 Cover &amp; Control'!$C$19="Upside",G23,G24))</f>
        <v/>
      </c>
      <c r="H25" s="361">
        <f>IF('01 Cover &amp; Control'!$C$19="Base",H22,IF('01 Cover &amp; Control'!$C$19="Upside",H23,H24))</f>
        <v/>
      </c>
      <c r="I25" s="347">
        <f>SUM(E25:H25)</f>
        <v/>
      </c>
      <c r="J25" s="361">
        <f>IF('01 Cover &amp; Control'!$C$19="Base",J22,IF('01 Cover &amp; Control'!$C$19="Upside",J23,J24))</f>
        <v/>
      </c>
      <c r="K25" s="361">
        <f>IF('01 Cover &amp; Control'!$C$19="Base",K22,IF('01 Cover &amp; Control'!$C$19="Upside",K23,K24))</f>
        <v/>
      </c>
      <c r="L25" s="361">
        <f>IF('01 Cover &amp; Control'!$C$19="Base",L22,IF('01 Cover &amp; Control'!$C$19="Upside",L23,L24))</f>
        <v/>
      </c>
      <c r="M25" s="361">
        <f>IF('01 Cover &amp; Control'!$C$19="Base",M22,IF('01 Cover &amp; Control'!$C$19="Upside",M23,M24))</f>
        <v/>
      </c>
      <c r="N25" s="347">
        <f>SUM(J25:M25)</f>
        <v/>
      </c>
      <c r="O25" s="361">
        <f>IF('01 Cover &amp; Control'!$C$19="Base",O22,IF('01 Cover &amp; Control'!$C$19="Upside",O23,O24))</f>
        <v/>
      </c>
      <c r="P25" s="361">
        <f>IF('01 Cover &amp; Control'!$C$19="Base",P22,IF('01 Cover &amp; Control'!$C$19="Upside",P23,P24))</f>
        <v/>
      </c>
      <c r="Q25" s="361">
        <f>IF('01 Cover &amp; Control'!$C$19="Base",Q22,IF('01 Cover &amp; Control'!$C$19="Upside",Q23,Q24))</f>
        <v/>
      </c>
      <c r="R25" s="361">
        <f>IF('01 Cover &amp; Control'!$C$19="Base",R22,IF('01 Cover &amp; Control'!$C$19="Upside",R23,R24))</f>
        <v/>
      </c>
      <c r="S25" s="347">
        <f>SUM(O25:R25)</f>
        <v/>
      </c>
      <c r="T25" s="361">
        <f>IF('01 Cover &amp; Control'!$C$19="Base",T22,IF('01 Cover &amp; Control'!$C$19="Upside",T23,T24))</f>
        <v/>
      </c>
      <c r="U25" s="361">
        <f>IF('01 Cover &amp; Control'!$C$19="Base",U22,IF('01 Cover &amp; Control'!$C$19="Upside",U23,U24))</f>
        <v/>
      </c>
      <c r="V25" s="361">
        <f>IF('01 Cover &amp; Control'!$C$19="Base",V22,IF('01 Cover &amp; Control'!$C$19="Upside",V23,V24))</f>
        <v/>
      </c>
      <c r="W25" s="361">
        <f>IF('01 Cover &amp; Control'!$C$19="Base",W22,IF('01 Cover &amp; Control'!$C$19="Upside",W23,W24))</f>
        <v/>
      </c>
      <c r="X25" s="347">
        <f>SUM(T25:W25)</f>
        <v/>
      </c>
      <c r="Y25" s="361">
        <f>IF('01 Cover &amp; Control'!$C$19="Base",Y22,IF('01 Cover &amp; Control'!$C$19="Upside",Y23,Y24))</f>
        <v/>
      </c>
      <c r="Z25" s="361">
        <f>IF('01 Cover &amp; Control'!$C$19="Base",Z22,IF('01 Cover &amp; Control'!$C$19="Upside",Z23,Z24))</f>
        <v/>
      </c>
      <c r="AA25" s="361">
        <f>IF('01 Cover &amp; Control'!$C$19="Base",AA22,IF('01 Cover &amp; Control'!$C$19="Upside",AA23,AA24))</f>
        <v/>
      </c>
      <c r="AB25" s="361">
        <f>IF('01 Cover &amp; Control'!$C$19="Base",AB22,IF('01 Cover &amp; Control'!$C$19="Upside",AB23,AB24))</f>
        <v/>
      </c>
      <c r="AC25" s="347">
        <f>SUM(Y25:AB25)</f>
        <v/>
      </c>
      <c r="AD25" s="361">
        <f>IF('01 Cover &amp; Control'!$C$19="Base",AD22,IF('01 Cover &amp; Control'!$C$19="Upside",AD23,AD24))</f>
        <v/>
      </c>
      <c r="AE25" s="361">
        <f>IF('01 Cover &amp; Control'!$C$19="Base",AE22,IF('01 Cover &amp; Control'!$C$19="Upside",AE23,AE24))</f>
        <v/>
      </c>
      <c r="AF25" s="361">
        <f>IF('01 Cover &amp; Control'!$C$19="Base",AF22,IF('01 Cover &amp; Control'!$C$19="Upside",AF23,AF24))</f>
        <v/>
      </c>
      <c r="AG25" s="361">
        <f>IF('01 Cover &amp; Control'!$C$19="Base",AG22,IF('01 Cover &amp; Control'!$C$19="Upside",AG23,AG24))</f>
        <v/>
      </c>
      <c r="AH25" s="347">
        <f>SUM(AD25:AG25)</f>
        <v/>
      </c>
      <c r="AI25" s="361">
        <f>IF('01 Cover &amp; Control'!$C$19="Base",AI22,IF('01 Cover &amp; Control'!$C$19="Upside",AI23,AI24))</f>
        <v/>
      </c>
      <c r="AJ25" s="361">
        <f>IF('01 Cover &amp; Control'!$C$19="Base",AJ22,IF('01 Cover &amp; Control'!$C$19="Upside",AJ23,AJ24))</f>
        <v/>
      </c>
      <c r="AK25" s="361">
        <f>IF('01 Cover &amp; Control'!$C$19="Base",AK22,IF('01 Cover &amp; Control'!$C$19="Upside",AK23,AK24))</f>
        <v/>
      </c>
      <c r="AL25" s="361">
        <f>IF('01 Cover &amp; Control'!$C$19="Base",AL22,IF('01 Cover &amp; Control'!$C$19="Upside",AL23,AL24))</f>
        <v/>
      </c>
      <c r="AM25" s="347">
        <f>SUM(AI25:AL25)</f>
        <v/>
      </c>
      <c r="AN25" s="361">
        <f>IF('01 Cover &amp; Control'!$C$19="Base",AN22,IF('01 Cover &amp; Control'!$C$19="Upside",AN23,AN24))</f>
        <v/>
      </c>
      <c r="AO25" s="361">
        <f>IF('01 Cover &amp; Control'!$C$19="Base",AO22,IF('01 Cover &amp; Control'!$C$19="Upside",AO23,AO24))</f>
        <v/>
      </c>
      <c r="AP25" s="361">
        <f>IF('01 Cover &amp; Control'!$C$19="Base",AP22,IF('01 Cover &amp; Control'!$C$19="Upside",AP23,AP24))</f>
        <v/>
      </c>
      <c r="AQ25" s="361">
        <f>IF('01 Cover &amp; Control'!$C$19="Base",AQ22,IF('01 Cover &amp; Control'!$C$19="Upside",AQ23,AQ24))</f>
        <v/>
      </c>
      <c r="AR25" s="347">
        <f>SUM(AN25:AQ25)</f>
        <v/>
      </c>
    </row>
    <row r="26" ht="13.5" customHeight="1" s="290">
      <c r="A26" s="339" t="n"/>
      <c r="B26" s="340" t="inlineStr">
        <is>
          <t xml:space="preserve">  Attrition Rate — Core  — Base</t>
        </is>
      </c>
      <c r="C26" s="341" t="inlineStr">
        <is>
          <t>%/qtr</t>
        </is>
      </c>
      <c r="D26" s="342" t="inlineStr">
        <is>
          <t>Quarterly attrition rate applied to Beginning HC. Upside = lower attrition (strong market). Downside = higher (competitors poach).</t>
        </is>
      </c>
      <c r="E26" s="343" t="n">
        <v>0.04</v>
      </c>
      <c r="F26" s="343" t="n">
        <v>0.04</v>
      </c>
      <c r="G26" s="343" t="n">
        <v>0.04</v>
      </c>
      <c r="H26" s="343" t="n">
        <v>0.04</v>
      </c>
      <c r="I26" s="344">
        <f>SUM(E26:H26)</f>
        <v/>
      </c>
      <c r="J26" s="343" t="n">
        <v>0.04</v>
      </c>
      <c r="K26" s="343" t="n">
        <v>0.04</v>
      </c>
      <c r="L26" s="343" t="n">
        <v>0.04</v>
      </c>
      <c r="M26" s="343" t="n">
        <v>0.04</v>
      </c>
      <c r="N26" s="344">
        <f>SUM(J26:M26)</f>
        <v/>
      </c>
      <c r="O26" s="343" t="n">
        <v>0.04</v>
      </c>
      <c r="P26" s="343" t="n">
        <v>0.04</v>
      </c>
      <c r="Q26" s="343" t="n">
        <v>0.04</v>
      </c>
      <c r="R26" s="343" t="n">
        <v>0.04</v>
      </c>
      <c r="S26" s="344">
        <f>SUM(O26:R26)</f>
        <v/>
      </c>
      <c r="T26" s="343" t="n">
        <v>0.04</v>
      </c>
      <c r="U26" s="343" t="n">
        <v>0.04</v>
      </c>
      <c r="V26" s="343" t="n">
        <v>0.04</v>
      </c>
      <c r="W26" s="343" t="n">
        <v>0.04</v>
      </c>
      <c r="X26" s="344">
        <f>SUM(T26:W26)</f>
        <v/>
      </c>
      <c r="Y26" s="343" t="n">
        <v>0.04</v>
      </c>
      <c r="Z26" s="343" t="n">
        <v>0.04</v>
      </c>
      <c r="AA26" s="343" t="n">
        <v>0.04</v>
      </c>
      <c r="AB26" s="343" t="n">
        <v>0.04</v>
      </c>
      <c r="AC26" s="344">
        <f>SUM(Y26:AB26)</f>
        <v/>
      </c>
      <c r="AD26" s="343" t="n">
        <v>0.04</v>
      </c>
      <c r="AE26" s="343" t="n">
        <v>0.04</v>
      </c>
      <c r="AF26" s="343" t="n">
        <v>0.04</v>
      </c>
      <c r="AG26" s="343" t="n">
        <v>0.04</v>
      </c>
      <c r="AH26" s="344">
        <f>SUM(AD26:AG26)</f>
        <v/>
      </c>
      <c r="AI26" s="343" t="n">
        <v>0.04</v>
      </c>
      <c r="AJ26" s="343" t="n">
        <v>0.04</v>
      </c>
      <c r="AK26" s="343" t="n">
        <v>0.04</v>
      </c>
      <c r="AL26" s="343" t="n">
        <v>0.04</v>
      </c>
      <c r="AM26" s="344">
        <f>SUM(AI26:AL26)</f>
        <v/>
      </c>
      <c r="AN26" s="343" t="n">
        <v>0.04</v>
      </c>
      <c r="AO26" s="343" t="n">
        <v>0.04</v>
      </c>
      <c r="AP26" s="343" t="n">
        <v>0.04</v>
      </c>
      <c r="AQ26" s="343" t="n">
        <v>0.04</v>
      </c>
      <c r="AR26" s="344">
        <f>SUM(AN26:AQ26)</f>
        <v/>
      </c>
    </row>
    <row r="27" ht="13.5" customHeight="1" s="290">
      <c r="A27" s="339" t="n"/>
      <c r="B27" s="340" t="inlineStr">
        <is>
          <t xml:space="preserve">  Attrition Rate — Core  — Upside</t>
        </is>
      </c>
      <c r="E27" s="343" t="n">
        <v>0.035</v>
      </c>
      <c r="F27" s="343" t="n">
        <v>0.035</v>
      </c>
      <c r="G27" s="343" t="n">
        <v>0.035</v>
      </c>
      <c r="H27" s="343" t="n">
        <v>0.035</v>
      </c>
      <c r="I27" s="344">
        <f>SUM(E27:H27)</f>
        <v/>
      </c>
      <c r="J27" s="343" t="n">
        <v>0.035</v>
      </c>
      <c r="K27" s="343" t="n">
        <v>0.035</v>
      </c>
      <c r="L27" s="343" t="n">
        <v>0.035</v>
      </c>
      <c r="M27" s="343" t="n">
        <v>0.035</v>
      </c>
      <c r="N27" s="344">
        <f>SUM(J27:M27)</f>
        <v/>
      </c>
      <c r="O27" s="343" t="n">
        <v>0.035</v>
      </c>
      <c r="P27" s="343" t="n">
        <v>0.035</v>
      </c>
      <c r="Q27" s="343" t="n">
        <v>0.035</v>
      </c>
      <c r="R27" s="343" t="n">
        <v>0.035</v>
      </c>
      <c r="S27" s="344">
        <f>SUM(O27:R27)</f>
        <v/>
      </c>
      <c r="T27" s="343" t="n">
        <v>0.035</v>
      </c>
      <c r="U27" s="343" t="n">
        <v>0.035</v>
      </c>
      <c r="V27" s="343" t="n">
        <v>0.035</v>
      </c>
      <c r="W27" s="343" t="n">
        <v>0.035</v>
      </c>
      <c r="X27" s="344">
        <f>SUM(T27:W27)</f>
        <v/>
      </c>
      <c r="Y27" s="343" t="n">
        <v>0.035</v>
      </c>
      <c r="Z27" s="343" t="n">
        <v>0.035</v>
      </c>
      <c r="AA27" s="343" t="n">
        <v>0.035</v>
      </c>
      <c r="AB27" s="343" t="n">
        <v>0.035</v>
      </c>
      <c r="AC27" s="344">
        <f>SUM(Y27:AB27)</f>
        <v/>
      </c>
      <c r="AD27" s="343" t="n">
        <v>0.035</v>
      </c>
      <c r="AE27" s="343" t="n">
        <v>0.035</v>
      </c>
      <c r="AF27" s="343" t="n">
        <v>0.035</v>
      </c>
      <c r="AG27" s="343" t="n">
        <v>0.035</v>
      </c>
      <c r="AH27" s="344">
        <f>SUM(AD27:AG27)</f>
        <v/>
      </c>
      <c r="AI27" s="343" t="n">
        <v>0.035</v>
      </c>
      <c r="AJ27" s="343" t="n">
        <v>0.035</v>
      </c>
      <c r="AK27" s="343" t="n">
        <v>0.035</v>
      </c>
      <c r="AL27" s="343" t="n">
        <v>0.035</v>
      </c>
      <c r="AM27" s="344">
        <f>SUM(AI27:AL27)</f>
        <v/>
      </c>
      <c r="AN27" s="343" t="n">
        <v>0.035</v>
      </c>
      <c r="AO27" s="343" t="n">
        <v>0.035</v>
      </c>
      <c r="AP27" s="343" t="n">
        <v>0.035</v>
      </c>
      <c r="AQ27" s="343" t="n">
        <v>0.035</v>
      </c>
      <c r="AR27" s="344">
        <f>SUM(AN27:AQ27)</f>
        <v/>
      </c>
    </row>
    <row r="28" ht="13.5" customHeight="1" s="290">
      <c r="A28" s="339" t="n"/>
      <c r="B28" s="340" t="inlineStr">
        <is>
          <t xml:space="preserve">  Attrition Rate — Core  — Downside</t>
        </is>
      </c>
      <c r="E28" s="343" t="n">
        <v>0.055</v>
      </c>
      <c r="F28" s="343" t="n">
        <v>0.055</v>
      </c>
      <c r="G28" s="343" t="n">
        <v>0.055</v>
      </c>
      <c r="H28" s="343" t="n">
        <v>0.055</v>
      </c>
      <c r="I28" s="344">
        <f>SUM(E28:H28)</f>
        <v/>
      </c>
      <c r="J28" s="343" t="n">
        <v>0.055</v>
      </c>
      <c r="K28" s="343" t="n">
        <v>0.055</v>
      </c>
      <c r="L28" s="343" t="n">
        <v>0.055</v>
      </c>
      <c r="M28" s="343" t="n">
        <v>0.055</v>
      </c>
      <c r="N28" s="344">
        <f>SUM(J28:M28)</f>
        <v/>
      </c>
      <c r="O28" s="343" t="n">
        <v>0.055</v>
      </c>
      <c r="P28" s="343" t="n">
        <v>0.055</v>
      </c>
      <c r="Q28" s="343" t="n">
        <v>0.055</v>
      </c>
      <c r="R28" s="343" t="n">
        <v>0.055</v>
      </c>
      <c r="S28" s="344">
        <f>SUM(O28:R28)</f>
        <v/>
      </c>
      <c r="T28" s="343" t="n">
        <v>0.055</v>
      </c>
      <c r="U28" s="343" t="n">
        <v>0.055</v>
      </c>
      <c r="V28" s="343" t="n">
        <v>0.055</v>
      </c>
      <c r="W28" s="343" t="n">
        <v>0.055</v>
      </c>
      <c r="X28" s="344">
        <f>SUM(T28:W28)</f>
        <v/>
      </c>
      <c r="Y28" s="343" t="n">
        <v>0.055</v>
      </c>
      <c r="Z28" s="343" t="n">
        <v>0.055</v>
      </c>
      <c r="AA28" s="343" t="n">
        <v>0.055</v>
      </c>
      <c r="AB28" s="343" t="n">
        <v>0.055</v>
      </c>
      <c r="AC28" s="344">
        <f>SUM(Y28:AB28)</f>
        <v/>
      </c>
      <c r="AD28" s="343" t="n">
        <v>0.055</v>
      </c>
      <c r="AE28" s="343" t="n">
        <v>0.055</v>
      </c>
      <c r="AF28" s="343" t="n">
        <v>0.055</v>
      </c>
      <c r="AG28" s="343" t="n">
        <v>0.055</v>
      </c>
      <c r="AH28" s="344">
        <f>SUM(AD28:AG28)</f>
        <v/>
      </c>
      <c r="AI28" s="343" t="n">
        <v>0.055</v>
      </c>
      <c r="AJ28" s="343" t="n">
        <v>0.055</v>
      </c>
      <c r="AK28" s="343" t="n">
        <v>0.055</v>
      </c>
      <c r="AL28" s="343" t="n">
        <v>0.055</v>
      </c>
      <c r="AM28" s="344">
        <f>SUM(AI28:AL28)</f>
        <v/>
      </c>
      <c r="AN28" s="343" t="n">
        <v>0.055</v>
      </c>
      <c r="AO28" s="343" t="n">
        <v>0.055</v>
      </c>
      <c r="AP28" s="343" t="n">
        <v>0.055</v>
      </c>
      <c r="AQ28" s="343" t="n">
        <v>0.055</v>
      </c>
      <c r="AR28" s="344">
        <f>SUM(AN28:AQ28)</f>
        <v/>
      </c>
    </row>
    <row r="29" ht="13.5" customHeight="1" s="290">
      <c r="A29" s="345" t="n"/>
      <c r="B29" s="346" t="inlineStr">
        <is>
          <t xml:space="preserve">  Attrition Rate — Core  — ★ ACTIVE</t>
        </is>
      </c>
      <c r="E29" s="361">
        <f>IF('01 Cover &amp; Control'!$C$19="Base",E26,IF('01 Cover &amp; Control'!$C$19="Upside",E27,E28))</f>
        <v/>
      </c>
      <c r="F29" s="361">
        <f>IF('01 Cover &amp; Control'!$C$19="Base",F26,IF('01 Cover &amp; Control'!$C$19="Upside",F27,F28))</f>
        <v/>
      </c>
      <c r="G29" s="361">
        <f>IF('01 Cover &amp; Control'!$C$19="Base",G26,IF('01 Cover &amp; Control'!$C$19="Upside",G27,G28))</f>
        <v/>
      </c>
      <c r="H29" s="361">
        <f>IF('01 Cover &amp; Control'!$C$19="Base",H26,IF('01 Cover &amp; Control'!$C$19="Upside",H27,H28))</f>
        <v/>
      </c>
      <c r="I29" s="347">
        <f>AVERAGE(E29:H29)</f>
        <v/>
      </c>
      <c r="J29" s="361">
        <f>IF('01 Cover &amp; Control'!$C$19="Base",J26,IF('01 Cover &amp; Control'!$C$19="Upside",J27,J28))</f>
        <v/>
      </c>
      <c r="K29" s="361">
        <f>IF('01 Cover &amp; Control'!$C$19="Base",K26,IF('01 Cover &amp; Control'!$C$19="Upside",K27,K28))</f>
        <v/>
      </c>
      <c r="L29" s="361">
        <f>IF('01 Cover &amp; Control'!$C$19="Base",L26,IF('01 Cover &amp; Control'!$C$19="Upside",L27,L28))</f>
        <v/>
      </c>
      <c r="M29" s="361">
        <f>IF('01 Cover &amp; Control'!$C$19="Base",M26,IF('01 Cover &amp; Control'!$C$19="Upside",M27,M28))</f>
        <v/>
      </c>
      <c r="N29" s="347">
        <f>AVERAGE(J29:M29)</f>
        <v/>
      </c>
      <c r="O29" s="361">
        <f>IF('01 Cover &amp; Control'!$C$19="Base",O26,IF('01 Cover &amp; Control'!$C$19="Upside",O27,O28))</f>
        <v/>
      </c>
      <c r="P29" s="361">
        <f>IF('01 Cover &amp; Control'!$C$19="Base",P26,IF('01 Cover &amp; Control'!$C$19="Upside",P27,P28))</f>
        <v/>
      </c>
      <c r="Q29" s="361">
        <f>IF('01 Cover &amp; Control'!$C$19="Base",Q26,IF('01 Cover &amp; Control'!$C$19="Upside",Q27,Q28))</f>
        <v/>
      </c>
      <c r="R29" s="361">
        <f>IF('01 Cover &amp; Control'!$C$19="Base",R26,IF('01 Cover &amp; Control'!$C$19="Upside",R27,R28))</f>
        <v/>
      </c>
      <c r="S29" s="347">
        <f>AVERAGE(O29:R29)</f>
        <v/>
      </c>
      <c r="T29" s="361">
        <f>IF('01 Cover &amp; Control'!$C$19="Base",T26,IF('01 Cover &amp; Control'!$C$19="Upside",T27,T28))</f>
        <v/>
      </c>
      <c r="U29" s="361">
        <f>IF('01 Cover &amp; Control'!$C$19="Base",U26,IF('01 Cover &amp; Control'!$C$19="Upside",U27,U28))</f>
        <v/>
      </c>
      <c r="V29" s="361">
        <f>IF('01 Cover &amp; Control'!$C$19="Base",V26,IF('01 Cover &amp; Control'!$C$19="Upside",V27,V28))</f>
        <v/>
      </c>
      <c r="W29" s="361">
        <f>IF('01 Cover &amp; Control'!$C$19="Base",W26,IF('01 Cover &amp; Control'!$C$19="Upside",W27,W28))</f>
        <v/>
      </c>
      <c r="X29" s="347">
        <f>AVERAGE(T29:W29)</f>
        <v/>
      </c>
      <c r="Y29" s="361">
        <f>IF('01 Cover &amp; Control'!$C$19="Base",Y26,IF('01 Cover &amp; Control'!$C$19="Upside",Y27,Y28))</f>
        <v/>
      </c>
      <c r="Z29" s="361">
        <f>IF('01 Cover &amp; Control'!$C$19="Base",Z26,IF('01 Cover &amp; Control'!$C$19="Upside",Z27,Z28))</f>
        <v/>
      </c>
      <c r="AA29" s="361">
        <f>IF('01 Cover &amp; Control'!$C$19="Base",AA26,IF('01 Cover &amp; Control'!$C$19="Upside",AA27,AA28))</f>
        <v/>
      </c>
      <c r="AB29" s="361">
        <f>IF('01 Cover &amp; Control'!$C$19="Base",AB26,IF('01 Cover &amp; Control'!$C$19="Upside",AB27,AB28))</f>
        <v/>
      </c>
      <c r="AC29" s="347">
        <f>AVERAGE(Y29:AB29)</f>
        <v/>
      </c>
      <c r="AD29" s="361">
        <f>IF('01 Cover &amp; Control'!$C$19="Base",AD26,IF('01 Cover &amp; Control'!$C$19="Upside",AD27,AD28))</f>
        <v/>
      </c>
      <c r="AE29" s="361">
        <f>IF('01 Cover &amp; Control'!$C$19="Base",AE26,IF('01 Cover &amp; Control'!$C$19="Upside",AE27,AE28))</f>
        <v/>
      </c>
      <c r="AF29" s="361">
        <f>IF('01 Cover &amp; Control'!$C$19="Base",AF26,IF('01 Cover &amp; Control'!$C$19="Upside",AF27,AF28))</f>
        <v/>
      </c>
      <c r="AG29" s="361">
        <f>IF('01 Cover &amp; Control'!$C$19="Base",AG26,IF('01 Cover &amp; Control'!$C$19="Upside",AG27,AG28))</f>
        <v/>
      </c>
      <c r="AH29" s="347">
        <f>AVERAGE(AD29:AG29)</f>
        <v/>
      </c>
      <c r="AI29" s="361">
        <f>IF('01 Cover &amp; Control'!$C$19="Base",AI26,IF('01 Cover &amp; Control'!$C$19="Upside",AI27,AI28))</f>
        <v/>
      </c>
      <c r="AJ29" s="361">
        <f>IF('01 Cover &amp; Control'!$C$19="Base",AJ26,IF('01 Cover &amp; Control'!$C$19="Upside",AJ27,AJ28))</f>
        <v/>
      </c>
      <c r="AK29" s="361">
        <f>IF('01 Cover &amp; Control'!$C$19="Base",AK26,IF('01 Cover &amp; Control'!$C$19="Upside",AK27,AK28))</f>
        <v/>
      </c>
      <c r="AL29" s="361">
        <f>IF('01 Cover &amp; Control'!$C$19="Base",AL26,IF('01 Cover &amp; Control'!$C$19="Upside",AL27,AL28))</f>
        <v/>
      </c>
      <c r="AM29" s="347">
        <f>AVERAGE(AI29:AL29)</f>
        <v/>
      </c>
      <c r="AN29" s="361">
        <f>IF('01 Cover &amp; Control'!$C$19="Base",AN26,IF('01 Cover &amp; Control'!$C$19="Upside",AN27,AN28))</f>
        <v/>
      </c>
      <c r="AO29" s="361">
        <f>IF('01 Cover &amp; Control'!$C$19="Base",AO26,IF('01 Cover &amp; Control'!$C$19="Upside",AO27,AO28))</f>
        <v/>
      </c>
      <c r="AP29" s="361">
        <f>IF('01 Cover &amp; Control'!$C$19="Base",AP26,IF('01 Cover &amp; Control'!$C$19="Upside",AP27,AP28))</f>
        <v/>
      </c>
      <c r="AQ29" s="361">
        <f>IF('01 Cover &amp; Control'!$C$19="Base",AQ26,IF('01 Cover &amp; Control'!$C$19="Upside",AQ27,AQ28))</f>
        <v/>
      </c>
      <c r="AR29" s="347">
        <f>AVERAGE(AN29:AQ29)</f>
        <v/>
      </c>
    </row>
    <row r="30" ht="3.75" customHeight="1" s="290"/>
    <row r="31" ht="13.5" customHeight="1" s="290">
      <c r="A31" s="339" t="n"/>
      <c r="B31" s="357" t="inlineStr">
        <is>
          <t xml:space="preserve">  Beginning HC — Junior</t>
        </is>
      </c>
      <c r="C31" s="341" t="inlineStr">
        <is>
          <t>#</t>
        </is>
      </c>
      <c r="D31" s="342" t="inlineStr">
        <is>
          <t>Input: actuals for hist period; forecast = prior yr ending HC. Used directly in EPE formula.</t>
        </is>
      </c>
      <c r="E31" s="343" t="n">
        <v>10</v>
      </c>
      <c r="F31" s="343" t="n"/>
      <c r="G31" s="343" t="n"/>
      <c r="H31" s="343" t="n"/>
      <c r="I31" s="344">
        <f>SUM(E31:H31)</f>
        <v/>
      </c>
      <c r="J31" s="343" t="n"/>
      <c r="K31" s="343" t="n"/>
      <c r="L31" s="343" t="n"/>
      <c r="M31" s="343" t="n"/>
      <c r="N31" s="344">
        <f>SUM(J31:M31)</f>
        <v/>
      </c>
      <c r="O31" s="343" t="n"/>
      <c r="P31" s="343" t="n"/>
      <c r="Q31" s="343" t="n"/>
      <c r="R31" s="343" t="n"/>
      <c r="S31" s="344">
        <f>SUM(O31:R31)</f>
        <v/>
      </c>
      <c r="T31" s="343" t="n"/>
      <c r="U31" s="343" t="n"/>
      <c r="V31" s="343" t="n"/>
      <c r="W31" s="343" t="n"/>
      <c r="X31" s="344">
        <f>SUM(T31:W31)</f>
        <v/>
      </c>
      <c r="Y31" s="343" t="n"/>
      <c r="Z31" s="343" t="n"/>
      <c r="AA31" s="343" t="n"/>
      <c r="AB31" s="343" t="n"/>
      <c r="AC31" s="344">
        <f>SUM(Y31:AB31)</f>
        <v/>
      </c>
      <c r="AD31" s="343" t="n"/>
      <c r="AE31" s="343" t="n"/>
      <c r="AF31" s="343" t="n"/>
      <c r="AG31" s="343" t="n"/>
      <c r="AH31" s="344">
        <f>SUM(AD31:AG31)</f>
        <v/>
      </c>
      <c r="AI31" s="343" t="n"/>
      <c r="AJ31" s="343" t="n"/>
      <c r="AK31" s="343" t="n"/>
      <c r="AL31" s="343" t="n"/>
      <c r="AM31" s="344">
        <f>SUM(AI31:AL31)</f>
        <v/>
      </c>
      <c r="AN31" s="343" t="n"/>
      <c r="AO31" s="343" t="n"/>
      <c r="AP31" s="343" t="n"/>
      <c r="AQ31" s="343" t="n"/>
      <c r="AR31" s="344">
        <f>SUM(AN31:AQ31)</f>
        <v/>
      </c>
    </row>
    <row r="32" ht="13.5" customHeight="1" s="290">
      <c r="A32" s="339" t="n"/>
      <c r="B32" s="340" t="inlineStr">
        <is>
          <t xml:space="preserve">  Gross Hires / Qtr — Junior  — Base</t>
        </is>
      </c>
      <c r="C32" s="341" t="inlineStr">
        <is>
          <t>#/qtr</t>
        </is>
      </c>
      <c r="D32" s="342" t="inlineStr">
        <is>
          <t>Scenario-keyed. Upside = faster hiring. Downside = slower/failed hiring.</t>
        </is>
      </c>
      <c r="E32" s="343" t="n">
        <v>2</v>
      </c>
      <c r="F32" s="343" t="n">
        <v>2</v>
      </c>
      <c r="G32" s="343" t="n">
        <v>2</v>
      </c>
      <c r="H32" s="343" t="n">
        <v>2</v>
      </c>
      <c r="I32" s="344">
        <f>SUM(E32:H32)</f>
        <v/>
      </c>
      <c r="J32" s="343" t="n">
        <v>2</v>
      </c>
      <c r="K32" s="343" t="n">
        <v>2</v>
      </c>
      <c r="L32" s="343" t="n">
        <v>2</v>
      </c>
      <c r="M32" s="343" t="n">
        <v>2</v>
      </c>
      <c r="N32" s="344">
        <f>SUM(J32:M32)</f>
        <v/>
      </c>
      <c r="O32" s="343" t="n">
        <v>2</v>
      </c>
      <c r="P32" s="343" t="n">
        <v>2</v>
      </c>
      <c r="Q32" s="343" t="n">
        <v>2</v>
      </c>
      <c r="R32" s="343" t="n">
        <v>2</v>
      </c>
      <c r="S32" s="344">
        <f>SUM(O32:R32)</f>
        <v/>
      </c>
      <c r="T32" s="343" t="n">
        <v>2</v>
      </c>
      <c r="U32" s="343" t="n">
        <v>2</v>
      </c>
      <c r="V32" s="343" t="n">
        <v>2</v>
      </c>
      <c r="W32" s="343" t="n">
        <v>2</v>
      </c>
      <c r="X32" s="344">
        <f>SUM(T32:W32)</f>
        <v/>
      </c>
      <c r="Y32" s="343" t="n">
        <v>2</v>
      </c>
      <c r="Z32" s="343" t="n">
        <v>2</v>
      </c>
      <c r="AA32" s="343" t="n">
        <v>2</v>
      </c>
      <c r="AB32" s="343" t="n">
        <v>2</v>
      </c>
      <c r="AC32" s="344">
        <f>SUM(Y32:AB32)</f>
        <v/>
      </c>
      <c r="AD32" s="343" t="n">
        <v>2</v>
      </c>
      <c r="AE32" s="343" t="n">
        <v>2</v>
      </c>
      <c r="AF32" s="343" t="n">
        <v>2</v>
      </c>
      <c r="AG32" s="343" t="n">
        <v>2</v>
      </c>
      <c r="AH32" s="344">
        <f>SUM(AD32:AG32)</f>
        <v/>
      </c>
      <c r="AI32" s="343" t="n">
        <v>2</v>
      </c>
      <c r="AJ32" s="343" t="n">
        <v>2</v>
      </c>
      <c r="AK32" s="343" t="n">
        <v>2</v>
      </c>
      <c r="AL32" s="343" t="n">
        <v>2</v>
      </c>
      <c r="AM32" s="344">
        <f>SUM(AI32:AL32)</f>
        <v/>
      </c>
      <c r="AN32" s="343" t="n">
        <v>2</v>
      </c>
      <c r="AO32" s="343" t="n">
        <v>2</v>
      </c>
      <c r="AP32" s="343" t="n">
        <v>2</v>
      </c>
      <c r="AQ32" s="343" t="n">
        <v>2</v>
      </c>
      <c r="AR32" s="344">
        <f>SUM(AN32:AQ32)</f>
        <v/>
      </c>
    </row>
    <row r="33" ht="13.5" customHeight="1" s="290">
      <c r="A33" s="339" t="n"/>
      <c r="B33" s="340" t="inlineStr">
        <is>
          <t xml:space="preserve">  Gross Hires / Qtr — Junior  — Upside</t>
        </is>
      </c>
      <c r="E33" s="343" t="n">
        <v>2.2</v>
      </c>
      <c r="F33" s="343" t="n">
        <v>2.2</v>
      </c>
      <c r="G33" s="343" t="n">
        <v>2.2</v>
      </c>
      <c r="H33" s="343" t="n">
        <v>2.2</v>
      </c>
      <c r="I33" s="344">
        <f>SUM(E33:H33)</f>
        <v/>
      </c>
      <c r="J33" s="343" t="n">
        <v>2.2</v>
      </c>
      <c r="K33" s="343" t="n">
        <v>2.2</v>
      </c>
      <c r="L33" s="343" t="n">
        <v>2.2</v>
      </c>
      <c r="M33" s="343" t="n">
        <v>2.2</v>
      </c>
      <c r="N33" s="344">
        <f>SUM(J33:M33)</f>
        <v/>
      </c>
      <c r="O33" s="343" t="n">
        <v>2.2</v>
      </c>
      <c r="P33" s="343" t="n">
        <v>2.2</v>
      </c>
      <c r="Q33" s="343" t="n">
        <v>2.2</v>
      </c>
      <c r="R33" s="343" t="n">
        <v>2.2</v>
      </c>
      <c r="S33" s="344">
        <f>SUM(O33:R33)</f>
        <v/>
      </c>
      <c r="T33" s="343" t="n">
        <v>2.2</v>
      </c>
      <c r="U33" s="343" t="n">
        <v>2.2</v>
      </c>
      <c r="V33" s="343" t="n">
        <v>2.2</v>
      </c>
      <c r="W33" s="343" t="n">
        <v>2.2</v>
      </c>
      <c r="X33" s="344">
        <f>SUM(T33:W33)</f>
        <v/>
      </c>
      <c r="Y33" s="343" t="n">
        <v>2.2</v>
      </c>
      <c r="Z33" s="343" t="n">
        <v>2.2</v>
      </c>
      <c r="AA33" s="343" t="n">
        <v>2.2</v>
      </c>
      <c r="AB33" s="343" t="n">
        <v>2.2</v>
      </c>
      <c r="AC33" s="344">
        <f>SUM(Y33:AB33)</f>
        <v/>
      </c>
      <c r="AD33" s="343" t="n">
        <v>2.2</v>
      </c>
      <c r="AE33" s="343" t="n">
        <v>2.2</v>
      </c>
      <c r="AF33" s="343" t="n">
        <v>2.2</v>
      </c>
      <c r="AG33" s="343" t="n">
        <v>2.2</v>
      </c>
      <c r="AH33" s="344">
        <f>SUM(AD33:AG33)</f>
        <v/>
      </c>
      <c r="AI33" s="343" t="n">
        <v>2.2</v>
      </c>
      <c r="AJ33" s="343" t="n">
        <v>2.2</v>
      </c>
      <c r="AK33" s="343" t="n">
        <v>2.2</v>
      </c>
      <c r="AL33" s="343" t="n">
        <v>2.2</v>
      </c>
      <c r="AM33" s="344">
        <f>SUM(AI33:AL33)</f>
        <v/>
      </c>
      <c r="AN33" s="343" t="n">
        <v>2.2</v>
      </c>
      <c r="AO33" s="343" t="n">
        <v>2.2</v>
      </c>
      <c r="AP33" s="343" t="n">
        <v>2.2</v>
      </c>
      <c r="AQ33" s="343" t="n">
        <v>2.2</v>
      </c>
      <c r="AR33" s="344">
        <f>SUM(AN33:AQ33)</f>
        <v/>
      </c>
    </row>
    <row r="34" ht="13.5" customHeight="1" s="290">
      <c r="A34" s="339" t="n"/>
      <c r="B34" s="340" t="inlineStr">
        <is>
          <t xml:space="preserve">  Gross Hires / Qtr — Junior  — Downside</t>
        </is>
      </c>
      <c r="E34" s="343" t="n">
        <v>1.7</v>
      </c>
      <c r="F34" s="343" t="n">
        <v>1.7</v>
      </c>
      <c r="G34" s="343" t="n">
        <v>1.7</v>
      </c>
      <c r="H34" s="343" t="n">
        <v>1.7</v>
      </c>
      <c r="I34" s="344">
        <f>SUM(E34:H34)</f>
        <v/>
      </c>
      <c r="J34" s="343" t="n">
        <v>1.7</v>
      </c>
      <c r="K34" s="343" t="n">
        <v>1.7</v>
      </c>
      <c r="L34" s="343" t="n">
        <v>1.7</v>
      </c>
      <c r="M34" s="343" t="n">
        <v>1.7</v>
      </c>
      <c r="N34" s="344">
        <f>SUM(J34:M34)</f>
        <v/>
      </c>
      <c r="O34" s="343" t="n">
        <v>1.7</v>
      </c>
      <c r="P34" s="343" t="n">
        <v>1.7</v>
      </c>
      <c r="Q34" s="343" t="n">
        <v>1.7</v>
      </c>
      <c r="R34" s="343" t="n">
        <v>1.7</v>
      </c>
      <c r="S34" s="344">
        <f>SUM(O34:R34)</f>
        <v/>
      </c>
      <c r="T34" s="343" t="n">
        <v>1.7</v>
      </c>
      <c r="U34" s="343" t="n">
        <v>1.7</v>
      </c>
      <c r="V34" s="343" t="n">
        <v>1.7</v>
      </c>
      <c r="W34" s="343" t="n">
        <v>1.7</v>
      </c>
      <c r="X34" s="344">
        <f>SUM(T34:W34)</f>
        <v/>
      </c>
      <c r="Y34" s="343" t="n">
        <v>1.7</v>
      </c>
      <c r="Z34" s="343" t="n">
        <v>1.7</v>
      </c>
      <c r="AA34" s="343" t="n">
        <v>1.7</v>
      </c>
      <c r="AB34" s="343" t="n">
        <v>1.7</v>
      </c>
      <c r="AC34" s="344">
        <f>SUM(Y34:AB34)</f>
        <v/>
      </c>
      <c r="AD34" s="343" t="n">
        <v>1.7</v>
      </c>
      <c r="AE34" s="343" t="n">
        <v>1.7</v>
      </c>
      <c r="AF34" s="343" t="n">
        <v>1.7</v>
      </c>
      <c r="AG34" s="343" t="n">
        <v>1.7</v>
      </c>
      <c r="AH34" s="344">
        <f>SUM(AD34:AG34)</f>
        <v/>
      </c>
      <c r="AI34" s="343" t="n">
        <v>1.7</v>
      </c>
      <c r="AJ34" s="343" t="n">
        <v>1.7</v>
      </c>
      <c r="AK34" s="343" t="n">
        <v>1.7</v>
      </c>
      <c r="AL34" s="343" t="n">
        <v>1.7</v>
      </c>
      <c r="AM34" s="344">
        <f>SUM(AI34:AL34)</f>
        <v/>
      </c>
      <c r="AN34" s="343" t="n">
        <v>1.7</v>
      </c>
      <c r="AO34" s="343" t="n">
        <v>1.7</v>
      </c>
      <c r="AP34" s="343" t="n">
        <v>1.7</v>
      </c>
      <c r="AQ34" s="343" t="n">
        <v>1.7</v>
      </c>
      <c r="AR34" s="344">
        <f>SUM(AN34:AQ34)</f>
        <v/>
      </c>
    </row>
    <row r="35" ht="13.5" customHeight="1" s="290">
      <c r="A35" s="345" t="n"/>
      <c r="B35" s="346" t="inlineStr">
        <is>
          <t xml:space="preserve">  Gross Hires / Qtr — Junior  — ★ ACTIVE</t>
        </is>
      </c>
      <c r="E35" s="361">
        <f>IF('01 Cover &amp; Control'!$C$19="Base",E32,IF('01 Cover &amp; Control'!$C$19="Upside",E33,E34))</f>
        <v/>
      </c>
      <c r="F35" s="361">
        <f>IF('01 Cover &amp; Control'!$C$19="Base",F32,IF('01 Cover &amp; Control'!$C$19="Upside",F33,F34))</f>
        <v/>
      </c>
      <c r="G35" s="361">
        <f>IF('01 Cover &amp; Control'!$C$19="Base",G32,IF('01 Cover &amp; Control'!$C$19="Upside",G33,G34))</f>
        <v/>
      </c>
      <c r="H35" s="361">
        <f>IF('01 Cover &amp; Control'!$C$19="Base",H32,IF('01 Cover &amp; Control'!$C$19="Upside",H33,H34))</f>
        <v/>
      </c>
      <c r="I35" s="347">
        <f>SUM(E35:H35)</f>
        <v/>
      </c>
      <c r="J35" s="361">
        <f>IF('01 Cover &amp; Control'!$C$19="Base",J32,IF('01 Cover &amp; Control'!$C$19="Upside",J33,J34))</f>
        <v/>
      </c>
      <c r="K35" s="361">
        <f>IF('01 Cover &amp; Control'!$C$19="Base",K32,IF('01 Cover &amp; Control'!$C$19="Upside",K33,K34))</f>
        <v/>
      </c>
      <c r="L35" s="361">
        <f>IF('01 Cover &amp; Control'!$C$19="Base",L32,IF('01 Cover &amp; Control'!$C$19="Upside",L33,L34))</f>
        <v/>
      </c>
      <c r="M35" s="361">
        <f>IF('01 Cover &amp; Control'!$C$19="Base",M32,IF('01 Cover &amp; Control'!$C$19="Upside",M33,M34))</f>
        <v/>
      </c>
      <c r="N35" s="347">
        <f>SUM(J35:M35)</f>
        <v/>
      </c>
      <c r="O35" s="361">
        <f>IF('01 Cover &amp; Control'!$C$19="Base",O32,IF('01 Cover &amp; Control'!$C$19="Upside",O33,O34))</f>
        <v/>
      </c>
      <c r="P35" s="361">
        <f>IF('01 Cover &amp; Control'!$C$19="Base",P32,IF('01 Cover &amp; Control'!$C$19="Upside",P33,P34))</f>
        <v/>
      </c>
      <c r="Q35" s="361">
        <f>IF('01 Cover &amp; Control'!$C$19="Base",Q32,IF('01 Cover &amp; Control'!$C$19="Upside",Q33,Q34))</f>
        <v/>
      </c>
      <c r="R35" s="361">
        <f>IF('01 Cover &amp; Control'!$C$19="Base",R32,IF('01 Cover &amp; Control'!$C$19="Upside",R33,R34))</f>
        <v/>
      </c>
      <c r="S35" s="347">
        <f>SUM(O35:R35)</f>
        <v/>
      </c>
      <c r="T35" s="361">
        <f>IF('01 Cover &amp; Control'!$C$19="Base",T32,IF('01 Cover &amp; Control'!$C$19="Upside",T33,T34))</f>
        <v/>
      </c>
      <c r="U35" s="361">
        <f>IF('01 Cover &amp; Control'!$C$19="Base",U32,IF('01 Cover &amp; Control'!$C$19="Upside",U33,U34))</f>
        <v/>
      </c>
      <c r="V35" s="361">
        <f>IF('01 Cover &amp; Control'!$C$19="Base",V32,IF('01 Cover &amp; Control'!$C$19="Upside",V33,V34))</f>
        <v/>
      </c>
      <c r="W35" s="361">
        <f>IF('01 Cover &amp; Control'!$C$19="Base",W32,IF('01 Cover &amp; Control'!$C$19="Upside",W33,W34))</f>
        <v/>
      </c>
      <c r="X35" s="347">
        <f>SUM(T35:W35)</f>
        <v/>
      </c>
      <c r="Y35" s="361">
        <f>IF('01 Cover &amp; Control'!$C$19="Base",Y32,IF('01 Cover &amp; Control'!$C$19="Upside",Y33,Y34))</f>
        <v/>
      </c>
      <c r="Z35" s="361">
        <f>IF('01 Cover &amp; Control'!$C$19="Base",Z32,IF('01 Cover &amp; Control'!$C$19="Upside",Z33,Z34))</f>
        <v/>
      </c>
      <c r="AA35" s="361">
        <f>IF('01 Cover &amp; Control'!$C$19="Base",AA32,IF('01 Cover &amp; Control'!$C$19="Upside",AA33,AA34))</f>
        <v/>
      </c>
      <c r="AB35" s="361">
        <f>IF('01 Cover &amp; Control'!$C$19="Base",AB32,IF('01 Cover &amp; Control'!$C$19="Upside",AB33,AB34))</f>
        <v/>
      </c>
      <c r="AC35" s="347">
        <f>SUM(Y35:AB35)</f>
        <v/>
      </c>
      <c r="AD35" s="361">
        <f>IF('01 Cover &amp; Control'!$C$19="Base",AD32,IF('01 Cover &amp; Control'!$C$19="Upside",AD33,AD34))</f>
        <v/>
      </c>
      <c r="AE35" s="361">
        <f>IF('01 Cover &amp; Control'!$C$19="Base",AE32,IF('01 Cover &amp; Control'!$C$19="Upside",AE33,AE34))</f>
        <v/>
      </c>
      <c r="AF35" s="361">
        <f>IF('01 Cover &amp; Control'!$C$19="Base",AF32,IF('01 Cover &amp; Control'!$C$19="Upside",AF33,AF34))</f>
        <v/>
      </c>
      <c r="AG35" s="361">
        <f>IF('01 Cover &amp; Control'!$C$19="Base",AG32,IF('01 Cover &amp; Control'!$C$19="Upside",AG33,AG34))</f>
        <v/>
      </c>
      <c r="AH35" s="347">
        <f>SUM(AD35:AG35)</f>
        <v/>
      </c>
      <c r="AI35" s="361">
        <f>IF('01 Cover &amp; Control'!$C$19="Base",AI32,IF('01 Cover &amp; Control'!$C$19="Upside",AI33,AI34))</f>
        <v/>
      </c>
      <c r="AJ35" s="361">
        <f>IF('01 Cover &amp; Control'!$C$19="Base",AJ32,IF('01 Cover &amp; Control'!$C$19="Upside",AJ33,AJ34))</f>
        <v/>
      </c>
      <c r="AK35" s="361">
        <f>IF('01 Cover &amp; Control'!$C$19="Base",AK32,IF('01 Cover &amp; Control'!$C$19="Upside",AK33,AK34))</f>
        <v/>
      </c>
      <c r="AL35" s="361">
        <f>IF('01 Cover &amp; Control'!$C$19="Base",AL32,IF('01 Cover &amp; Control'!$C$19="Upside",AL33,AL34))</f>
        <v/>
      </c>
      <c r="AM35" s="347">
        <f>SUM(AI35:AL35)</f>
        <v/>
      </c>
      <c r="AN35" s="361">
        <f>IF('01 Cover &amp; Control'!$C$19="Base",AN32,IF('01 Cover &amp; Control'!$C$19="Upside",AN33,AN34))</f>
        <v/>
      </c>
      <c r="AO35" s="361">
        <f>IF('01 Cover &amp; Control'!$C$19="Base",AO32,IF('01 Cover &amp; Control'!$C$19="Upside",AO33,AO34))</f>
        <v/>
      </c>
      <c r="AP35" s="361">
        <f>IF('01 Cover &amp; Control'!$C$19="Base",AP32,IF('01 Cover &amp; Control'!$C$19="Upside",AP33,AP34))</f>
        <v/>
      </c>
      <c r="AQ35" s="361">
        <f>IF('01 Cover &amp; Control'!$C$19="Base",AQ32,IF('01 Cover &amp; Control'!$C$19="Upside",AQ33,AQ34))</f>
        <v/>
      </c>
      <c r="AR35" s="347">
        <f>SUM(AN35:AQ35)</f>
        <v/>
      </c>
    </row>
    <row r="36" ht="13.5" customHeight="1" s="290">
      <c r="A36" s="339" t="n"/>
      <c r="B36" s="340" t="inlineStr">
        <is>
          <t xml:space="preserve">  Attrition Rate — Junior  — Base</t>
        </is>
      </c>
      <c r="C36" s="341" t="inlineStr">
        <is>
          <t>%/qtr</t>
        </is>
      </c>
      <c r="D36" s="342" t="inlineStr">
        <is>
          <t>Quarterly attrition rate applied to Beginning HC. Upside = lower attrition (strong market). Downside = higher (competitors poach).</t>
        </is>
      </c>
      <c r="E36" s="343" t="n">
        <v>0.06</v>
      </c>
      <c r="F36" s="343" t="n">
        <v>0.06</v>
      </c>
      <c r="G36" s="343" t="n">
        <v>0.06</v>
      </c>
      <c r="H36" s="343" t="n">
        <v>0.06</v>
      </c>
      <c r="I36" s="344">
        <f>SUM(E36:H36)</f>
        <v/>
      </c>
      <c r="J36" s="343" t="n">
        <v>0.06</v>
      </c>
      <c r="K36" s="343" t="n">
        <v>0.06</v>
      </c>
      <c r="L36" s="343" t="n">
        <v>0.06</v>
      </c>
      <c r="M36" s="343" t="n">
        <v>0.06</v>
      </c>
      <c r="N36" s="344">
        <f>SUM(J36:M36)</f>
        <v/>
      </c>
      <c r="O36" s="343" t="n">
        <v>0.06</v>
      </c>
      <c r="P36" s="343" t="n">
        <v>0.06</v>
      </c>
      <c r="Q36" s="343" t="n">
        <v>0.06</v>
      </c>
      <c r="R36" s="343" t="n">
        <v>0.06</v>
      </c>
      <c r="S36" s="344">
        <f>SUM(O36:R36)</f>
        <v/>
      </c>
      <c r="T36" s="343" t="n">
        <v>0.06</v>
      </c>
      <c r="U36" s="343" t="n">
        <v>0.06</v>
      </c>
      <c r="V36" s="343" t="n">
        <v>0.06</v>
      </c>
      <c r="W36" s="343" t="n">
        <v>0.06</v>
      </c>
      <c r="X36" s="344">
        <f>SUM(T36:W36)</f>
        <v/>
      </c>
      <c r="Y36" s="343" t="n">
        <v>0.06</v>
      </c>
      <c r="Z36" s="343" t="n">
        <v>0.06</v>
      </c>
      <c r="AA36" s="343" t="n">
        <v>0.06</v>
      </c>
      <c r="AB36" s="343" t="n">
        <v>0.06</v>
      </c>
      <c r="AC36" s="344">
        <f>SUM(Y36:AB36)</f>
        <v/>
      </c>
      <c r="AD36" s="343" t="n">
        <v>0.06</v>
      </c>
      <c r="AE36" s="343" t="n">
        <v>0.06</v>
      </c>
      <c r="AF36" s="343" t="n">
        <v>0.06</v>
      </c>
      <c r="AG36" s="343" t="n">
        <v>0.06</v>
      </c>
      <c r="AH36" s="344">
        <f>SUM(AD36:AG36)</f>
        <v/>
      </c>
      <c r="AI36" s="343" t="n">
        <v>0.06</v>
      </c>
      <c r="AJ36" s="343" t="n">
        <v>0.06</v>
      </c>
      <c r="AK36" s="343" t="n">
        <v>0.06</v>
      </c>
      <c r="AL36" s="343" t="n">
        <v>0.06</v>
      </c>
      <c r="AM36" s="344">
        <f>SUM(AI36:AL36)</f>
        <v/>
      </c>
      <c r="AN36" s="343" t="n">
        <v>0.06</v>
      </c>
      <c r="AO36" s="343" t="n">
        <v>0.06</v>
      </c>
      <c r="AP36" s="343" t="n">
        <v>0.06</v>
      </c>
      <c r="AQ36" s="343" t="n">
        <v>0.06</v>
      </c>
      <c r="AR36" s="344">
        <f>SUM(AN36:AQ36)</f>
        <v/>
      </c>
    </row>
    <row r="37" ht="13.5" customHeight="1" s="290">
      <c r="A37" s="339" t="n"/>
      <c r="B37" s="340" t="inlineStr">
        <is>
          <t xml:space="preserve">  Attrition Rate — Junior  — Upside</t>
        </is>
      </c>
      <c r="E37" s="343" t="n">
        <v>0.052</v>
      </c>
      <c r="F37" s="343" t="n">
        <v>0.052</v>
      </c>
      <c r="G37" s="343" t="n">
        <v>0.052</v>
      </c>
      <c r="H37" s="343" t="n">
        <v>0.052</v>
      </c>
      <c r="I37" s="344">
        <f>SUM(E37:H37)</f>
        <v/>
      </c>
      <c r="J37" s="343" t="n">
        <v>0.052</v>
      </c>
      <c r="K37" s="343" t="n">
        <v>0.052</v>
      </c>
      <c r="L37" s="343" t="n">
        <v>0.052</v>
      </c>
      <c r="M37" s="343" t="n">
        <v>0.052</v>
      </c>
      <c r="N37" s="344">
        <f>SUM(J37:M37)</f>
        <v/>
      </c>
      <c r="O37" s="343" t="n">
        <v>0.052</v>
      </c>
      <c r="P37" s="343" t="n">
        <v>0.052</v>
      </c>
      <c r="Q37" s="343" t="n">
        <v>0.052</v>
      </c>
      <c r="R37" s="343" t="n">
        <v>0.052</v>
      </c>
      <c r="S37" s="344">
        <f>SUM(O37:R37)</f>
        <v/>
      </c>
      <c r="T37" s="343" t="n">
        <v>0.052</v>
      </c>
      <c r="U37" s="343" t="n">
        <v>0.052</v>
      </c>
      <c r="V37" s="343" t="n">
        <v>0.052</v>
      </c>
      <c r="W37" s="343" t="n">
        <v>0.052</v>
      </c>
      <c r="X37" s="344">
        <f>SUM(T37:W37)</f>
        <v/>
      </c>
      <c r="Y37" s="343" t="n">
        <v>0.052</v>
      </c>
      <c r="Z37" s="343" t="n">
        <v>0.052</v>
      </c>
      <c r="AA37" s="343" t="n">
        <v>0.052</v>
      </c>
      <c r="AB37" s="343" t="n">
        <v>0.052</v>
      </c>
      <c r="AC37" s="344">
        <f>SUM(Y37:AB37)</f>
        <v/>
      </c>
      <c r="AD37" s="343" t="n">
        <v>0.052</v>
      </c>
      <c r="AE37" s="343" t="n">
        <v>0.052</v>
      </c>
      <c r="AF37" s="343" t="n">
        <v>0.052</v>
      </c>
      <c r="AG37" s="343" t="n">
        <v>0.052</v>
      </c>
      <c r="AH37" s="344">
        <f>SUM(AD37:AG37)</f>
        <v/>
      </c>
      <c r="AI37" s="343" t="n">
        <v>0.052</v>
      </c>
      <c r="AJ37" s="343" t="n">
        <v>0.052</v>
      </c>
      <c r="AK37" s="343" t="n">
        <v>0.052</v>
      </c>
      <c r="AL37" s="343" t="n">
        <v>0.052</v>
      </c>
      <c r="AM37" s="344">
        <f>SUM(AI37:AL37)</f>
        <v/>
      </c>
      <c r="AN37" s="343" t="n">
        <v>0.052</v>
      </c>
      <c r="AO37" s="343" t="n">
        <v>0.052</v>
      </c>
      <c r="AP37" s="343" t="n">
        <v>0.052</v>
      </c>
      <c r="AQ37" s="343" t="n">
        <v>0.052</v>
      </c>
      <c r="AR37" s="344">
        <f>SUM(AN37:AQ37)</f>
        <v/>
      </c>
    </row>
    <row r="38" ht="13.5" customHeight="1" s="290">
      <c r="A38" s="339" t="n"/>
      <c r="B38" s="340" t="inlineStr">
        <is>
          <t xml:space="preserve">  Attrition Rate — Junior  — Downside</t>
        </is>
      </c>
      <c r="E38" s="343" t="n">
        <v>0.08</v>
      </c>
      <c r="F38" s="343" t="n">
        <v>0.08</v>
      </c>
      <c r="G38" s="343" t="n">
        <v>0.08</v>
      </c>
      <c r="H38" s="343" t="n">
        <v>0.08</v>
      </c>
      <c r="I38" s="344">
        <f>SUM(E38:H38)</f>
        <v/>
      </c>
      <c r="J38" s="343" t="n">
        <v>0.08</v>
      </c>
      <c r="K38" s="343" t="n">
        <v>0.08</v>
      </c>
      <c r="L38" s="343" t="n">
        <v>0.08</v>
      </c>
      <c r="M38" s="343" t="n">
        <v>0.08</v>
      </c>
      <c r="N38" s="344">
        <f>SUM(J38:M38)</f>
        <v/>
      </c>
      <c r="O38" s="343" t="n">
        <v>0.08</v>
      </c>
      <c r="P38" s="343" t="n">
        <v>0.08</v>
      </c>
      <c r="Q38" s="343" t="n">
        <v>0.08</v>
      </c>
      <c r="R38" s="343" t="n">
        <v>0.08</v>
      </c>
      <c r="S38" s="344">
        <f>SUM(O38:R38)</f>
        <v/>
      </c>
      <c r="T38" s="343" t="n">
        <v>0.08</v>
      </c>
      <c r="U38" s="343" t="n">
        <v>0.08</v>
      </c>
      <c r="V38" s="343" t="n">
        <v>0.08</v>
      </c>
      <c r="W38" s="343" t="n">
        <v>0.08</v>
      </c>
      <c r="X38" s="344">
        <f>SUM(T38:W38)</f>
        <v/>
      </c>
      <c r="Y38" s="343" t="n">
        <v>0.08</v>
      </c>
      <c r="Z38" s="343" t="n">
        <v>0.08</v>
      </c>
      <c r="AA38" s="343" t="n">
        <v>0.08</v>
      </c>
      <c r="AB38" s="343" t="n">
        <v>0.08</v>
      </c>
      <c r="AC38" s="344">
        <f>SUM(Y38:AB38)</f>
        <v/>
      </c>
      <c r="AD38" s="343" t="n">
        <v>0.08</v>
      </c>
      <c r="AE38" s="343" t="n">
        <v>0.08</v>
      </c>
      <c r="AF38" s="343" t="n">
        <v>0.08</v>
      </c>
      <c r="AG38" s="343" t="n">
        <v>0.08</v>
      </c>
      <c r="AH38" s="344">
        <f>SUM(AD38:AG38)</f>
        <v/>
      </c>
      <c r="AI38" s="343" t="n">
        <v>0.08</v>
      </c>
      <c r="AJ38" s="343" t="n">
        <v>0.08</v>
      </c>
      <c r="AK38" s="343" t="n">
        <v>0.08</v>
      </c>
      <c r="AL38" s="343" t="n">
        <v>0.08</v>
      </c>
      <c r="AM38" s="344">
        <f>SUM(AI38:AL38)</f>
        <v/>
      </c>
      <c r="AN38" s="343" t="n">
        <v>0.08</v>
      </c>
      <c r="AO38" s="343" t="n">
        <v>0.08</v>
      </c>
      <c r="AP38" s="343" t="n">
        <v>0.08</v>
      </c>
      <c r="AQ38" s="343" t="n">
        <v>0.08</v>
      </c>
      <c r="AR38" s="344">
        <f>SUM(AN38:AQ38)</f>
        <v/>
      </c>
    </row>
    <row r="39" ht="13.5" customHeight="1" s="290">
      <c r="A39" s="345" t="n"/>
      <c r="B39" s="346" t="inlineStr">
        <is>
          <t xml:space="preserve">  Attrition Rate — Junior  — ★ ACTIVE</t>
        </is>
      </c>
      <c r="E39" s="361">
        <f>IF('01 Cover &amp; Control'!$C$19="Base",E36,IF('01 Cover &amp; Control'!$C$19="Upside",E37,E38))</f>
        <v/>
      </c>
      <c r="F39" s="361">
        <f>IF('01 Cover &amp; Control'!$C$19="Base",F36,IF('01 Cover &amp; Control'!$C$19="Upside",F37,F38))</f>
        <v/>
      </c>
      <c r="G39" s="361">
        <f>IF('01 Cover &amp; Control'!$C$19="Base",G36,IF('01 Cover &amp; Control'!$C$19="Upside",G37,G38))</f>
        <v/>
      </c>
      <c r="H39" s="361">
        <f>IF('01 Cover &amp; Control'!$C$19="Base",H36,IF('01 Cover &amp; Control'!$C$19="Upside",H37,H38))</f>
        <v/>
      </c>
      <c r="I39" s="347">
        <f>AVERAGE(E39:H39)</f>
        <v/>
      </c>
      <c r="J39" s="361">
        <f>IF('01 Cover &amp; Control'!$C$19="Base",J36,IF('01 Cover &amp; Control'!$C$19="Upside",J37,J38))</f>
        <v/>
      </c>
      <c r="K39" s="361">
        <f>IF('01 Cover &amp; Control'!$C$19="Base",K36,IF('01 Cover &amp; Control'!$C$19="Upside",K37,K38))</f>
        <v/>
      </c>
      <c r="L39" s="361">
        <f>IF('01 Cover &amp; Control'!$C$19="Base",L36,IF('01 Cover &amp; Control'!$C$19="Upside",L37,L38))</f>
        <v/>
      </c>
      <c r="M39" s="361">
        <f>IF('01 Cover &amp; Control'!$C$19="Base",M36,IF('01 Cover &amp; Control'!$C$19="Upside",M37,M38))</f>
        <v/>
      </c>
      <c r="N39" s="347">
        <f>AVERAGE(J39:M39)</f>
        <v/>
      </c>
      <c r="O39" s="361">
        <f>IF('01 Cover &amp; Control'!$C$19="Base",O36,IF('01 Cover &amp; Control'!$C$19="Upside",O37,O38))</f>
        <v/>
      </c>
      <c r="P39" s="361">
        <f>IF('01 Cover &amp; Control'!$C$19="Base",P36,IF('01 Cover &amp; Control'!$C$19="Upside",P37,P38))</f>
        <v/>
      </c>
      <c r="Q39" s="361">
        <f>IF('01 Cover &amp; Control'!$C$19="Base",Q36,IF('01 Cover &amp; Control'!$C$19="Upside",Q37,Q38))</f>
        <v/>
      </c>
      <c r="R39" s="361">
        <f>IF('01 Cover &amp; Control'!$C$19="Base",R36,IF('01 Cover &amp; Control'!$C$19="Upside",R37,R38))</f>
        <v/>
      </c>
      <c r="S39" s="347">
        <f>AVERAGE(O39:R39)</f>
        <v/>
      </c>
      <c r="T39" s="361">
        <f>IF('01 Cover &amp; Control'!$C$19="Base",T36,IF('01 Cover &amp; Control'!$C$19="Upside",T37,T38))</f>
        <v/>
      </c>
      <c r="U39" s="361">
        <f>IF('01 Cover &amp; Control'!$C$19="Base",U36,IF('01 Cover &amp; Control'!$C$19="Upside",U37,U38))</f>
        <v/>
      </c>
      <c r="V39" s="361">
        <f>IF('01 Cover &amp; Control'!$C$19="Base",V36,IF('01 Cover &amp; Control'!$C$19="Upside",V37,V38))</f>
        <v/>
      </c>
      <c r="W39" s="361">
        <f>IF('01 Cover &amp; Control'!$C$19="Base",W36,IF('01 Cover &amp; Control'!$C$19="Upside",W37,W38))</f>
        <v/>
      </c>
      <c r="X39" s="347">
        <f>AVERAGE(T39:W39)</f>
        <v/>
      </c>
      <c r="Y39" s="361">
        <f>IF('01 Cover &amp; Control'!$C$19="Base",Y36,IF('01 Cover &amp; Control'!$C$19="Upside",Y37,Y38))</f>
        <v/>
      </c>
      <c r="Z39" s="361">
        <f>IF('01 Cover &amp; Control'!$C$19="Base",Z36,IF('01 Cover &amp; Control'!$C$19="Upside",Z37,Z38))</f>
        <v/>
      </c>
      <c r="AA39" s="361">
        <f>IF('01 Cover &amp; Control'!$C$19="Base",AA36,IF('01 Cover &amp; Control'!$C$19="Upside",AA37,AA38))</f>
        <v/>
      </c>
      <c r="AB39" s="361">
        <f>IF('01 Cover &amp; Control'!$C$19="Base",AB36,IF('01 Cover &amp; Control'!$C$19="Upside",AB37,AB38))</f>
        <v/>
      </c>
      <c r="AC39" s="347">
        <f>AVERAGE(Y39:AB39)</f>
        <v/>
      </c>
      <c r="AD39" s="361">
        <f>IF('01 Cover &amp; Control'!$C$19="Base",AD36,IF('01 Cover &amp; Control'!$C$19="Upside",AD37,AD38))</f>
        <v/>
      </c>
      <c r="AE39" s="361">
        <f>IF('01 Cover &amp; Control'!$C$19="Base",AE36,IF('01 Cover &amp; Control'!$C$19="Upside",AE37,AE38))</f>
        <v/>
      </c>
      <c r="AF39" s="361">
        <f>IF('01 Cover &amp; Control'!$C$19="Base",AF36,IF('01 Cover &amp; Control'!$C$19="Upside",AF37,AF38))</f>
        <v/>
      </c>
      <c r="AG39" s="361">
        <f>IF('01 Cover &amp; Control'!$C$19="Base",AG36,IF('01 Cover &amp; Control'!$C$19="Upside",AG37,AG38))</f>
        <v/>
      </c>
      <c r="AH39" s="347">
        <f>AVERAGE(AD39:AG39)</f>
        <v/>
      </c>
      <c r="AI39" s="361">
        <f>IF('01 Cover &amp; Control'!$C$19="Base",AI36,IF('01 Cover &amp; Control'!$C$19="Upside",AI37,AI38))</f>
        <v/>
      </c>
      <c r="AJ39" s="361">
        <f>IF('01 Cover &amp; Control'!$C$19="Base",AJ36,IF('01 Cover &amp; Control'!$C$19="Upside",AJ37,AJ38))</f>
        <v/>
      </c>
      <c r="AK39" s="361">
        <f>IF('01 Cover &amp; Control'!$C$19="Base",AK36,IF('01 Cover &amp; Control'!$C$19="Upside",AK37,AK38))</f>
        <v/>
      </c>
      <c r="AL39" s="361">
        <f>IF('01 Cover &amp; Control'!$C$19="Base",AL36,IF('01 Cover &amp; Control'!$C$19="Upside",AL37,AL38))</f>
        <v/>
      </c>
      <c r="AM39" s="347">
        <f>AVERAGE(AI39:AL39)</f>
        <v/>
      </c>
      <c r="AN39" s="361">
        <f>IF('01 Cover &amp; Control'!$C$19="Base",AN36,IF('01 Cover &amp; Control'!$C$19="Upside",AN37,AN38))</f>
        <v/>
      </c>
      <c r="AO39" s="361">
        <f>IF('01 Cover &amp; Control'!$C$19="Base",AO36,IF('01 Cover &amp; Control'!$C$19="Upside",AO37,AO38))</f>
        <v/>
      </c>
      <c r="AP39" s="361">
        <f>IF('01 Cover &amp; Control'!$C$19="Base",AP36,IF('01 Cover &amp; Control'!$C$19="Upside",AP37,AP38))</f>
        <v/>
      </c>
      <c r="AQ39" s="361">
        <f>IF('01 Cover &amp; Control'!$C$19="Base",AQ36,IF('01 Cover &amp; Control'!$C$19="Upside",AQ37,AQ38))</f>
        <v/>
      </c>
      <c r="AR39" s="347">
        <f>AVERAGE(AN39:AQ39)</f>
        <v/>
      </c>
    </row>
    <row r="40" ht="3.75" customHeight="1" s="290"/>
    <row r="41" ht="3" customHeight="1" s="290">
      <c r="A41" s="293" t="n"/>
    </row>
    <row r="42" ht="3.75" customHeight="1" s="290"/>
    <row r="43" ht="15" customHeight="1" s="290">
      <c r="A43" s="307" t="inlineStr">
        <is>
          <t xml:space="preserve">    INVESTMENT SALES — HEADCOUNT</t>
        </is>
      </c>
    </row>
    <row r="44" ht="3" customHeight="1" s="290"/>
    <row r="45" ht="13.5" customHeight="1" s="290">
      <c r="A45" s="339" t="n"/>
      <c r="B45" s="357" t="inlineStr">
        <is>
          <t xml:space="preserve">  Beginning HC — Rainmaker</t>
        </is>
      </c>
      <c r="C45" s="341" t="inlineStr">
        <is>
          <t>#</t>
        </is>
      </c>
      <c r="D45" s="342" t="inlineStr">
        <is>
          <t>Input: actuals for hist period; forecast = prior yr ending HC. Used directly in EPE formula.</t>
        </is>
      </c>
      <c r="E45" s="343" t="n">
        <v>6</v>
      </c>
      <c r="F45" s="343" t="n"/>
      <c r="G45" s="343" t="n"/>
      <c r="H45" s="343" t="n"/>
      <c r="I45" s="344">
        <f>SUM(E45:H45)</f>
        <v/>
      </c>
      <c r="J45" s="343" t="n"/>
      <c r="K45" s="343" t="n"/>
      <c r="L45" s="343" t="n"/>
      <c r="M45" s="343" t="n"/>
      <c r="N45" s="344">
        <f>SUM(J45:M45)</f>
        <v/>
      </c>
      <c r="O45" s="343" t="n"/>
      <c r="P45" s="343" t="n"/>
      <c r="Q45" s="343" t="n"/>
      <c r="R45" s="343" t="n"/>
      <c r="S45" s="344">
        <f>SUM(O45:R45)</f>
        <v/>
      </c>
      <c r="T45" s="343" t="n"/>
      <c r="U45" s="343" t="n"/>
      <c r="V45" s="343" t="n"/>
      <c r="W45" s="343" t="n"/>
      <c r="X45" s="344">
        <f>SUM(T45:W45)</f>
        <v/>
      </c>
      <c r="Y45" s="343" t="n"/>
      <c r="Z45" s="343" t="n"/>
      <c r="AA45" s="343" t="n"/>
      <c r="AB45" s="343" t="n"/>
      <c r="AC45" s="344">
        <f>SUM(Y45:AB45)</f>
        <v/>
      </c>
      <c r="AD45" s="343" t="n"/>
      <c r="AE45" s="343" t="n"/>
      <c r="AF45" s="343" t="n"/>
      <c r="AG45" s="343" t="n"/>
      <c r="AH45" s="344">
        <f>SUM(AD45:AG45)</f>
        <v/>
      </c>
      <c r="AI45" s="343" t="n"/>
      <c r="AJ45" s="343" t="n"/>
      <c r="AK45" s="343" t="n"/>
      <c r="AL45" s="343" t="n"/>
      <c r="AM45" s="344">
        <f>SUM(AI45:AL45)</f>
        <v/>
      </c>
      <c r="AN45" s="343" t="n"/>
      <c r="AO45" s="343" t="n"/>
      <c r="AP45" s="343" t="n"/>
      <c r="AQ45" s="343" t="n"/>
      <c r="AR45" s="344">
        <f>SUM(AN45:AQ45)</f>
        <v/>
      </c>
    </row>
    <row r="46" ht="13.5" customHeight="1" s="290">
      <c r="A46" s="339" t="n"/>
      <c r="B46" s="340" t="inlineStr">
        <is>
          <t xml:space="preserve">  Gross Hires / Qtr — Rainmaker  — Base</t>
        </is>
      </c>
      <c r="C46" s="341" t="inlineStr">
        <is>
          <t>#/qtr</t>
        </is>
      </c>
      <c r="D46" s="342" t="inlineStr">
        <is>
          <t>Scenario-keyed. Upside = faster hiring. Downside = slower/failed hiring.</t>
        </is>
      </c>
      <c r="E46" s="343" t="n">
        <v>0.4</v>
      </c>
      <c r="F46" s="343" t="n">
        <v>0.4</v>
      </c>
      <c r="G46" s="343" t="n">
        <v>0.4</v>
      </c>
      <c r="H46" s="343" t="n">
        <v>0.4</v>
      </c>
      <c r="I46" s="344">
        <f>SUM(E46:H46)</f>
        <v/>
      </c>
      <c r="J46" s="343" t="n">
        <v>0.4</v>
      </c>
      <c r="K46" s="343" t="n">
        <v>0.4</v>
      </c>
      <c r="L46" s="343" t="n">
        <v>0.4</v>
      </c>
      <c r="M46" s="343" t="n">
        <v>0.4</v>
      </c>
      <c r="N46" s="344">
        <f>SUM(J46:M46)</f>
        <v/>
      </c>
      <c r="O46" s="343" t="n">
        <v>0.4</v>
      </c>
      <c r="P46" s="343" t="n">
        <v>0.4</v>
      </c>
      <c r="Q46" s="343" t="n">
        <v>0.4</v>
      </c>
      <c r="R46" s="343" t="n">
        <v>0.4</v>
      </c>
      <c r="S46" s="344">
        <f>SUM(O46:R46)</f>
        <v/>
      </c>
      <c r="T46" s="343" t="n">
        <v>0.4</v>
      </c>
      <c r="U46" s="343" t="n">
        <v>0.4</v>
      </c>
      <c r="V46" s="343" t="n">
        <v>0.4</v>
      </c>
      <c r="W46" s="343" t="n">
        <v>0.4</v>
      </c>
      <c r="X46" s="344">
        <f>SUM(T46:W46)</f>
        <v/>
      </c>
      <c r="Y46" s="343" t="n">
        <v>0.4</v>
      </c>
      <c r="Z46" s="343" t="n">
        <v>0.4</v>
      </c>
      <c r="AA46" s="343" t="n">
        <v>0.4</v>
      </c>
      <c r="AB46" s="343" t="n">
        <v>0.4</v>
      </c>
      <c r="AC46" s="344">
        <f>SUM(Y46:AB46)</f>
        <v/>
      </c>
      <c r="AD46" s="343" t="n">
        <v>0.4</v>
      </c>
      <c r="AE46" s="343" t="n">
        <v>0.4</v>
      </c>
      <c r="AF46" s="343" t="n">
        <v>0.4</v>
      </c>
      <c r="AG46" s="343" t="n">
        <v>0.4</v>
      </c>
      <c r="AH46" s="344">
        <f>SUM(AD46:AG46)</f>
        <v/>
      </c>
      <c r="AI46" s="343" t="n">
        <v>0.4</v>
      </c>
      <c r="AJ46" s="343" t="n">
        <v>0.4</v>
      </c>
      <c r="AK46" s="343" t="n">
        <v>0.4</v>
      </c>
      <c r="AL46" s="343" t="n">
        <v>0.4</v>
      </c>
      <c r="AM46" s="344">
        <f>SUM(AI46:AL46)</f>
        <v/>
      </c>
      <c r="AN46" s="343" t="n">
        <v>0.4</v>
      </c>
      <c r="AO46" s="343" t="n">
        <v>0.4</v>
      </c>
      <c r="AP46" s="343" t="n">
        <v>0.4</v>
      </c>
      <c r="AQ46" s="343" t="n">
        <v>0.4</v>
      </c>
      <c r="AR46" s="344">
        <f>SUM(AN46:AQ46)</f>
        <v/>
      </c>
    </row>
    <row r="47" ht="13.5" customHeight="1" s="290">
      <c r="A47" s="339" t="n"/>
      <c r="B47" s="340" t="inlineStr">
        <is>
          <t xml:space="preserve">  Gross Hires / Qtr — Rainmaker  — Upside</t>
        </is>
      </c>
      <c r="E47" s="343" t="n">
        <v>0.45</v>
      </c>
      <c r="F47" s="343" t="n">
        <v>0.45</v>
      </c>
      <c r="G47" s="343" t="n">
        <v>0.45</v>
      </c>
      <c r="H47" s="343" t="n">
        <v>0.45</v>
      </c>
      <c r="I47" s="344">
        <f>SUM(E47:H47)</f>
        <v/>
      </c>
      <c r="J47" s="343" t="n">
        <v>0.45</v>
      </c>
      <c r="K47" s="343" t="n">
        <v>0.45</v>
      </c>
      <c r="L47" s="343" t="n">
        <v>0.45</v>
      </c>
      <c r="M47" s="343" t="n">
        <v>0.45</v>
      </c>
      <c r="N47" s="344">
        <f>SUM(J47:M47)</f>
        <v/>
      </c>
      <c r="O47" s="343" t="n">
        <v>0.45</v>
      </c>
      <c r="P47" s="343" t="n">
        <v>0.45</v>
      </c>
      <c r="Q47" s="343" t="n">
        <v>0.45</v>
      </c>
      <c r="R47" s="343" t="n">
        <v>0.45</v>
      </c>
      <c r="S47" s="344">
        <f>SUM(O47:R47)</f>
        <v/>
      </c>
      <c r="T47" s="343" t="n">
        <v>0.45</v>
      </c>
      <c r="U47" s="343" t="n">
        <v>0.45</v>
      </c>
      <c r="V47" s="343" t="n">
        <v>0.45</v>
      </c>
      <c r="W47" s="343" t="n">
        <v>0.45</v>
      </c>
      <c r="X47" s="344">
        <f>SUM(T47:W47)</f>
        <v/>
      </c>
      <c r="Y47" s="343" t="n">
        <v>0.45</v>
      </c>
      <c r="Z47" s="343" t="n">
        <v>0.45</v>
      </c>
      <c r="AA47" s="343" t="n">
        <v>0.45</v>
      </c>
      <c r="AB47" s="343" t="n">
        <v>0.45</v>
      </c>
      <c r="AC47" s="344">
        <f>SUM(Y47:AB47)</f>
        <v/>
      </c>
      <c r="AD47" s="343" t="n">
        <v>0.45</v>
      </c>
      <c r="AE47" s="343" t="n">
        <v>0.45</v>
      </c>
      <c r="AF47" s="343" t="n">
        <v>0.45</v>
      </c>
      <c r="AG47" s="343" t="n">
        <v>0.45</v>
      </c>
      <c r="AH47" s="344">
        <f>SUM(AD47:AG47)</f>
        <v/>
      </c>
      <c r="AI47" s="343" t="n">
        <v>0.45</v>
      </c>
      <c r="AJ47" s="343" t="n">
        <v>0.45</v>
      </c>
      <c r="AK47" s="343" t="n">
        <v>0.45</v>
      </c>
      <c r="AL47" s="343" t="n">
        <v>0.45</v>
      </c>
      <c r="AM47" s="344">
        <f>SUM(AI47:AL47)</f>
        <v/>
      </c>
      <c r="AN47" s="343" t="n">
        <v>0.45</v>
      </c>
      <c r="AO47" s="343" t="n">
        <v>0.45</v>
      </c>
      <c r="AP47" s="343" t="n">
        <v>0.45</v>
      </c>
      <c r="AQ47" s="343" t="n">
        <v>0.45</v>
      </c>
      <c r="AR47" s="344">
        <f>SUM(AN47:AQ47)</f>
        <v/>
      </c>
    </row>
    <row r="48" ht="13.5" customHeight="1" s="290">
      <c r="A48" s="339" t="n"/>
      <c r="B48" s="340" t="inlineStr">
        <is>
          <t xml:space="preserve">  Gross Hires / Qtr — Rainmaker  — Downside</t>
        </is>
      </c>
      <c r="E48" s="343" t="n">
        <v>0.34</v>
      </c>
      <c r="F48" s="343" t="n">
        <v>0.34</v>
      </c>
      <c r="G48" s="343" t="n">
        <v>0.34</v>
      </c>
      <c r="H48" s="343" t="n">
        <v>0.34</v>
      </c>
      <c r="I48" s="344">
        <f>SUM(E48:H48)</f>
        <v/>
      </c>
      <c r="J48" s="343" t="n">
        <v>0.34</v>
      </c>
      <c r="K48" s="343" t="n">
        <v>0.34</v>
      </c>
      <c r="L48" s="343" t="n">
        <v>0.34</v>
      </c>
      <c r="M48" s="343" t="n">
        <v>0.34</v>
      </c>
      <c r="N48" s="344">
        <f>SUM(J48:M48)</f>
        <v/>
      </c>
      <c r="O48" s="343" t="n">
        <v>0.34</v>
      </c>
      <c r="P48" s="343" t="n">
        <v>0.34</v>
      </c>
      <c r="Q48" s="343" t="n">
        <v>0.34</v>
      </c>
      <c r="R48" s="343" t="n">
        <v>0.34</v>
      </c>
      <c r="S48" s="344">
        <f>SUM(O48:R48)</f>
        <v/>
      </c>
      <c r="T48" s="343" t="n">
        <v>0.34</v>
      </c>
      <c r="U48" s="343" t="n">
        <v>0.34</v>
      </c>
      <c r="V48" s="343" t="n">
        <v>0.34</v>
      </c>
      <c r="W48" s="343" t="n">
        <v>0.34</v>
      </c>
      <c r="X48" s="344">
        <f>SUM(T48:W48)</f>
        <v/>
      </c>
      <c r="Y48" s="343" t="n">
        <v>0.34</v>
      </c>
      <c r="Z48" s="343" t="n">
        <v>0.34</v>
      </c>
      <c r="AA48" s="343" t="n">
        <v>0.34</v>
      </c>
      <c r="AB48" s="343" t="n">
        <v>0.34</v>
      </c>
      <c r="AC48" s="344">
        <f>SUM(Y48:AB48)</f>
        <v/>
      </c>
      <c r="AD48" s="343" t="n">
        <v>0.34</v>
      </c>
      <c r="AE48" s="343" t="n">
        <v>0.34</v>
      </c>
      <c r="AF48" s="343" t="n">
        <v>0.34</v>
      </c>
      <c r="AG48" s="343" t="n">
        <v>0.34</v>
      </c>
      <c r="AH48" s="344">
        <f>SUM(AD48:AG48)</f>
        <v/>
      </c>
      <c r="AI48" s="343" t="n">
        <v>0.34</v>
      </c>
      <c r="AJ48" s="343" t="n">
        <v>0.34</v>
      </c>
      <c r="AK48" s="343" t="n">
        <v>0.34</v>
      </c>
      <c r="AL48" s="343" t="n">
        <v>0.34</v>
      </c>
      <c r="AM48" s="344">
        <f>SUM(AI48:AL48)</f>
        <v/>
      </c>
      <c r="AN48" s="343" t="n">
        <v>0.34</v>
      </c>
      <c r="AO48" s="343" t="n">
        <v>0.34</v>
      </c>
      <c r="AP48" s="343" t="n">
        <v>0.34</v>
      </c>
      <c r="AQ48" s="343" t="n">
        <v>0.34</v>
      </c>
      <c r="AR48" s="344">
        <f>SUM(AN48:AQ48)</f>
        <v/>
      </c>
    </row>
    <row r="49" ht="13.5" customHeight="1" s="290">
      <c r="A49" s="345" t="n"/>
      <c r="B49" s="346" t="inlineStr">
        <is>
          <t xml:space="preserve">  Gross Hires / Qtr — Rainmaker  — ★ ACTIVE</t>
        </is>
      </c>
      <c r="E49" s="361">
        <f>IF('01 Cover &amp; Control'!$C$19="Base",E46,IF('01 Cover &amp; Control'!$C$19="Upside",E47,E48))</f>
        <v/>
      </c>
      <c r="F49" s="361">
        <f>IF('01 Cover &amp; Control'!$C$19="Base",F46,IF('01 Cover &amp; Control'!$C$19="Upside",F47,F48))</f>
        <v/>
      </c>
      <c r="G49" s="361">
        <f>IF('01 Cover &amp; Control'!$C$19="Base",G46,IF('01 Cover &amp; Control'!$C$19="Upside",G47,G48))</f>
        <v/>
      </c>
      <c r="H49" s="361">
        <f>IF('01 Cover &amp; Control'!$C$19="Base",H46,IF('01 Cover &amp; Control'!$C$19="Upside",H47,H48))</f>
        <v/>
      </c>
      <c r="I49" s="347">
        <f>SUM(E49:H49)</f>
        <v/>
      </c>
      <c r="J49" s="361">
        <f>IF('01 Cover &amp; Control'!$C$19="Base",J46,IF('01 Cover &amp; Control'!$C$19="Upside",J47,J48))</f>
        <v/>
      </c>
      <c r="K49" s="361">
        <f>IF('01 Cover &amp; Control'!$C$19="Base",K46,IF('01 Cover &amp; Control'!$C$19="Upside",K47,K48))</f>
        <v/>
      </c>
      <c r="L49" s="361">
        <f>IF('01 Cover &amp; Control'!$C$19="Base",L46,IF('01 Cover &amp; Control'!$C$19="Upside",L47,L48))</f>
        <v/>
      </c>
      <c r="M49" s="361">
        <f>IF('01 Cover &amp; Control'!$C$19="Base",M46,IF('01 Cover &amp; Control'!$C$19="Upside",M47,M48))</f>
        <v/>
      </c>
      <c r="N49" s="347">
        <f>SUM(J49:M49)</f>
        <v/>
      </c>
      <c r="O49" s="361">
        <f>IF('01 Cover &amp; Control'!$C$19="Base",O46,IF('01 Cover &amp; Control'!$C$19="Upside",O47,O48))</f>
        <v/>
      </c>
      <c r="P49" s="361">
        <f>IF('01 Cover &amp; Control'!$C$19="Base",P46,IF('01 Cover &amp; Control'!$C$19="Upside",P47,P48))</f>
        <v/>
      </c>
      <c r="Q49" s="361">
        <f>IF('01 Cover &amp; Control'!$C$19="Base",Q46,IF('01 Cover &amp; Control'!$C$19="Upside",Q47,Q48))</f>
        <v/>
      </c>
      <c r="R49" s="361">
        <f>IF('01 Cover &amp; Control'!$C$19="Base",R46,IF('01 Cover &amp; Control'!$C$19="Upside",R47,R48))</f>
        <v/>
      </c>
      <c r="S49" s="347">
        <f>SUM(O49:R49)</f>
        <v/>
      </c>
      <c r="T49" s="361">
        <f>IF('01 Cover &amp; Control'!$C$19="Base",T46,IF('01 Cover &amp; Control'!$C$19="Upside",T47,T48))</f>
        <v/>
      </c>
      <c r="U49" s="361">
        <f>IF('01 Cover &amp; Control'!$C$19="Base",U46,IF('01 Cover &amp; Control'!$C$19="Upside",U47,U48))</f>
        <v/>
      </c>
      <c r="V49" s="361">
        <f>IF('01 Cover &amp; Control'!$C$19="Base",V46,IF('01 Cover &amp; Control'!$C$19="Upside",V47,V48))</f>
        <v/>
      </c>
      <c r="W49" s="361">
        <f>IF('01 Cover &amp; Control'!$C$19="Base",W46,IF('01 Cover &amp; Control'!$C$19="Upside",W47,W48))</f>
        <v/>
      </c>
      <c r="X49" s="347">
        <f>SUM(T49:W49)</f>
        <v/>
      </c>
      <c r="Y49" s="361">
        <f>IF('01 Cover &amp; Control'!$C$19="Base",Y46,IF('01 Cover &amp; Control'!$C$19="Upside",Y47,Y48))</f>
        <v/>
      </c>
      <c r="Z49" s="361">
        <f>IF('01 Cover &amp; Control'!$C$19="Base",Z46,IF('01 Cover &amp; Control'!$C$19="Upside",Z47,Z48))</f>
        <v/>
      </c>
      <c r="AA49" s="361">
        <f>IF('01 Cover &amp; Control'!$C$19="Base",AA46,IF('01 Cover &amp; Control'!$C$19="Upside",AA47,AA48))</f>
        <v/>
      </c>
      <c r="AB49" s="361">
        <f>IF('01 Cover &amp; Control'!$C$19="Base",AB46,IF('01 Cover &amp; Control'!$C$19="Upside",AB47,AB48))</f>
        <v/>
      </c>
      <c r="AC49" s="347">
        <f>SUM(Y49:AB49)</f>
        <v/>
      </c>
      <c r="AD49" s="361">
        <f>IF('01 Cover &amp; Control'!$C$19="Base",AD46,IF('01 Cover &amp; Control'!$C$19="Upside",AD47,AD48))</f>
        <v/>
      </c>
      <c r="AE49" s="361">
        <f>IF('01 Cover &amp; Control'!$C$19="Base",AE46,IF('01 Cover &amp; Control'!$C$19="Upside",AE47,AE48))</f>
        <v/>
      </c>
      <c r="AF49" s="361">
        <f>IF('01 Cover &amp; Control'!$C$19="Base",AF46,IF('01 Cover &amp; Control'!$C$19="Upside",AF47,AF48))</f>
        <v/>
      </c>
      <c r="AG49" s="361">
        <f>IF('01 Cover &amp; Control'!$C$19="Base",AG46,IF('01 Cover &amp; Control'!$C$19="Upside",AG47,AG48))</f>
        <v/>
      </c>
      <c r="AH49" s="347">
        <f>SUM(AD49:AG49)</f>
        <v/>
      </c>
      <c r="AI49" s="361">
        <f>IF('01 Cover &amp; Control'!$C$19="Base",AI46,IF('01 Cover &amp; Control'!$C$19="Upside",AI47,AI48))</f>
        <v/>
      </c>
      <c r="AJ49" s="361">
        <f>IF('01 Cover &amp; Control'!$C$19="Base",AJ46,IF('01 Cover &amp; Control'!$C$19="Upside",AJ47,AJ48))</f>
        <v/>
      </c>
      <c r="AK49" s="361">
        <f>IF('01 Cover &amp; Control'!$C$19="Base",AK46,IF('01 Cover &amp; Control'!$C$19="Upside",AK47,AK48))</f>
        <v/>
      </c>
      <c r="AL49" s="361">
        <f>IF('01 Cover &amp; Control'!$C$19="Base",AL46,IF('01 Cover &amp; Control'!$C$19="Upside",AL47,AL48))</f>
        <v/>
      </c>
      <c r="AM49" s="347">
        <f>SUM(AI49:AL49)</f>
        <v/>
      </c>
      <c r="AN49" s="361">
        <f>IF('01 Cover &amp; Control'!$C$19="Base",AN46,IF('01 Cover &amp; Control'!$C$19="Upside",AN47,AN48))</f>
        <v/>
      </c>
      <c r="AO49" s="361">
        <f>IF('01 Cover &amp; Control'!$C$19="Base",AO46,IF('01 Cover &amp; Control'!$C$19="Upside",AO47,AO48))</f>
        <v/>
      </c>
      <c r="AP49" s="361">
        <f>IF('01 Cover &amp; Control'!$C$19="Base",AP46,IF('01 Cover &amp; Control'!$C$19="Upside",AP47,AP48))</f>
        <v/>
      </c>
      <c r="AQ49" s="361">
        <f>IF('01 Cover &amp; Control'!$C$19="Base",AQ46,IF('01 Cover &amp; Control'!$C$19="Upside",AQ47,AQ48))</f>
        <v/>
      </c>
      <c r="AR49" s="347">
        <f>SUM(AN49:AQ49)</f>
        <v/>
      </c>
    </row>
    <row r="50" ht="13.5" customHeight="1" s="290">
      <c r="A50" s="339" t="n"/>
      <c r="B50" s="340" t="inlineStr">
        <is>
          <t xml:space="preserve">  Attrition Rate — Rainmaker  — Base</t>
        </is>
      </c>
      <c r="C50" s="341" t="inlineStr">
        <is>
          <t>%/qtr</t>
        </is>
      </c>
      <c r="D50" s="342" t="inlineStr">
        <is>
          <t>Quarterly attrition rate applied to Beginning HC. Upside = lower attrition (strong market). Downside = higher (competitors poach).</t>
        </is>
      </c>
      <c r="E50" s="343" t="n">
        <v>0.02</v>
      </c>
      <c r="F50" s="343" t="n">
        <v>0.02</v>
      </c>
      <c r="G50" s="343" t="n">
        <v>0.02</v>
      </c>
      <c r="H50" s="343" t="n">
        <v>0.02</v>
      </c>
      <c r="I50" s="344">
        <f>SUM(E50:H50)</f>
        <v/>
      </c>
      <c r="J50" s="343" t="n">
        <v>0.02</v>
      </c>
      <c r="K50" s="343" t="n">
        <v>0.02</v>
      </c>
      <c r="L50" s="343" t="n">
        <v>0.02</v>
      </c>
      <c r="M50" s="343" t="n">
        <v>0.02</v>
      </c>
      <c r="N50" s="344">
        <f>SUM(J50:M50)</f>
        <v/>
      </c>
      <c r="O50" s="343" t="n">
        <v>0.02</v>
      </c>
      <c r="P50" s="343" t="n">
        <v>0.02</v>
      </c>
      <c r="Q50" s="343" t="n">
        <v>0.02</v>
      </c>
      <c r="R50" s="343" t="n">
        <v>0.02</v>
      </c>
      <c r="S50" s="344">
        <f>SUM(O50:R50)</f>
        <v/>
      </c>
      <c r="T50" s="343" t="n">
        <v>0.02</v>
      </c>
      <c r="U50" s="343" t="n">
        <v>0.02</v>
      </c>
      <c r="V50" s="343" t="n">
        <v>0.02</v>
      </c>
      <c r="W50" s="343" t="n">
        <v>0.02</v>
      </c>
      <c r="X50" s="344">
        <f>SUM(T50:W50)</f>
        <v/>
      </c>
      <c r="Y50" s="343" t="n">
        <v>0.02</v>
      </c>
      <c r="Z50" s="343" t="n">
        <v>0.02</v>
      </c>
      <c r="AA50" s="343" t="n">
        <v>0.02</v>
      </c>
      <c r="AB50" s="343" t="n">
        <v>0.02</v>
      </c>
      <c r="AC50" s="344">
        <f>SUM(Y50:AB50)</f>
        <v/>
      </c>
      <c r="AD50" s="343" t="n">
        <v>0.02</v>
      </c>
      <c r="AE50" s="343" t="n">
        <v>0.02</v>
      </c>
      <c r="AF50" s="343" t="n">
        <v>0.02</v>
      </c>
      <c r="AG50" s="343" t="n">
        <v>0.02</v>
      </c>
      <c r="AH50" s="344">
        <f>SUM(AD50:AG50)</f>
        <v/>
      </c>
      <c r="AI50" s="343" t="n">
        <v>0.02</v>
      </c>
      <c r="AJ50" s="343" t="n">
        <v>0.02</v>
      </c>
      <c r="AK50" s="343" t="n">
        <v>0.02</v>
      </c>
      <c r="AL50" s="343" t="n">
        <v>0.02</v>
      </c>
      <c r="AM50" s="344">
        <f>SUM(AI50:AL50)</f>
        <v/>
      </c>
      <c r="AN50" s="343" t="n">
        <v>0.02</v>
      </c>
      <c r="AO50" s="343" t="n">
        <v>0.02</v>
      </c>
      <c r="AP50" s="343" t="n">
        <v>0.02</v>
      </c>
      <c r="AQ50" s="343" t="n">
        <v>0.02</v>
      </c>
      <c r="AR50" s="344">
        <f>SUM(AN50:AQ50)</f>
        <v/>
      </c>
    </row>
    <row r="51" ht="13.5" customHeight="1" s="290">
      <c r="A51" s="339" t="n"/>
      <c r="B51" s="340" t="inlineStr">
        <is>
          <t xml:space="preserve">  Attrition Rate — Rainmaker  — Upside</t>
        </is>
      </c>
      <c r="E51" s="343" t="n">
        <v>0.018</v>
      </c>
      <c r="F51" s="343" t="n">
        <v>0.018</v>
      </c>
      <c r="G51" s="343" t="n">
        <v>0.018</v>
      </c>
      <c r="H51" s="343" t="n">
        <v>0.018</v>
      </c>
      <c r="I51" s="344">
        <f>SUM(E51:H51)</f>
        <v/>
      </c>
      <c r="J51" s="343" t="n">
        <v>0.018</v>
      </c>
      <c r="K51" s="343" t="n">
        <v>0.018</v>
      </c>
      <c r="L51" s="343" t="n">
        <v>0.018</v>
      </c>
      <c r="M51" s="343" t="n">
        <v>0.018</v>
      </c>
      <c r="N51" s="344">
        <f>SUM(J51:M51)</f>
        <v/>
      </c>
      <c r="O51" s="343" t="n">
        <v>0.018</v>
      </c>
      <c r="P51" s="343" t="n">
        <v>0.018</v>
      </c>
      <c r="Q51" s="343" t="n">
        <v>0.018</v>
      </c>
      <c r="R51" s="343" t="n">
        <v>0.018</v>
      </c>
      <c r="S51" s="344">
        <f>SUM(O51:R51)</f>
        <v/>
      </c>
      <c r="T51" s="343" t="n">
        <v>0.018</v>
      </c>
      <c r="U51" s="343" t="n">
        <v>0.018</v>
      </c>
      <c r="V51" s="343" t="n">
        <v>0.018</v>
      </c>
      <c r="W51" s="343" t="n">
        <v>0.018</v>
      </c>
      <c r="X51" s="344">
        <f>SUM(T51:W51)</f>
        <v/>
      </c>
      <c r="Y51" s="343" t="n">
        <v>0.018</v>
      </c>
      <c r="Z51" s="343" t="n">
        <v>0.018</v>
      </c>
      <c r="AA51" s="343" t="n">
        <v>0.018</v>
      </c>
      <c r="AB51" s="343" t="n">
        <v>0.018</v>
      </c>
      <c r="AC51" s="344">
        <f>SUM(Y51:AB51)</f>
        <v/>
      </c>
      <c r="AD51" s="343" t="n">
        <v>0.018</v>
      </c>
      <c r="AE51" s="343" t="n">
        <v>0.018</v>
      </c>
      <c r="AF51" s="343" t="n">
        <v>0.018</v>
      </c>
      <c r="AG51" s="343" t="n">
        <v>0.018</v>
      </c>
      <c r="AH51" s="344">
        <f>SUM(AD51:AG51)</f>
        <v/>
      </c>
      <c r="AI51" s="343" t="n">
        <v>0.018</v>
      </c>
      <c r="AJ51" s="343" t="n">
        <v>0.018</v>
      </c>
      <c r="AK51" s="343" t="n">
        <v>0.018</v>
      </c>
      <c r="AL51" s="343" t="n">
        <v>0.018</v>
      </c>
      <c r="AM51" s="344">
        <f>SUM(AI51:AL51)</f>
        <v/>
      </c>
      <c r="AN51" s="343" t="n">
        <v>0.018</v>
      </c>
      <c r="AO51" s="343" t="n">
        <v>0.018</v>
      </c>
      <c r="AP51" s="343" t="n">
        <v>0.018</v>
      </c>
      <c r="AQ51" s="343" t="n">
        <v>0.018</v>
      </c>
      <c r="AR51" s="344">
        <f>SUM(AN51:AQ51)</f>
        <v/>
      </c>
    </row>
    <row r="52" ht="13.5" customHeight="1" s="290">
      <c r="A52" s="339" t="n"/>
      <c r="B52" s="340" t="inlineStr">
        <is>
          <t xml:space="preserve">  Attrition Rate — Rainmaker  — Downside</t>
        </is>
      </c>
      <c r="E52" s="343" t="n">
        <v>0.03</v>
      </c>
      <c r="F52" s="343" t="n">
        <v>0.03</v>
      </c>
      <c r="G52" s="343" t="n">
        <v>0.03</v>
      </c>
      <c r="H52" s="343" t="n">
        <v>0.03</v>
      </c>
      <c r="I52" s="344">
        <f>SUM(E52:H52)</f>
        <v/>
      </c>
      <c r="J52" s="343" t="n">
        <v>0.03</v>
      </c>
      <c r="K52" s="343" t="n">
        <v>0.03</v>
      </c>
      <c r="L52" s="343" t="n">
        <v>0.03</v>
      </c>
      <c r="M52" s="343" t="n">
        <v>0.03</v>
      </c>
      <c r="N52" s="344">
        <f>SUM(J52:M52)</f>
        <v/>
      </c>
      <c r="O52" s="343" t="n">
        <v>0.03</v>
      </c>
      <c r="P52" s="343" t="n">
        <v>0.03</v>
      </c>
      <c r="Q52" s="343" t="n">
        <v>0.03</v>
      </c>
      <c r="R52" s="343" t="n">
        <v>0.03</v>
      </c>
      <c r="S52" s="344">
        <f>SUM(O52:R52)</f>
        <v/>
      </c>
      <c r="T52" s="343" t="n">
        <v>0.03</v>
      </c>
      <c r="U52" s="343" t="n">
        <v>0.03</v>
      </c>
      <c r="V52" s="343" t="n">
        <v>0.03</v>
      </c>
      <c r="W52" s="343" t="n">
        <v>0.03</v>
      </c>
      <c r="X52" s="344">
        <f>SUM(T52:W52)</f>
        <v/>
      </c>
      <c r="Y52" s="343" t="n">
        <v>0.03</v>
      </c>
      <c r="Z52" s="343" t="n">
        <v>0.03</v>
      </c>
      <c r="AA52" s="343" t="n">
        <v>0.03</v>
      </c>
      <c r="AB52" s="343" t="n">
        <v>0.03</v>
      </c>
      <c r="AC52" s="344">
        <f>SUM(Y52:AB52)</f>
        <v/>
      </c>
      <c r="AD52" s="343" t="n">
        <v>0.03</v>
      </c>
      <c r="AE52" s="343" t="n">
        <v>0.03</v>
      </c>
      <c r="AF52" s="343" t="n">
        <v>0.03</v>
      </c>
      <c r="AG52" s="343" t="n">
        <v>0.03</v>
      </c>
      <c r="AH52" s="344">
        <f>SUM(AD52:AG52)</f>
        <v/>
      </c>
      <c r="AI52" s="343" t="n">
        <v>0.03</v>
      </c>
      <c r="AJ52" s="343" t="n">
        <v>0.03</v>
      </c>
      <c r="AK52" s="343" t="n">
        <v>0.03</v>
      </c>
      <c r="AL52" s="343" t="n">
        <v>0.03</v>
      </c>
      <c r="AM52" s="344">
        <f>SUM(AI52:AL52)</f>
        <v/>
      </c>
      <c r="AN52" s="343" t="n">
        <v>0.03</v>
      </c>
      <c r="AO52" s="343" t="n">
        <v>0.03</v>
      </c>
      <c r="AP52" s="343" t="n">
        <v>0.03</v>
      </c>
      <c r="AQ52" s="343" t="n">
        <v>0.03</v>
      </c>
      <c r="AR52" s="344">
        <f>SUM(AN52:AQ52)</f>
        <v/>
      </c>
    </row>
    <row r="53" ht="13.5" customHeight="1" s="290">
      <c r="A53" s="345" t="n"/>
      <c r="B53" s="346" t="inlineStr">
        <is>
          <t xml:space="preserve">  Attrition Rate — Rainmaker  — ★ ACTIVE</t>
        </is>
      </c>
      <c r="E53" s="361">
        <f>IF('01 Cover &amp; Control'!$C$19="Base",E50,IF('01 Cover &amp; Control'!$C$19="Upside",E51,E52))</f>
        <v/>
      </c>
      <c r="F53" s="361">
        <f>IF('01 Cover &amp; Control'!$C$19="Base",F50,IF('01 Cover &amp; Control'!$C$19="Upside",F51,F52))</f>
        <v/>
      </c>
      <c r="G53" s="361">
        <f>IF('01 Cover &amp; Control'!$C$19="Base",G50,IF('01 Cover &amp; Control'!$C$19="Upside",G51,G52))</f>
        <v/>
      </c>
      <c r="H53" s="361">
        <f>IF('01 Cover &amp; Control'!$C$19="Base",H50,IF('01 Cover &amp; Control'!$C$19="Upside",H51,H52))</f>
        <v/>
      </c>
      <c r="I53" s="347">
        <f>AVERAGE(E53:H53)</f>
        <v/>
      </c>
      <c r="J53" s="361">
        <f>IF('01 Cover &amp; Control'!$C$19="Base",J50,IF('01 Cover &amp; Control'!$C$19="Upside",J51,J52))</f>
        <v/>
      </c>
      <c r="K53" s="361">
        <f>IF('01 Cover &amp; Control'!$C$19="Base",K50,IF('01 Cover &amp; Control'!$C$19="Upside",K51,K52))</f>
        <v/>
      </c>
      <c r="L53" s="361">
        <f>IF('01 Cover &amp; Control'!$C$19="Base",L50,IF('01 Cover &amp; Control'!$C$19="Upside",L51,L52))</f>
        <v/>
      </c>
      <c r="M53" s="361">
        <f>IF('01 Cover &amp; Control'!$C$19="Base",M50,IF('01 Cover &amp; Control'!$C$19="Upside",M51,M52))</f>
        <v/>
      </c>
      <c r="N53" s="347">
        <f>AVERAGE(J53:M53)</f>
        <v/>
      </c>
      <c r="O53" s="361">
        <f>IF('01 Cover &amp; Control'!$C$19="Base",O50,IF('01 Cover &amp; Control'!$C$19="Upside",O51,O52))</f>
        <v/>
      </c>
      <c r="P53" s="361">
        <f>IF('01 Cover &amp; Control'!$C$19="Base",P50,IF('01 Cover &amp; Control'!$C$19="Upside",P51,P52))</f>
        <v/>
      </c>
      <c r="Q53" s="361">
        <f>IF('01 Cover &amp; Control'!$C$19="Base",Q50,IF('01 Cover &amp; Control'!$C$19="Upside",Q51,Q52))</f>
        <v/>
      </c>
      <c r="R53" s="361">
        <f>IF('01 Cover &amp; Control'!$C$19="Base",R50,IF('01 Cover &amp; Control'!$C$19="Upside",R51,R52))</f>
        <v/>
      </c>
      <c r="S53" s="347">
        <f>AVERAGE(O53:R53)</f>
        <v/>
      </c>
      <c r="T53" s="361">
        <f>IF('01 Cover &amp; Control'!$C$19="Base",T50,IF('01 Cover &amp; Control'!$C$19="Upside",T51,T52))</f>
        <v/>
      </c>
      <c r="U53" s="361">
        <f>IF('01 Cover &amp; Control'!$C$19="Base",U50,IF('01 Cover &amp; Control'!$C$19="Upside",U51,U52))</f>
        <v/>
      </c>
      <c r="V53" s="361">
        <f>IF('01 Cover &amp; Control'!$C$19="Base",V50,IF('01 Cover &amp; Control'!$C$19="Upside",V51,V52))</f>
        <v/>
      </c>
      <c r="W53" s="361">
        <f>IF('01 Cover &amp; Control'!$C$19="Base",W50,IF('01 Cover &amp; Control'!$C$19="Upside",W51,W52))</f>
        <v/>
      </c>
      <c r="X53" s="347">
        <f>AVERAGE(T53:W53)</f>
        <v/>
      </c>
      <c r="Y53" s="361">
        <f>IF('01 Cover &amp; Control'!$C$19="Base",Y50,IF('01 Cover &amp; Control'!$C$19="Upside",Y51,Y52))</f>
        <v/>
      </c>
      <c r="Z53" s="361">
        <f>IF('01 Cover &amp; Control'!$C$19="Base",Z50,IF('01 Cover &amp; Control'!$C$19="Upside",Z51,Z52))</f>
        <v/>
      </c>
      <c r="AA53" s="361">
        <f>IF('01 Cover &amp; Control'!$C$19="Base",AA50,IF('01 Cover &amp; Control'!$C$19="Upside",AA51,AA52))</f>
        <v/>
      </c>
      <c r="AB53" s="361">
        <f>IF('01 Cover &amp; Control'!$C$19="Base",AB50,IF('01 Cover &amp; Control'!$C$19="Upside",AB51,AB52))</f>
        <v/>
      </c>
      <c r="AC53" s="347">
        <f>AVERAGE(Y53:AB53)</f>
        <v/>
      </c>
      <c r="AD53" s="361">
        <f>IF('01 Cover &amp; Control'!$C$19="Base",AD50,IF('01 Cover &amp; Control'!$C$19="Upside",AD51,AD52))</f>
        <v/>
      </c>
      <c r="AE53" s="361">
        <f>IF('01 Cover &amp; Control'!$C$19="Base",AE50,IF('01 Cover &amp; Control'!$C$19="Upside",AE51,AE52))</f>
        <v/>
      </c>
      <c r="AF53" s="361">
        <f>IF('01 Cover &amp; Control'!$C$19="Base",AF50,IF('01 Cover &amp; Control'!$C$19="Upside",AF51,AF52))</f>
        <v/>
      </c>
      <c r="AG53" s="361">
        <f>IF('01 Cover &amp; Control'!$C$19="Base",AG50,IF('01 Cover &amp; Control'!$C$19="Upside",AG51,AG52))</f>
        <v/>
      </c>
      <c r="AH53" s="347">
        <f>AVERAGE(AD53:AG53)</f>
        <v/>
      </c>
      <c r="AI53" s="361">
        <f>IF('01 Cover &amp; Control'!$C$19="Base",AI50,IF('01 Cover &amp; Control'!$C$19="Upside",AI51,AI52))</f>
        <v/>
      </c>
      <c r="AJ53" s="361">
        <f>IF('01 Cover &amp; Control'!$C$19="Base",AJ50,IF('01 Cover &amp; Control'!$C$19="Upside",AJ51,AJ52))</f>
        <v/>
      </c>
      <c r="AK53" s="361">
        <f>IF('01 Cover &amp; Control'!$C$19="Base",AK50,IF('01 Cover &amp; Control'!$C$19="Upside",AK51,AK52))</f>
        <v/>
      </c>
      <c r="AL53" s="361">
        <f>IF('01 Cover &amp; Control'!$C$19="Base",AL50,IF('01 Cover &amp; Control'!$C$19="Upside",AL51,AL52))</f>
        <v/>
      </c>
      <c r="AM53" s="347">
        <f>AVERAGE(AI53:AL53)</f>
        <v/>
      </c>
      <c r="AN53" s="361">
        <f>IF('01 Cover &amp; Control'!$C$19="Base",AN50,IF('01 Cover &amp; Control'!$C$19="Upside",AN51,AN52))</f>
        <v/>
      </c>
      <c r="AO53" s="361">
        <f>IF('01 Cover &amp; Control'!$C$19="Base",AO50,IF('01 Cover &amp; Control'!$C$19="Upside",AO51,AO52))</f>
        <v/>
      </c>
      <c r="AP53" s="361">
        <f>IF('01 Cover &amp; Control'!$C$19="Base",AP50,IF('01 Cover &amp; Control'!$C$19="Upside",AP51,AP52))</f>
        <v/>
      </c>
      <c r="AQ53" s="361">
        <f>IF('01 Cover &amp; Control'!$C$19="Base",AQ50,IF('01 Cover &amp; Control'!$C$19="Upside",AQ51,AQ52))</f>
        <v/>
      </c>
      <c r="AR53" s="347">
        <f>AVERAGE(AN53:AQ53)</f>
        <v/>
      </c>
    </row>
    <row r="54" ht="3.75" customHeight="1" s="290"/>
    <row r="55" ht="13.5" customHeight="1" s="290">
      <c r="A55" s="339" t="n"/>
      <c r="B55" s="357" t="inlineStr">
        <is>
          <t xml:space="preserve">  Beginning HC — Core</t>
        </is>
      </c>
      <c r="C55" s="341" t="inlineStr">
        <is>
          <t>#</t>
        </is>
      </c>
      <c r="D55" s="342" t="inlineStr">
        <is>
          <t>Input: actuals for hist period; forecast = prior yr ending HC. Used directly in EPE formula.</t>
        </is>
      </c>
      <c r="E55" s="343" t="n">
        <v>12</v>
      </c>
      <c r="F55" s="343" t="n"/>
      <c r="G55" s="343" t="n"/>
      <c r="H55" s="343" t="n"/>
      <c r="I55" s="344">
        <f>SUM(E55:H55)</f>
        <v/>
      </c>
      <c r="J55" s="343" t="n"/>
      <c r="K55" s="343" t="n"/>
      <c r="L55" s="343" t="n"/>
      <c r="M55" s="343" t="n"/>
      <c r="N55" s="344">
        <f>SUM(J55:M55)</f>
        <v/>
      </c>
      <c r="O55" s="343" t="n"/>
      <c r="P55" s="343" t="n"/>
      <c r="Q55" s="343" t="n"/>
      <c r="R55" s="343" t="n"/>
      <c r="S55" s="344">
        <f>SUM(O55:R55)</f>
        <v/>
      </c>
      <c r="T55" s="343" t="n"/>
      <c r="U55" s="343" t="n"/>
      <c r="V55" s="343" t="n"/>
      <c r="W55" s="343" t="n"/>
      <c r="X55" s="344">
        <f>SUM(T55:W55)</f>
        <v/>
      </c>
      <c r="Y55" s="343" t="n"/>
      <c r="Z55" s="343" t="n"/>
      <c r="AA55" s="343" t="n"/>
      <c r="AB55" s="343" t="n"/>
      <c r="AC55" s="344">
        <f>SUM(Y55:AB55)</f>
        <v/>
      </c>
      <c r="AD55" s="343" t="n"/>
      <c r="AE55" s="343" t="n"/>
      <c r="AF55" s="343" t="n"/>
      <c r="AG55" s="343" t="n"/>
      <c r="AH55" s="344">
        <f>SUM(AD55:AG55)</f>
        <v/>
      </c>
      <c r="AI55" s="343" t="n"/>
      <c r="AJ55" s="343" t="n"/>
      <c r="AK55" s="343" t="n"/>
      <c r="AL55" s="343" t="n"/>
      <c r="AM55" s="344">
        <f>SUM(AI55:AL55)</f>
        <v/>
      </c>
      <c r="AN55" s="343" t="n"/>
      <c r="AO55" s="343" t="n"/>
      <c r="AP55" s="343" t="n"/>
      <c r="AQ55" s="343" t="n"/>
      <c r="AR55" s="344">
        <f>SUM(AN55:AQ55)</f>
        <v/>
      </c>
    </row>
    <row r="56" ht="13.5" customHeight="1" s="290">
      <c r="A56" s="339" t="n"/>
      <c r="B56" s="340" t="inlineStr">
        <is>
          <t xml:space="preserve">  Gross Hires / Qtr — Core  — Base</t>
        </is>
      </c>
      <c r="C56" s="341" t="inlineStr">
        <is>
          <t>#/qtr</t>
        </is>
      </c>
      <c r="D56" s="342" t="inlineStr">
        <is>
          <t>Scenario-keyed. Upside = faster hiring. Downside = slower/failed hiring.</t>
        </is>
      </c>
      <c r="E56" s="343" t="n">
        <v>1.2</v>
      </c>
      <c r="F56" s="343" t="n">
        <v>1.2</v>
      </c>
      <c r="G56" s="343" t="n">
        <v>1.2</v>
      </c>
      <c r="H56" s="343" t="n">
        <v>1.2</v>
      </c>
      <c r="I56" s="344">
        <f>SUM(E56:H56)</f>
        <v/>
      </c>
      <c r="J56" s="343" t="n">
        <v>1.2</v>
      </c>
      <c r="K56" s="343" t="n">
        <v>1.2</v>
      </c>
      <c r="L56" s="343" t="n">
        <v>1.2</v>
      </c>
      <c r="M56" s="343" t="n">
        <v>1.2</v>
      </c>
      <c r="N56" s="344">
        <f>SUM(J56:M56)</f>
        <v/>
      </c>
      <c r="O56" s="343" t="n">
        <v>1.2</v>
      </c>
      <c r="P56" s="343" t="n">
        <v>1.2</v>
      </c>
      <c r="Q56" s="343" t="n">
        <v>1.2</v>
      </c>
      <c r="R56" s="343" t="n">
        <v>1.2</v>
      </c>
      <c r="S56" s="344">
        <f>SUM(O56:R56)</f>
        <v/>
      </c>
      <c r="T56" s="343" t="n">
        <v>1.2</v>
      </c>
      <c r="U56" s="343" t="n">
        <v>1.2</v>
      </c>
      <c r="V56" s="343" t="n">
        <v>1.2</v>
      </c>
      <c r="W56" s="343" t="n">
        <v>1.2</v>
      </c>
      <c r="X56" s="344">
        <f>SUM(T56:W56)</f>
        <v/>
      </c>
      <c r="Y56" s="343" t="n">
        <v>1.2</v>
      </c>
      <c r="Z56" s="343" t="n">
        <v>1.2</v>
      </c>
      <c r="AA56" s="343" t="n">
        <v>1.2</v>
      </c>
      <c r="AB56" s="343" t="n">
        <v>1.2</v>
      </c>
      <c r="AC56" s="344">
        <f>SUM(Y56:AB56)</f>
        <v/>
      </c>
      <c r="AD56" s="343" t="n">
        <v>1.2</v>
      </c>
      <c r="AE56" s="343" t="n">
        <v>1.2</v>
      </c>
      <c r="AF56" s="343" t="n">
        <v>1.2</v>
      </c>
      <c r="AG56" s="343" t="n">
        <v>1.2</v>
      </c>
      <c r="AH56" s="344">
        <f>SUM(AD56:AG56)</f>
        <v/>
      </c>
      <c r="AI56" s="343" t="n">
        <v>1.2</v>
      </c>
      <c r="AJ56" s="343" t="n">
        <v>1.2</v>
      </c>
      <c r="AK56" s="343" t="n">
        <v>1.2</v>
      </c>
      <c r="AL56" s="343" t="n">
        <v>1.2</v>
      </c>
      <c r="AM56" s="344">
        <f>SUM(AI56:AL56)</f>
        <v/>
      </c>
      <c r="AN56" s="343" t="n">
        <v>1.2</v>
      </c>
      <c r="AO56" s="343" t="n">
        <v>1.2</v>
      </c>
      <c r="AP56" s="343" t="n">
        <v>1.2</v>
      </c>
      <c r="AQ56" s="343" t="n">
        <v>1.2</v>
      </c>
      <c r="AR56" s="344">
        <f>SUM(AN56:AQ56)</f>
        <v/>
      </c>
    </row>
    <row r="57" ht="13.5" customHeight="1" s="290">
      <c r="A57" s="339" t="n"/>
      <c r="B57" s="340" t="inlineStr">
        <is>
          <t xml:space="preserve">  Gross Hires / Qtr — Core  — Upside</t>
        </is>
      </c>
      <c r="E57" s="343" t="n">
        <v>1.32</v>
      </c>
      <c r="F57" s="343" t="n">
        <v>1.32</v>
      </c>
      <c r="G57" s="343" t="n">
        <v>1.32</v>
      </c>
      <c r="H57" s="343" t="n">
        <v>1.32</v>
      </c>
      <c r="I57" s="344">
        <f>SUM(E57:H57)</f>
        <v/>
      </c>
      <c r="J57" s="343" t="n">
        <v>1.32</v>
      </c>
      <c r="K57" s="343" t="n">
        <v>1.32</v>
      </c>
      <c r="L57" s="343" t="n">
        <v>1.32</v>
      </c>
      <c r="M57" s="343" t="n">
        <v>1.32</v>
      </c>
      <c r="N57" s="344">
        <f>SUM(J57:M57)</f>
        <v/>
      </c>
      <c r="O57" s="343" t="n">
        <v>1.32</v>
      </c>
      <c r="P57" s="343" t="n">
        <v>1.32</v>
      </c>
      <c r="Q57" s="343" t="n">
        <v>1.32</v>
      </c>
      <c r="R57" s="343" t="n">
        <v>1.32</v>
      </c>
      <c r="S57" s="344">
        <f>SUM(O57:R57)</f>
        <v/>
      </c>
      <c r="T57" s="343" t="n">
        <v>1.32</v>
      </c>
      <c r="U57" s="343" t="n">
        <v>1.32</v>
      </c>
      <c r="V57" s="343" t="n">
        <v>1.32</v>
      </c>
      <c r="W57" s="343" t="n">
        <v>1.32</v>
      </c>
      <c r="X57" s="344">
        <f>SUM(T57:W57)</f>
        <v/>
      </c>
      <c r="Y57" s="343" t="n">
        <v>1.32</v>
      </c>
      <c r="Z57" s="343" t="n">
        <v>1.32</v>
      </c>
      <c r="AA57" s="343" t="n">
        <v>1.32</v>
      </c>
      <c r="AB57" s="343" t="n">
        <v>1.32</v>
      </c>
      <c r="AC57" s="344">
        <f>SUM(Y57:AB57)</f>
        <v/>
      </c>
      <c r="AD57" s="343" t="n">
        <v>1.32</v>
      </c>
      <c r="AE57" s="343" t="n">
        <v>1.32</v>
      </c>
      <c r="AF57" s="343" t="n">
        <v>1.32</v>
      </c>
      <c r="AG57" s="343" t="n">
        <v>1.32</v>
      </c>
      <c r="AH57" s="344">
        <f>SUM(AD57:AG57)</f>
        <v/>
      </c>
      <c r="AI57" s="343" t="n">
        <v>1.32</v>
      </c>
      <c r="AJ57" s="343" t="n">
        <v>1.32</v>
      </c>
      <c r="AK57" s="343" t="n">
        <v>1.32</v>
      </c>
      <c r="AL57" s="343" t="n">
        <v>1.32</v>
      </c>
      <c r="AM57" s="344">
        <f>SUM(AI57:AL57)</f>
        <v/>
      </c>
      <c r="AN57" s="343" t="n">
        <v>1.32</v>
      </c>
      <c r="AO57" s="343" t="n">
        <v>1.32</v>
      </c>
      <c r="AP57" s="343" t="n">
        <v>1.32</v>
      </c>
      <c r="AQ57" s="343" t="n">
        <v>1.32</v>
      </c>
      <c r="AR57" s="344">
        <f>SUM(AN57:AQ57)</f>
        <v/>
      </c>
    </row>
    <row r="58" ht="13.5" customHeight="1" s="290">
      <c r="A58" s="339" t="n"/>
      <c r="B58" s="340" t="inlineStr">
        <is>
          <t xml:space="preserve">  Gross Hires / Qtr — Core  — Downside</t>
        </is>
      </c>
      <c r="E58" s="343" t="n">
        <v>1.02</v>
      </c>
      <c r="F58" s="343" t="n">
        <v>1.02</v>
      </c>
      <c r="G58" s="343" t="n">
        <v>1.02</v>
      </c>
      <c r="H58" s="343" t="n">
        <v>1.02</v>
      </c>
      <c r="I58" s="344">
        <f>SUM(E58:H58)</f>
        <v/>
      </c>
      <c r="J58" s="343" t="n">
        <v>1.02</v>
      </c>
      <c r="K58" s="343" t="n">
        <v>1.02</v>
      </c>
      <c r="L58" s="343" t="n">
        <v>1.02</v>
      </c>
      <c r="M58" s="343" t="n">
        <v>1.02</v>
      </c>
      <c r="N58" s="344">
        <f>SUM(J58:M58)</f>
        <v/>
      </c>
      <c r="O58" s="343" t="n">
        <v>1.02</v>
      </c>
      <c r="P58" s="343" t="n">
        <v>1.02</v>
      </c>
      <c r="Q58" s="343" t="n">
        <v>1.02</v>
      </c>
      <c r="R58" s="343" t="n">
        <v>1.02</v>
      </c>
      <c r="S58" s="344">
        <f>SUM(O58:R58)</f>
        <v/>
      </c>
      <c r="T58" s="343" t="n">
        <v>1.02</v>
      </c>
      <c r="U58" s="343" t="n">
        <v>1.02</v>
      </c>
      <c r="V58" s="343" t="n">
        <v>1.02</v>
      </c>
      <c r="W58" s="343" t="n">
        <v>1.02</v>
      </c>
      <c r="X58" s="344">
        <f>SUM(T58:W58)</f>
        <v/>
      </c>
      <c r="Y58" s="343" t="n">
        <v>1.02</v>
      </c>
      <c r="Z58" s="343" t="n">
        <v>1.02</v>
      </c>
      <c r="AA58" s="343" t="n">
        <v>1.02</v>
      </c>
      <c r="AB58" s="343" t="n">
        <v>1.02</v>
      </c>
      <c r="AC58" s="344">
        <f>SUM(Y58:AB58)</f>
        <v/>
      </c>
      <c r="AD58" s="343" t="n">
        <v>1.02</v>
      </c>
      <c r="AE58" s="343" t="n">
        <v>1.02</v>
      </c>
      <c r="AF58" s="343" t="n">
        <v>1.02</v>
      </c>
      <c r="AG58" s="343" t="n">
        <v>1.02</v>
      </c>
      <c r="AH58" s="344">
        <f>SUM(AD58:AG58)</f>
        <v/>
      </c>
      <c r="AI58" s="343" t="n">
        <v>1.02</v>
      </c>
      <c r="AJ58" s="343" t="n">
        <v>1.02</v>
      </c>
      <c r="AK58" s="343" t="n">
        <v>1.02</v>
      </c>
      <c r="AL58" s="343" t="n">
        <v>1.02</v>
      </c>
      <c r="AM58" s="344">
        <f>SUM(AI58:AL58)</f>
        <v/>
      </c>
      <c r="AN58" s="343" t="n">
        <v>1.02</v>
      </c>
      <c r="AO58" s="343" t="n">
        <v>1.02</v>
      </c>
      <c r="AP58" s="343" t="n">
        <v>1.02</v>
      </c>
      <c r="AQ58" s="343" t="n">
        <v>1.02</v>
      </c>
      <c r="AR58" s="344">
        <f>SUM(AN58:AQ58)</f>
        <v/>
      </c>
    </row>
    <row r="59" ht="13.5" customHeight="1" s="290">
      <c r="A59" s="345" t="n"/>
      <c r="B59" s="346" t="inlineStr">
        <is>
          <t xml:space="preserve">  Gross Hires / Qtr — Core  — ★ ACTIVE</t>
        </is>
      </c>
      <c r="E59" s="361">
        <f>IF('01 Cover &amp; Control'!$C$19="Base",E56,IF('01 Cover &amp; Control'!$C$19="Upside",E57,E58))</f>
        <v/>
      </c>
      <c r="F59" s="361">
        <f>IF('01 Cover &amp; Control'!$C$19="Base",F56,IF('01 Cover &amp; Control'!$C$19="Upside",F57,F58))</f>
        <v/>
      </c>
      <c r="G59" s="361">
        <f>IF('01 Cover &amp; Control'!$C$19="Base",G56,IF('01 Cover &amp; Control'!$C$19="Upside",G57,G58))</f>
        <v/>
      </c>
      <c r="H59" s="361">
        <f>IF('01 Cover &amp; Control'!$C$19="Base",H56,IF('01 Cover &amp; Control'!$C$19="Upside",H57,H58))</f>
        <v/>
      </c>
      <c r="I59" s="347">
        <f>SUM(E59:H59)</f>
        <v/>
      </c>
      <c r="J59" s="361">
        <f>IF('01 Cover &amp; Control'!$C$19="Base",J56,IF('01 Cover &amp; Control'!$C$19="Upside",J57,J58))</f>
        <v/>
      </c>
      <c r="K59" s="361">
        <f>IF('01 Cover &amp; Control'!$C$19="Base",K56,IF('01 Cover &amp; Control'!$C$19="Upside",K57,K58))</f>
        <v/>
      </c>
      <c r="L59" s="361">
        <f>IF('01 Cover &amp; Control'!$C$19="Base",L56,IF('01 Cover &amp; Control'!$C$19="Upside",L57,L58))</f>
        <v/>
      </c>
      <c r="M59" s="361">
        <f>IF('01 Cover &amp; Control'!$C$19="Base",M56,IF('01 Cover &amp; Control'!$C$19="Upside",M57,M58))</f>
        <v/>
      </c>
      <c r="N59" s="347">
        <f>SUM(J59:M59)</f>
        <v/>
      </c>
      <c r="O59" s="361">
        <f>IF('01 Cover &amp; Control'!$C$19="Base",O56,IF('01 Cover &amp; Control'!$C$19="Upside",O57,O58))</f>
        <v/>
      </c>
      <c r="P59" s="361">
        <f>IF('01 Cover &amp; Control'!$C$19="Base",P56,IF('01 Cover &amp; Control'!$C$19="Upside",P57,P58))</f>
        <v/>
      </c>
      <c r="Q59" s="361">
        <f>IF('01 Cover &amp; Control'!$C$19="Base",Q56,IF('01 Cover &amp; Control'!$C$19="Upside",Q57,Q58))</f>
        <v/>
      </c>
      <c r="R59" s="361">
        <f>IF('01 Cover &amp; Control'!$C$19="Base",R56,IF('01 Cover &amp; Control'!$C$19="Upside",R57,R58))</f>
        <v/>
      </c>
      <c r="S59" s="347">
        <f>SUM(O59:R59)</f>
        <v/>
      </c>
      <c r="T59" s="361">
        <f>IF('01 Cover &amp; Control'!$C$19="Base",T56,IF('01 Cover &amp; Control'!$C$19="Upside",T57,T58))</f>
        <v/>
      </c>
      <c r="U59" s="361">
        <f>IF('01 Cover &amp; Control'!$C$19="Base",U56,IF('01 Cover &amp; Control'!$C$19="Upside",U57,U58))</f>
        <v/>
      </c>
      <c r="V59" s="361">
        <f>IF('01 Cover &amp; Control'!$C$19="Base",V56,IF('01 Cover &amp; Control'!$C$19="Upside",V57,V58))</f>
        <v/>
      </c>
      <c r="W59" s="361">
        <f>IF('01 Cover &amp; Control'!$C$19="Base",W56,IF('01 Cover &amp; Control'!$C$19="Upside",W57,W58))</f>
        <v/>
      </c>
      <c r="X59" s="347">
        <f>SUM(T59:W59)</f>
        <v/>
      </c>
      <c r="Y59" s="361">
        <f>IF('01 Cover &amp; Control'!$C$19="Base",Y56,IF('01 Cover &amp; Control'!$C$19="Upside",Y57,Y58))</f>
        <v/>
      </c>
      <c r="Z59" s="361">
        <f>IF('01 Cover &amp; Control'!$C$19="Base",Z56,IF('01 Cover &amp; Control'!$C$19="Upside",Z57,Z58))</f>
        <v/>
      </c>
      <c r="AA59" s="361">
        <f>IF('01 Cover &amp; Control'!$C$19="Base",AA56,IF('01 Cover &amp; Control'!$C$19="Upside",AA57,AA58))</f>
        <v/>
      </c>
      <c r="AB59" s="361">
        <f>IF('01 Cover &amp; Control'!$C$19="Base",AB56,IF('01 Cover &amp; Control'!$C$19="Upside",AB57,AB58))</f>
        <v/>
      </c>
      <c r="AC59" s="347">
        <f>SUM(Y59:AB59)</f>
        <v/>
      </c>
      <c r="AD59" s="361">
        <f>IF('01 Cover &amp; Control'!$C$19="Base",AD56,IF('01 Cover &amp; Control'!$C$19="Upside",AD57,AD58))</f>
        <v/>
      </c>
      <c r="AE59" s="361">
        <f>IF('01 Cover &amp; Control'!$C$19="Base",AE56,IF('01 Cover &amp; Control'!$C$19="Upside",AE57,AE58))</f>
        <v/>
      </c>
      <c r="AF59" s="361">
        <f>IF('01 Cover &amp; Control'!$C$19="Base",AF56,IF('01 Cover &amp; Control'!$C$19="Upside",AF57,AF58))</f>
        <v/>
      </c>
      <c r="AG59" s="361">
        <f>IF('01 Cover &amp; Control'!$C$19="Base",AG56,IF('01 Cover &amp; Control'!$C$19="Upside",AG57,AG58))</f>
        <v/>
      </c>
      <c r="AH59" s="347">
        <f>SUM(AD59:AG59)</f>
        <v/>
      </c>
      <c r="AI59" s="361">
        <f>IF('01 Cover &amp; Control'!$C$19="Base",AI56,IF('01 Cover &amp; Control'!$C$19="Upside",AI57,AI58))</f>
        <v/>
      </c>
      <c r="AJ59" s="361">
        <f>IF('01 Cover &amp; Control'!$C$19="Base",AJ56,IF('01 Cover &amp; Control'!$C$19="Upside",AJ57,AJ58))</f>
        <v/>
      </c>
      <c r="AK59" s="361">
        <f>IF('01 Cover &amp; Control'!$C$19="Base",AK56,IF('01 Cover &amp; Control'!$C$19="Upside",AK57,AK58))</f>
        <v/>
      </c>
      <c r="AL59" s="361">
        <f>IF('01 Cover &amp; Control'!$C$19="Base",AL56,IF('01 Cover &amp; Control'!$C$19="Upside",AL57,AL58))</f>
        <v/>
      </c>
      <c r="AM59" s="347">
        <f>SUM(AI59:AL59)</f>
        <v/>
      </c>
      <c r="AN59" s="361">
        <f>IF('01 Cover &amp; Control'!$C$19="Base",AN56,IF('01 Cover &amp; Control'!$C$19="Upside",AN57,AN58))</f>
        <v/>
      </c>
      <c r="AO59" s="361">
        <f>IF('01 Cover &amp; Control'!$C$19="Base",AO56,IF('01 Cover &amp; Control'!$C$19="Upside",AO57,AO58))</f>
        <v/>
      </c>
      <c r="AP59" s="361">
        <f>IF('01 Cover &amp; Control'!$C$19="Base",AP56,IF('01 Cover &amp; Control'!$C$19="Upside",AP57,AP58))</f>
        <v/>
      </c>
      <c r="AQ59" s="361">
        <f>IF('01 Cover &amp; Control'!$C$19="Base",AQ56,IF('01 Cover &amp; Control'!$C$19="Upside",AQ57,AQ58))</f>
        <v/>
      </c>
      <c r="AR59" s="347">
        <f>SUM(AN59:AQ59)</f>
        <v/>
      </c>
    </row>
    <row r="60" ht="13.5" customHeight="1" s="290">
      <c r="A60" s="339" t="n"/>
      <c r="B60" s="340" t="inlineStr">
        <is>
          <t xml:space="preserve">  Attrition Rate — Core  — Base</t>
        </is>
      </c>
      <c r="C60" s="341" t="inlineStr">
        <is>
          <t>%/qtr</t>
        </is>
      </c>
      <c r="D60" s="342" t="inlineStr">
        <is>
          <t>Quarterly attrition rate applied to Beginning HC. Upside = lower attrition (strong market). Downside = higher (competitors poach).</t>
        </is>
      </c>
      <c r="E60" s="343" t="n">
        <v>0.04</v>
      </c>
      <c r="F60" s="343" t="n">
        <v>0.04</v>
      </c>
      <c r="G60" s="343" t="n">
        <v>0.04</v>
      </c>
      <c r="H60" s="343" t="n">
        <v>0.04</v>
      </c>
      <c r="I60" s="344">
        <f>SUM(E60:H60)</f>
        <v/>
      </c>
      <c r="J60" s="343" t="n">
        <v>0.04</v>
      </c>
      <c r="K60" s="343" t="n">
        <v>0.04</v>
      </c>
      <c r="L60" s="343" t="n">
        <v>0.04</v>
      </c>
      <c r="M60" s="343" t="n">
        <v>0.04</v>
      </c>
      <c r="N60" s="344">
        <f>SUM(J60:M60)</f>
        <v/>
      </c>
      <c r="O60" s="343" t="n">
        <v>0.04</v>
      </c>
      <c r="P60" s="343" t="n">
        <v>0.04</v>
      </c>
      <c r="Q60" s="343" t="n">
        <v>0.04</v>
      </c>
      <c r="R60" s="343" t="n">
        <v>0.04</v>
      </c>
      <c r="S60" s="344">
        <f>SUM(O60:R60)</f>
        <v/>
      </c>
      <c r="T60" s="343" t="n">
        <v>0.04</v>
      </c>
      <c r="U60" s="343" t="n">
        <v>0.04</v>
      </c>
      <c r="V60" s="343" t="n">
        <v>0.04</v>
      </c>
      <c r="W60" s="343" t="n">
        <v>0.04</v>
      </c>
      <c r="X60" s="344">
        <f>SUM(T60:W60)</f>
        <v/>
      </c>
      <c r="Y60" s="343" t="n">
        <v>0.04</v>
      </c>
      <c r="Z60" s="343" t="n">
        <v>0.04</v>
      </c>
      <c r="AA60" s="343" t="n">
        <v>0.04</v>
      </c>
      <c r="AB60" s="343" t="n">
        <v>0.04</v>
      </c>
      <c r="AC60" s="344">
        <f>SUM(Y60:AB60)</f>
        <v/>
      </c>
      <c r="AD60" s="343" t="n">
        <v>0.04</v>
      </c>
      <c r="AE60" s="343" t="n">
        <v>0.04</v>
      </c>
      <c r="AF60" s="343" t="n">
        <v>0.04</v>
      </c>
      <c r="AG60" s="343" t="n">
        <v>0.04</v>
      </c>
      <c r="AH60" s="344">
        <f>SUM(AD60:AG60)</f>
        <v/>
      </c>
      <c r="AI60" s="343" t="n">
        <v>0.04</v>
      </c>
      <c r="AJ60" s="343" t="n">
        <v>0.04</v>
      </c>
      <c r="AK60" s="343" t="n">
        <v>0.04</v>
      </c>
      <c r="AL60" s="343" t="n">
        <v>0.04</v>
      </c>
      <c r="AM60" s="344">
        <f>SUM(AI60:AL60)</f>
        <v/>
      </c>
      <c r="AN60" s="343" t="n">
        <v>0.04</v>
      </c>
      <c r="AO60" s="343" t="n">
        <v>0.04</v>
      </c>
      <c r="AP60" s="343" t="n">
        <v>0.04</v>
      </c>
      <c r="AQ60" s="343" t="n">
        <v>0.04</v>
      </c>
      <c r="AR60" s="344">
        <f>SUM(AN60:AQ60)</f>
        <v/>
      </c>
    </row>
    <row r="61" ht="13.5" customHeight="1" s="290">
      <c r="A61" s="339" t="n"/>
      <c r="B61" s="340" t="inlineStr">
        <is>
          <t xml:space="preserve">  Attrition Rate — Core  — Upside</t>
        </is>
      </c>
      <c r="E61" s="343" t="n">
        <v>0.035</v>
      </c>
      <c r="F61" s="343" t="n">
        <v>0.035</v>
      </c>
      <c r="G61" s="343" t="n">
        <v>0.035</v>
      </c>
      <c r="H61" s="343" t="n">
        <v>0.035</v>
      </c>
      <c r="I61" s="344">
        <f>SUM(E61:H61)</f>
        <v/>
      </c>
      <c r="J61" s="343" t="n">
        <v>0.035</v>
      </c>
      <c r="K61" s="343" t="n">
        <v>0.035</v>
      </c>
      <c r="L61" s="343" t="n">
        <v>0.035</v>
      </c>
      <c r="M61" s="343" t="n">
        <v>0.035</v>
      </c>
      <c r="N61" s="344">
        <f>SUM(J61:M61)</f>
        <v/>
      </c>
      <c r="O61" s="343" t="n">
        <v>0.035</v>
      </c>
      <c r="P61" s="343" t="n">
        <v>0.035</v>
      </c>
      <c r="Q61" s="343" t="n">
        <v>0.035</v>
      </c>
      <c r="R61" s="343" t="n">
        <v>0.035</v>
      </c>
      <c r="S61" s="344">
        <f>SUM(O61:R61)</f>
        <v/>
      </c>
      <c r="T61" s="343" t="n">
        <v>0.035</v>
      </c>
      <c r="U61" s="343" t="n">
        <v>0.035</v>
      </c>
      <c r="V61" s="343" t="n">
        <v>0.035</v>
      </c>
      <c r="W61" s="343" t="n">
        <v>0.035</v>
      </c>
      <c r="X61" s="344">
        <f>SUM(T61:W61)</f>
        <v/>
      </c>
      <c r="Y61" s="343" t="n">
        <v>0.035</v>
      </c>
      <c r="Z61" s="343" t="n">
        <v>0.035</v>
      </c>
      <c r="AA61" s="343" t="n">
        <v>0.035</v>
      </c>
      <c r="AB61" s="343" t="n">
        <v>0.035</v>
      </c>
      <c r="AC61" s="344">
        <f>SUM(Y61:AB61)</f>
        <v/>
      </c>
      <c r="AD61" s="343" t="n">
        <v>0.035</v>
      </c>
      <c r="AE61" s="343" t="n">
        <v>0.035</v>
      </c>
      <c r="AF61" s="343" t="n">
        <v>0.035</v>
      </c>
      <c r="AG61" s="343" t="n">
        <v>0.035</v>
      </c>
      <c r="AH61" s="344">
        <f>SUM(AD61:AG61)</f>
        <v/>
      </c>
      <c r="AI61" s="343" t="n">
        <v>0.035</v>
      </c>
      <c r="AJ61" s="343" t="n">
        <v>0.035</v>
      </c>
      <c r="AK61" s="343" t="n">
        <v>0.035</v>
      </c>
      <c r="AL61" s="343" t="n">
        <v>0.035</v>
      </c>
      <c r="AM61" s="344">
        <f>SUM(AI61:AL61)</f>
        <v/>
      </c>
      <c r="AN61" s="343" t="n">
        <v>0.035</v>
      </c>
      <c r="AO61" s="343" t="n">
        <v>0.035</v>
      </c>
      <c r="AP61" s="343" t="n">
        <v>0.035</v>
      </c>
      <c r="AQ61" s="343" t="n">
        <v>0.035</v>
      </c>
      <c r="AR61" s="344">
        <f>SUM(AN61:AQ61)</f>
        <v/>
      </c>
    </row>
    <row r="62" ht="13.5" customHeight="1" s="290">
      <c r="A62" s="339" t="n"/>
      <c r="B62" s="340" t="inlineStr">
        <is>
          <t xml:space="preserve">  Attrition Rate — Core  — Downside</t>
        </is>
      </c>
      <c r="E62" s="343" t="n">
        <v>0.055</v>
      </c>
      <c r="F62" s="343" t="n">
        <v>0.055</v>
      </c>
      <c r="G62" s="343" t="n">
        <v>0.055</v>
      </c>
      <c r="H62" s="343" t="n">
        <v>0.055</v>
      </c>
      <c r="I62" s="344">
        <f>SUM(E62:H62)</f>
        <v/>
      </c>
      <c r="J62" s="343" t="n">
        <v>0.055</v>
      </c>
      <c r="K62" s="343" t="n">
        <v>0.055</v>
      </c>
      <c r="L62" s="343" t="n">
        <v>0.055</v>
      </c>
      <c r="M62" s="343" t="n">
        <v>0.055</v>
      </c>
      <c r="N62" s="344">
        <f>SUM(J62:M62)</f>
        <v/>
      </c>
      <c r="O62" s="343" t="n">
        <v>0.055</v>
      </c>
      <c r="P62" s="343" t="n">
        <v>0.055</v>
      </c>
      <c r="Q62" s="343" t="n">
        <v>0.055</v>
      </c>
      <c r="R62" s="343" t="n">
        <v>0.055</v>
      </c>
      <c r="S62" s="344">
        <f>SUM(O62:R62)</f>
        <v/>
      </c>
      <c r="T62" s="343" t="n">
        <v>0.055</v>
      </c>
      <c r="U62" s="343" t="n">
        <v>0.055</v>
      </c>
      <c r="V62" s="343" t="n">
        <v>0.055</v>
      </c>
      <c r="W62" s="343" t="n">
        <v>0.055</v>
      </c>
      <c r="X62" s="344">
        <f>SUM(T62:W62)</f>
        <v/>
      </c>
      <c r="Y62" s="343" t="n">
        <v>0.055</v>
      </c>
      <c r="Z62" s="343" t="n">
        <v>0.055</v>
      </c>
      <c r="AA62" s="343" t="n">
        <v>0.055</v>
      </c>
      <c r="AB62" s="343" t="n">
        <v>0.055</v>
      </c>
      <c r="AC62" s="344">
        <f>SUM(Y62:AB62)</f>
        <v/>
      </c>
      <c r="AD62" s="343" t="n">
        <v>0.055</v>
      </c>
      <c r="AE62" s="343" t="n">
        <v>0.055</v>
      </c>
      <c r="AF62" s="343" t="n">
        <v>0.055</v>
      </c>
      <c r="AG62" s="343" t="n">
        <v>0.055</v>
      </c>
      <c r="AH62" s="344">
        <f>SUM(AD62:AG62)</f>
        <v/>
      </c>
      <c r="AI62" s="343" t="n">
        <v>0.055</v>
      </c>
      <c r="AJ62" s="343" t="n">
        <v>0.055</v>
      </c>
      <c r="AK62" s="343" t="n">
        <v>0.055</v>
      </c>
      <c r="AL62" s="343" t="n">
        <v>0.055</v>
      </c>
      <c r="AM62" s="344">
        <f>SUM(AI62:AL62)</f>
        <v/>
      </c>
      <c r="AN62" s="343" t="n">
        <v>0.055</v>
      </c>
      <c r="AO62" s="343" t="n">
        <v>0.055</v>
      </c>
      <c r="AP62" s="343" t="n">
        <v>0.055</v>
      </c>
      <c r="AQ62" s="343" t="n">
        <v>0.055</v>
      </c>
      <c r="AR62" s="344">
        <f>SUM(AN62:AQ62)</f>
        <v/>
      </c>
    </row>
    <row r="63" ht="13.5" customHeight="1" s="290">
      <c r="A63" s="345" t="n"/>
      <c r="B63" s="346" t="inlineStr">
        <is>
          <t xml:space="preserve">  Attrition Rate — Core  — ★ ACTIVE</t>
        </is>
      </c>
      <c r="E63" s="361">
        <f>IF('01 Cover &amp; Control'!$C$19="Base",E60,IF('01 Cover &amp; Control'!$C$19="Upside",E61,E62))</f>
        <v/>
      </c>
      <c r="F63" s="361">
        <f>IF('01 Cover &amp; Control'!$C$19="Base",F60,IF('01 Cover &amp; Control'!$C$19="Upside",F61,F62))</f>
        <v/>
      </c>
      <c r="G63" s="361">
        <f>IF('01 Cover &amp; Control'!$C$19="Base",G60,IF('01 Cover &amp; Control'!$C$19="Upside",G61,G62))</f>
        <v/>
      </c>
      <c r="H63" s="361">
        <f>IF('01 Cover &amp; Control'!$C$19="Base",H60,IF('01 Cover &amp; Control'!$C$19="Upside",H61,H62))</f>
        <v/>
      </c>
      <c r="I63" s="347">
        <f>AVERAGE(E63:H63)</f>
        <v/>
      </c>
      <c r="J63" s="361">
        <f>IF('01 Cover &amp; Control'!$C$19="Base",J60,IF('01 Cover &amp; Control'!$C$19="Upside",J61,J62))</f>
        <v/>
      </c>
      <c r="K63" s="361">
        <f>IF('01 Cover &amp; Control'!$C$19="Base",K60,IF('01 Cover &amp; Control'!$C$19="Upside",K61,K62))</f>
        <v/>
      </c>
      <c r="L63" s="361">
        <f>IF('01 Cover &amp; Control'!$C$19="Base",L60,IF('01 Cover &amp; Control'!$C$19="Upside",L61,L62))</f>
        <v/>
      </c>
      <c r="M63" s="361">
        <f>IF('01 Cover &amp; Control'!$C$19="Base",M60,IF('01 Cover &amp; Control'!$C$19="Upside",M61,M62))</f>
        <v/>
      </c>
      <c r="N63" s="347">
        <f>AVERAGE(J63:M63)</f>
        <v/>
      </c>
      <c r="O63" s="361">
        <f>IF('01 Cover &amp; Control'!$C$19="Base",O60,IF('01 Cover &amp; Control'!$C$19="Upside",O61,O62))</f>
        <v/>
      </c>
      <c r="P63" s="361">
        <f>IF('01 Cover &amp; Control'!$C$19="Base",P60,IF('01 Cover &amp; Control'!$C$19="Upside",P61,P62))</f>
        <v/>
      </c>
      <c r="Q63" s="361">
        <f>IF('01 Cover &amp; Control'!$C$19="Base",Q60,IF('01 Cover &amp; Control'!$C$19="Upside",Q61,Q62))</f>
        <v/>
      </c>
      <c r="R63" s="361">
        <f>IF('01 Cover &amp; Control'!$C$19="Base",R60,IF('01 Cover &amp; Control'!$C$19="Upside",R61,R62))</f>
        <v/>
      </c>
      <c r="S63" s="347">
        <f>AVERAGE(O63:R63)</f>
        <v/>
      </c>
      <c r="T63" s="361">
        <f>IF('01 Cover &amp; Control'!$C$19="Base",T60,IF('01 Cover &amp; Control'!$C$19="Upside",T61,T62))</f>
        <v/>
      </c>
      <c r="U63" s="361">
        <f>IF('01 Cover &amp; Control'!$C$19="Base",U60,IF('01 Cover &amp; Control'!$C$19="Upside",U61,U62))</f>
        <v/>
      </c>
      <c r="V63" s="361">
        <f>IF('01 Cover &amp; Control'!$C$19="Base",V60,IF('01 Cover &amp; Control'!$C$19="Upside",V61,V62))</f>
        <v/>
      </c>
      <c r="W63" s="361">
        <f>IF('01 Cover &amp; Control'!$C$19="Base",W60,IF('01 Cover &amp; Control'!$C$19="Upside",W61,W62))</f>
        <v/>
      </c>
      <c r="X63" s="347">
        <f>AVERAGE(T63:W63)</f>
        <v/>
      </c>
      <c r="Y63" s="361">
        <f>IF('01 Cover &amp; Control'!$C$19="Base",Y60,IF('01 Cover &amp; Control'!$C$19="Upside",Y61,Y62))</f>
        <v/>
      </c>
      <c r="Z63" s="361">
        <f>IF('01 Cover &amp; Control'!$C$19="Base",Z60,IF('01 Cover &amp; Control'!$C$19="Upside",Z61,Z62))</f>
        <v/>
      </c>
      <c r="AA63" s="361">
        <f>IF('01 Cover &amp; Control'!$C$19="Base",AA60,IF('01 Cover &amp; Control'!$C$19="Upside",AA61,AA62))</f>
        <v/>
      </c>
      <c r="AB63" s="361">
        <f>IF('01 Cover &amp; Control'!$C$19="Base",AB60,IF('01 Cover &amp; Control'!$C$19="Upside",AB61,AB62))</f>
        <v/>
      </c>
      <c r="AC63" s="347">
        <f>AVERAGE(Y63:AB63)</f>
        <v/>
      </c>
      <c r="AD63" s="361">
        <f>IF('01 Cover &amp; Control'!$C$19="Base",AD60,IF('01 Cover &amp; Control'!$C$19="Upside",AD61,AD62))</f>
        <v/>
      </c>
      <c r="AE63" s="361">
        <f>IF('01 Cover &amp; Control'!$C$19="Base",AE60,IF('01 Cover &amp; Control'!$C$19="Upside",AE61,AE62))</f>
        <v/>
      </c>
      <c r="AF63" s="361">
        <f>IF('01 Cover &amp; Control'!$C$19="Base",AF60,IF('01 Cover &amp; Control'!$C$19="Upside",AF61,AF62))</f>
        <v/>
      </c>
      <c r="AG63" s="361">
        <f>IF('01 Cover &amp; Control'!$C$19="Base",AG60,IF('01 Cover &amp; Control'!$C$19="Upside",AG61,AG62))</f>
        <v/>
      </c>
      <c r="AH63" s="347">
        <f>AVERAGE(AD63:AG63)</f>
        <v/>
      </c>
      <c r="AI63" s="361">
        <f>IF('01 Cover &amp; Control'!$C$19="Base",AI60,IF('01 Cover &amp; Control'!$C$19="Upside",AI61,AI62))</f>
        <v/>
      </c>
      <c r="AJ63" s="361">
        <f>IF('01 Cover &amp; Control'!$C$19="Base",AJ60,IF('01 Cover &amp; Control'!$C$19="Upside",AJ61,AJ62))</f>
        <v/>
      </c>
      <c r="AK63" s="361">
        <f>IF('01 Cover &amp; Control'!$C$19="Base",AK60,IF('01 Cover &amp; Control'!$C$19="Upside",AK61,AK62))</f>
        <v/>
      </c>
      <c r="AL63" s="361">
        <f>IF('01 Cover &amp; Control'!$C$19="Base",AL60,IF('01 Cover &amp; Control'!$C$19="Upside",AL61,AL62))</f>
        <v/>
      </c>
      <c r="AM63" s="347">
        <f>AVERAGE(AI63:AL63)</f>
        <v/>
      </c>
      <c r="AN63" s="361">
        <f>IF('01 Cover &amp; Control'!$C$19="Base",AN60,IF('01 Cover &amp; Control'!$C$19="Upside",AN61,AN62))</f>
        <v/>
      </c>
      <c r="AO63" s="361">
        <f>IF('01 Cover &amp; Control'!$C$19="Base",AO60,IF('01 Cover &amp; Control'!$C$19="Upside",AO61,AO62))</f>
        <v/>
      </c>
      <c r="AP63" s="361">
        <f>IF('01 Cover &amp; Control'!$C$19="Base",AP60,IF('01 Cover &amp; Control'!$C$19="Upside",AP61,AP62))</f>
        <v/>
      </c>
      <c r="AQ63" s="361">
        <f>IF('01 Cover &amp; Control'!$C$19="Base",AQ60,IF('01 Cover &amp; Control'!$C$19="Upside",AQ61,AQ62))</f>
        <v/>
      </c>
      <c r="AR63" s="347">
        <f>AVERAGE(AN63:AQ63)</f>
        <v/>
      </c>
    </row>
    <row r="64" ht="3.75" customHeight="1" s="290"/>
    <row r="65" ht="13.5" customHeight="1" s="290">
      <c r="A65" s="339" t="n"/>
      <c r="B65" s="357" t="inlineStr">
        <is>
          <t xml:space="preserve">  Beginning HC — Junior</t>
        </is>
      </c>
      <c r="C65" s="341" t="inlineStr">
        <is>
          <t>#</t>
        </is>
      </c>
      <c r="D65" s="342" t="inlineStr">
        <is>
          <t>Input: actuals for hist period; forecast = prior yr ending HC. Used directly in EPE formula.</t>
        </is>
      </c>
      <c r="E65" s="343" t="n">
        <v>9</v>
      </c>
      <c r="F65" s="343" t="n"/>
      <c r="G65" s="343" t="n"/>
      <c r="H65" s="343" t="n"/>
      <c r="I65" s="344">
        <f>SUM(E65:H65)</f>
        <v/>
      </c>
      <c r="J65" s="343" t="n"/>
      <c r="K65" s="343" t="n"/>
      <c r="L65" s="343" t="n"/>
      <c r="M65" s="343" t="n"/>
      <c r="N65" s="344">
        <f>SUM(J65:M65)</f>
        <v/>
      </c>
      <c r="O65" s="343" t="n"/>
      <c r="P65" s="343" t="n"/>
      <c r="Q65" s="343" t="n"/>
      <c r="R65" s="343" t="n"/>
      <c r="S65" s="344">
        <f>SUM(O65:R65)</f>
        <v/>
      </c>
      <c r="T65" s="343" t="n"/>
      <c r="U65" s="343" t="n"/>
      <c r="V65" s="343" t="n"/>
      <c r="W65" s="343" t="n"/>
      <c r="X65" s="344">
        <f>SUM(T65:W65)</f>
        <v/>
      </c>
      <c r="Y65" s="343" t="n"/>
      <c r="Z65" s="343" t="n"/>
      <c r="AA65" s="343" t="n"/>
      <c r="AB65" s="343" t="n"/>
      <c r="AC65" s="344">
        <f>SUM(Y65:AB65)</f>
        <v/>
      </c>
      <c r="AD65" s="343" t="n"/>
      <c r="AE65" s="343" t="n"/>
      <c r="AF65" s="343" t="n"/>
      <c r="AG65" s="343" t="n"/>
      <c r="AH65" s="344">
        <f>SUM(AD65:AG65)</f>
        <v/>
      </c>
      <c r="AI65" s="343" t="n"/>
      <c r="AJ65" s="343" t="n"/>
      <c r="AK65" s="343" t="n"/>
      <c r="AL65" s="343" t="n"/>
      <c r="AM65" s="344">
        <f>SUM(AI65:AL65)</f>
        <v/>
      </c>
      <c r="AN65" s="343" t="n"/>
      <c r="AO65" s="343" t="n"/>
      <c r="AP65" s="343" t="n"/>
      <c r="AQ65" s="343" t="n"/>
      <c r="AR65" s="344">
        <f>SUM(AN65:AQ65)</f>
        <v/>
      </c>
    </row>
    <row r="66" ht="13.5" customHeight="1" s="290">
      <c r="A66" s="339" t="n"/>
      <c r="B66" s="340" t="inlineStr">
        <is>
          <t xml:space="preserve">  Gross Hires / Qtr — Junior  — Base</t>
        </is>
      </c>
      <c r="C66" s="341" t="inlineStr">
        <is>
          <t>#/qtr</t>
        </is>
      </c>
      <c r="D66" s="342" t="inlineStr">
        <is>
          <t>Scenario-keyed. Upside = faster hiring. Downside = slower/failed hiring.</t>
        </is>
      </c>
      <c r="E66" s="343" t="n">
        <v>1.5</v>
      </c>
      <c r="F66" s="343" t="n">
        <v>1.5</v>
      </c>
      <c r="G66" s="343" t="n">
        <v>1.5</v>
      </c>
      <c r="H66" s="343" t="n">
        <v>1.5</v>
      </c>
      <c r="I66" s="344">
        <f>SUM(E66:H66)</f>
        <v/>
      </c>
      <c r="J66" s="343" t="n">
        <v>1.5</v>
      </c>
      <c r="K66" s="343" t="n">
        <v>1.5</v>
      </c>
      <c r="L66" s="343" t="n">
        <v>1.5</v>
      </c>
      <c r="M66" s="343" t="n">
        <v>1.5</v>
      </c>
      <c r="N66" s="344">
        <f>SUM(J66:M66)</f>
        <v/>
      </c>
      <c r="O66" s="343" t="n">
        <v>1.5</v>
      </c>
      <c r="P66" s="343" t="n">
        <v>1.5</v>
      </c>
      <c r="Q66" s="343" t="n">
        <v>1.5</v>
      </c>
      <c r="R66" s="343" t="n">
        <v>1.5</v>
      </c>
      <c r="S66" s="344">
        <f>SUM(O66:R66)</f>
        <v/>
      </c>
      <c r="T66" s="343" t="n">
        <v>1.5</v>
      </c>
      <c r="U66" s="343" t="n">
        <v>1.5</v>
      </c>
      <c r="V66" s="343" t="n">
        <v>1.5</v>
      </c>
      <c r="W66" s="343" t="n">
        <v>1.5</v>
      </c>
      <c r="X66" s="344">
        <f>SUM(T66:W66)</f>
        <v/>
      </c>
      <c r="Y66" s="343" t="n">
        <v>1.5</v>
      </c>
      <c r="Z66" s="343" t="n">
        <v>1.5</v>
      </c>
      <c r="AA66" s="343" t="n">
        <v>1.5</v>
      </c>
      <c r="AB66" s="343" t="n">
        <v>1.5</v>
      </c>
      <c r="AC66" s="344">
        <f>SUM(Y66:AB66)</f>
        <v/>
      </c>
      <c r="AD66" s="343" t="n">
        <v>1.5</v>
      </c>
      <c r="AE66" s="343" t="n">
        <v>1.5</v>
      </c>
      <c r="AF66" s="343" t="n">
        <v>1.5</v>
      </c>
      <c r="AG66" s="343" t="n">
        <v>1.5</v>
      </c>
      <c r="AH66" s="344">
        <f>SUM(AD66:AG66)</f>
        <v/>
      </c>
      <c r="AI66" s="343" t="n">
        <v>1.5</v>
      </c>
      <c r="AJ66" s="343" t="n">
        <v>1.5</v>
      </c>
      <c r="AK66" s="343" t="n">
        <v>1.5</v>
      </c>
      <c r="AL66" s="343" t="n">
        <v>1.5</v>
      </c>
      <c r="AM66" s="344">
        <f>SUM(AI66:AL66)</f>
        <v/>
      </c>
      <c r="AN66" s="343" t="n">
        <v>1.5</v>
      </c>
      <c r="AO66" s="343" t="n">
        <v>1.5</v>
      </c>
      <c r="AP66" s="343" t="n">
        <v>1.5</v>
      </c>
      <c r="AQ66" s="343" t="n">
        <v>1.5</v>
      </c>
      <c r="AR66" s="344">
        <f>SUM(AN66:AQ66)</f>
        <v/>
      </c>
    </row>
    <row r="67" ht="13.5" customHeight="1" s="290">
      <c r="A67" s="339" t="n"/>
      <c r="B67" s="340" t="inlineStr">
        <is>
          <t xml:space="preserve">  Gross Hires / Qtr — Junior  — Upside</t>
        </is>
      </c>
      <c r="E67" s="343" t="n">
        <v>1.65</v>
      </c>
      <c r="F67" s="343" t="n">
        <v>1.65</v>
      </c>
      <c r="G67" s="343" t="n">
        <v>1.65</v>
      </c>
      <c r="H67" s="343" t="n">
        <v>1.65</v>
      </c>
      <c r="I67" s="344">
        <f>SUM(E67:H67)</f>
        <v/>
      </c>
      <c r="J67" s="343" t="n">
        <v>1.65</v>
      </c>
      <c r="K67" s="343" t="n">
        <v>1.65</v>
      </c>
      <c r="L67" s="343" t="n">
        <v>1.65</v>
      </c>
      <c r="M67" s="343" t="n">
        <v>1.65</v>
      </c>
      <c r="N67" s="344">
        <f>SUM(J67:M67)</f>
        <v/>
      </c>
      <c r="O67" s="343" t="n">
        <v>1.65</v>
      </c>
      <c r="P67" s="343" t="n">
        <v>1.65</v>
      </c>
      <c r="Q67" s="343" t="n">
        <v>1.65</v>
      </c>
      <c r="R67" s="343" t="n">
        <v>1.65</v>
      </c>
      <c r="S67" s="344">
        <f>SUM(O67:R67)</f>
        <v/>
      </c>
      <c r="T67" s="343" t="n">
        <v>1.65</v>
      </c>
      <c r="U67" s="343" t="n">
        <v>1.65</v>
      </c>
      <c r="V67" s="343" t="n">
        <v>1.65</v>
      </c>
      <c r="W67" s="343" t="n">
        <v>1.65</v>
      </c>
      <c r="X67" s="344">
        <f>SUM(T67:W67)</f>
        <v/>
      </c>
      <c r="Y67" s="343" t="n">
        <v>1.65</v>
      </c>
      <c r="Z67" s="343" t="n">
        <v>1.65</v>
      </c>
      <c r="AA67" s="343" t="n">
        <v>1.65</v>
      </c>
      <c r="AB67" s="343" t="n">
        <v>1.65</v>
      </c>
      <c r="AC67" s="344">
        <f>SUM(Y67:AB67)</f>
        <v/>
      </c>
      <c r="AD67" s="343" t="n">
        <v>1.65</v>
      </c>
      <c r="AE67" s="343" t="n">
        <v>1.65</v>
      </c>
      <c r="AF67" s="343" t="n">
        <v>1.65</v>
      </c>
      <c r="AG67" s="343" t="n">
        <v>1.65</v>
      </c>
      <c r="AH67" s="344">
        <f>SUM(AD67:AG67)</f>
        <v/>
      </c>
      <c r="AI67" s="343" t="n">
        <v>1.65</v>
      </c>
      <c r="AJ67" s="343" t="n">
        <v>1.65</v>
      </c>
      <c r="AK67" s="343" t="n">
        <v>1.65</v>
      </c>
      <c r="AL67" s="343" t="n">
        <v>1.65</v>
      </c>
      <c r="AM67" s="344">
        <f>SUM(AI67:AL67)</f>
        <v/>
      </c>
      <c r="AN67" s="343" t="n">
        <v>1.65</v>
      </c>
      <c r="AO67" s="343" t="n">
        <v>1.65</v>
      </c>
      <c r="AP67" s="343" t="n">
        <v>1.65</v>
      </c>
      <c r="AQ67" s="343" t="n">
        <v>1.65</v>
      </c>
      <c r="AR67" s="344">
        <f>SUM(AN67:AQ67)</f>
        <v/>
      </c>
    </row>
    <row r="68" ht="13.5" customHeight="1" s="290">
      <c r="A68" s="339" t="n"/>
      <c r="B68" s="340" t="inlineStr">
        <is>
          <t xml:space="preserve">  Gross Hires / Qtr — Junior  — Downside</t>
        </is>
      </c>
      <c r="E68" s="343" t="n">
        <v>1.28</v>
      </c>
      <c r="F68" s="343" t="n">
        <v>1.28</v>
      </c>
      <c r="G68" s="343" t="n">
        <v>1.28</v>
      </c>
      <c r="H68" s="343" t="n">
        <v>1.28</v>
      </c>
      <c r="I68" s="344">
        <f>SUM(E68:H68)</f>
        <v/>
      </c>
      <c r="J68" s="343" t="n">
        <v>1.28</v>
      </c>
      <c r="K68" s="343" t="n">
        <v>1.28</v>
      </c>
      <c r="L68" s="343" t="n">
        <v>1.28</v>
      </c>
      <c r="M68" s="343" t="n">
        <v>1.28</v>
      </c>
      <c r="N68" s="344">
        <f>SUM(J68:M68)</f>
        <v/>
      </c>
      <c r="O68" s="343" t="n">
        <v>1.28</v>
      </c>
      <c r="P68" s="343" t="n">
        <v>1.28</v>
      </c>
      <c r="Q68" s="343" t="n">
        <v>1.28</v>
      </c>
      <c r="R68" s="343" t="n">
        <v>1.28</v>
      </c>
      <c r="S68" s="344">
        <f>SUM(O68:R68)</f>
        <v/>
      </c>
      <c r="T68" s="343" t="n">
        <v>1.28</v>
      </c>
      <c r="U68" s="343" t="n">
        <v>1.28</v>
      </c>
      <c r="V68" s="343" t="n">
        <v>1.28</v>
      </c>
      <c r="W68" s="343" t="n">
        <v>1.28</v>
      </c>
      <c r="X68" s="344">
        <f>SUM(T68:W68)</f>
        <v/>
      </c>
      <c r="Y68" s="343" t="n">
        <v>1.28</v>
      </c>
      <c r="Z68" s="343" t="n">
        <v>1.28</v>
      </c>
      <c r="AA68" s="343" t="n">
        <v>1.28</v>
      </c>
      <c r="AB68" s="343" t="n">
        <v>1.28</v>
      </c>
      <c r="AC68" s="344">
        <f>SUM(Y68:AB68)</f>
        <v/>
      </c>
      <c r="AD68" s="343" t="n">
        <v>1.28</v>
      </c>
      <c r="AE68" s="343" t="n">
        <v>1.28</v>
      </c>
      <c r="AF68" s="343" t="n">
        <v>1.28</v>
      </c>
      <c r="AG68" s="343" t="n">
        <v>1.28</v>
      </c>
      <c r="AH68" s="344">
        <f>SUM(AD68:AG68)</f>
        <v/>
      </c>
      <c r="AI68" s="343" t="n">
        <v>1.28</v>
      </c>
      <c r="AJ68" s="343" t="n">
        <v>1.28</v>
      </c>
      <c r="AK68" s="343" t="n">
        <v>1.28</v>
      </c>
      <c r="AL68" s="343" t="n">
        <v>1.28</v>
      </c>
      <c r="AM68" s="344">
        <f>SUM(AI68:AL68)</f>
        <v/>
      </c>
      <c r="AN68" s="343" t="n">
        <v>1.28</v>
      </c>
      <c r="AO68" s="343" t="n">
        <v>1.28</v>
      </c>
      <c r="AP68" s="343" t="n">
        <v>1.28</v>
      </c>
      <c r="AQ68" s="343" t="n">
        <v>1.28</v>
      </c>
      <c r="AR68" s="344">
        <f>SUM(AN68:AQ68)</f>
        <v/>
      </c>
    </row>
    <row r="69" ht="13.5" customHeight="1" s="290">
      <c r="A69" s="345" t="n"/>
      <c r="B69" s="346" t="inlineStr">
        <is>
          <t xml:space="preserve">  Gross Hires / Qtr — Junior  — ★ ACTIVE</t>
        </is>
      </c>
      <c r="E69" s="361">
        <f>IF('01 Cover &amp; Control'!$C$19="Base",E66,IF('01 Cover &amp; Control'!$C$19="Upside",E67,E68))</f>
        <v/>
      </c>
      <c r="F69" s="361">
        <f>IF('01 Cover &amp; Control'!$C$19="Base",F66,IF('01 Cover &amp; Control'!$C$19="Upside",F67,F68))</f>
        <v/>
      </c>
      <c r="G69" s="361">
        <f>IF('01 Cover &amp; Control'!$C$19="Base",G66,IF('01 Cover &amp; Control'!$C$19="Upside",G67,G68))</f>
        <v/>
      </c>
      <c r="H69" s="361">
        <f>IF('01 Cover &amp; Control'!$C$19="Base",H66,IF('01 Cover &amp; Control'!$C$19="Upside",H67,H68))</f>
        <v/>
      </c>
      <c r="I69" s="347">
        <f>SUM(E69:H69)</f>
        <v/>
      </c>
      <c r="J69" s="361">
        <f>IF('01 Cover &amp; Control'!$C$19="Base",J66,IF('01 Cover &amp; Control'!$C$19="Upside",J67,J68))</f>
        <v/>
      </c>
      <c r="K69" s="361">
        <f>IF('01 Cover &amp; Control'!$C$19="Base",K66,IF('01 Cover &amp; Control'!$C$19="Upside",K67,K68))</f>
        <v/>
      </c>
      <c r="L69" s="361">
        <f>IF('01 Cover &amp; Control'!$C$19="Base",L66,IF('01 Cover &amp; Control'!$C$19="Upside",L67,L68))</f>
        <v/>
      </c>
      <c r="M69" s="361">
        <f>IF('01 Cover &amp; Control'!$C$19="Base",M66,IF('01 Cover &amp; Control'!$C$19="Upside",M67,M68))</f>
        <v/>
      </c>
      <c r="N69" s="347">
        <f>SUM(J69:M69)</f>
        <v/>
      </c>
      <c r="O69" s="361">
        <f>IF('01 Cover &amp; Control'!$C$19="Base",O66,IF('01 Cover &amp; Control'!$C$19="Upside",O67,O68))</f>
        <v/>
      </c>
      <c r="P69" s="361">
        <f>IF('01 Cover &amp; Control'!$C$19="Base",P66,IF('01 Cover &amp; Control'!$C$19="Upside",P67,P68))</f>
        <v/>
      </c>
      <c r="Q69" s="361">
        <f>IF('01 Cover &amp; Control'!$C$19="Base",Q66,IF('01 Cover &amp; Control'!$C$19="Upside",Q67,Q68))</f>
        <v/>
      </c>
      <c r="R69" s="361">
        <f>IF('01 Cover &amp; Control'!$C$19="Base",R66,IF('01 Cover &amp; Control'!$C$19="Upside",R67,R68))</f>
        <v/>
      </c>
      <c r="S69" s="347">
        <f>SUM(O69:R69)</f>
        <v/>
      </c>
      <c r="T69" s="361">
        <f>IF('01 Cover &amp; Control'!$C$19="Base",T66,IF('01 Cover &amp; Control'!$C$19="Upside",T67,T68))</f>
        <v/>
      </c>
      <c r="U69" s="361">
        <f>IF('01 Cover &amp; Control'!$C$19="Base",U66,IF('01 Cover &amp; Control'!$C$19="Upside",U67,U68))</f>
        <v/>
      </c>
      <c r="V69" s="361">
        <f>IF('01 Cover &amp; Control'!$C$19="Base",V66,IF('01 Cover &amp; Control'!$C$19="Upside",V67,V68))</f>
        <v/>
      </c>
      <c r="W69" s="361">
        <f>IF('01 Cover &amp; Control'!$C$19="Base",W66,IF('01 Cover &amp; Control'!$C$19="Upside",W67,W68))</f>
        <v/>
      </c>
      <c r="X69" s="347">
        <f>SUM(T69:W69)</f>
        <v/>
      </c>
      <c r="Y69" s="361">
        <f>IF('01 Cover &amp; Control'!$C$19="Base",Y66,IF('01 Cover &amp; Control'!$C$19="Upside",Y67,Y68))</f>
        <v/>
      </c>
      <c r="Z69" s="361">
        <f>IF('01 Cover &amp; Control'!$C$19="Base",Z66,IF('01 Cover &amp; Control'!$C$19="Upside",Z67,Z68))</f>
        <v/>
      </c>
      <c r="AA69" s="361">
        <f>IF('01 Cover &amp; Control'!$C$19="Base",AA66,IF('01 Cover &amp; Control'!$C$19="Upside",AA67,AA68))</f>
        <v/>
      </c>
      <c r="AB69" s="361">
        <f>IF('01 Cover &amp; Control'!$C$19="Base",AB66,IF('01 Cover &amp; Control'!$C$19="Upside",AB67,AB68))</f>
        <v/>
      </c>
      <c r="AC69" s="347">
        <f>SUM(Y69:AB69)</f>
        <v/>
      </c>
      <c r="AD69" s="361">
        <f>IF('01 Cover &amp; Control'!$C$19="Base",AD66,IF('01 Cover &amp; Control'!$C$19="Upside",AD67,AD68))</f>
        <v/>
      </c>
      <c r="AE69" s="361">
        <f>IF('01 Cover &amp; Control'!$C$19="Base",AE66,IF('01 Cover &amp; Control'!$C$19="Upside",AE67,AE68))</f>
        <v/>
      </c>
      <c r="AF69" s="361">
        <f>IF('01 Cover &amp; Control'!$C$19="Base",AF66,IF('01 Cover &amp; Control'!$C$19="Upside",AF67,AF68))</f>
        <v/>
      </c>
      <c r="AG69" s="361">
        <f>IF('01 Cover &amp; Control'!$C$19="Base",AG66,IF('01 Cover &amp; Control'!$C$19="Upside",AG67,AG68))</f>
        <v/>
      </c>
      <c r="AH69" s="347">
        <f>SUM(AD69:AG69)</f>
        <v/>
      </c>
      <c r="AI69" s="361">
        <f>IF('01 Cover &amp; Control'!$C$19="Base",AI66,IF('01 Cover &amp; Control'!$C$19="Upside",AI67,AI68))</f>
        <v/>
      </c>
      <c r="AJ69" s="361">
        <f>IF('01 Cover &amp; Control'!$C$19="Base",AJ66,IF('01 Cover &amp; Control'!$C$19="Upside",AJ67,AJ68))</f>
        <v/>
      </c>
      <c r="AK69" s="361">
        <f>IF('01 Cover &amp; Control'!$C$19="Base",AK66,IF('01 Cover &amp; Control'!$C$19="Upside",AK67,AK68))</f>
        <v/>
      </c>
      <c r="AL69" s="361">
        <f>IF('01 Cover &amp; Control'!$C$19="Base",AL66,IF('01 Cover &amp; Control'!$C$19="Upside",AL67,AL68))</f>
        <v/>
      </c>
      <c r="AM69" s="347">
        <f>SUM(AI69:AL69)</f>
        <v/>
      </c>
      <c r="AN69" s="361">
        <f>IF('01 Cover &amp; Control'!$C$19="Base",AN66,IF('01 Cover &amp; Control'!$C$19="Upside",AN67,AN68))</f>
        <v/>
      </c>
      <c r="AO69" s="361">
        <f>IF('01 Cover &amp; Control'!$C$19="Base",AO66,IF('01 Cover &amp; Control'!$C$19="Upside",AO67,AO68))</f>
        <v/>
      </c>
      <c r="AP69" s="361">
        <f>IF('01 Cover &amp; Control'!$C$19="Base",AP66,IF('01 Cover &amp; Control'!$C$19="Upside",AP67,AP68))</f>
        <v/>
      </c>
      <c r="AQ69" s="361">
        <f>IF('01 Cover &amp; Control'!$C$19="Base",AQ66,IF('01 Cover &amp; Control'!$C$19="Upside",AQ67,AQ68))</f>
        <v/>
      </c>
      <c r="AR69" s="347">
        <f>SUM(AN69:AQ69)</f>
        <v/>
      </c>
    </row>
    <row r="70" ht="13.5" customHeight="1" s="290">
      <c r="A70" s="339" t="n"/>
      <c r="B70" s="340" t="inlineStr">
        <is>
          <t xml:space="preserve">  Attrition Rate — Junior  — Base</t>
        </is>
      </c>
      <c r="C70" s="341" t="inlineStr">
        <is>
          <t>%/qtr</t>
        </is>
      </c>
      <c r="D70" s="342" t="inlineStr">
        <is>
          <t>Quarterly attrition rate applied to Beginning HC. Upside = lower attrition (strong market). Downside = higher (competitors poach).</t>
        </is>
      </c>
      <c r="E70" s="343" t="n">
        <v>0.06</v>
      </c>
      <c r="F70" s="343" t="n">
        <v>0.06</v>
      </c>
      <c r="G70" s="343" t="n">
        <v>0.06</v>
      </c>
      <c r="H70" s="343" t="n">
        <v>0.06</v>
      </c>
      <c r="I70" s="344">
        <f>SUM(E70:H70)</f>
        <v/>
      </c>
      <c r="J70" s="343" t="n">
        <v>0.06</v>
      </c>
      <c r="K70" s="343" t="n">
        <v>0.06</v>
      </c>
      <c r="L70" s="343" t="n">
        <v>0.06</v>
      </c>
      <c r="M70" s="343" t="n">
        <v>0.06</v>
      </c>
      <c r="N70" s="344">
        <f>SUM(J70:M70)</f>
        <v/>
      </c>
      <c r="O70" s="343" t="n">
        <v>0.06</v>
      </c>
      <c r="P70" s="343" t="n">
        <v>0.06</v>
      </c>
      <c r="Q70" s="343" t="n">
        <v>0.06</v>
      </c>
      <c r="R70" s="343" t="n">
        <v>0.06</v>
      </c>
      <c r="S70" s="344">
        <f>SUM(O70:R70)</f>
        <v/>
      </c>
      <c r="T70" s="343" t="n">
        <v>0.06</v>
      </c>
      <c r="U70" s="343" t="n">
        <v>0.06</v>
      </c>
      <c r="V70" s="343" t="n">
        <v>0.06</v>
      </c>
      <c r="W70" s="343" t="n">
        <v>0.06</v>
      </c>
      <c r="X70" s="344">
        <f>SUM(T70:W70)</f>
        <v/>
      </c>
      <c r="Y70" s="343" t="n">
        <v>0.06</v>
      </c>
      <c r="Z70" s="343" t="n">
        <v>0.06</v>
      </c>
      <c r="AA70" s="343" t="n">
        <v>0.06</v>
      </c>
      <c r="AB70" s="343" t="n">
        <v>0.06</v>
      </c>
      <c r="AC70" s="344">
        <f>SUM(Y70:AB70)</f>
        <v/>
      </c>
      <c r="AD70" s="343" t="n">
        <v>0.06</v>
      </c>
      <c r="AE70" s="343" t="n">
        <v>0.06</v>
      </c>
      <c r="AF70" s="343" t="n">
        <v>0.06</v>
      </c>
      <c r="AG70" s="343" t="n">
        <v>0.06</v>
      </c>
      <c r="AH70" s="344">
        <f>SUM(AD70:AG70)</f>
        <v/>
      </c>
      <c r="AI70" s="343" t="n">
        <v>0.06</v>
      </c>
      <c r="AJ70" s="343" t="n">
        <v>0.06</v>
      </c>
      <c r="AK70" s="343" t="n">
        <v>0.06</v>
      </c>
      <c r="AL70" s="343" t="n">
        <v>0.06</v>
      </c>
      <c r="AM70" s="344">
        <f>SUM(AI70:AL70)</f>
        <v/>
      </c>
      <c r="AN70" s="343" t="n">
        <v>0.06</v>
      </c>
      <c r="AO70" s="343" t="n">
        <v>0.06</v>
      </c>
      <c r="AP70" s="343" t="n">
        <v>0.06</v>
      </c>
      <c r="AQ70" s="343" t="n">
        <v>0.06</v>
      </c>
      <c r="AR70" s="344">
        <f>SUM(AN70:AQ70)</f>
        <v/>
      </c>
    </row>
    <row r="71" ht="13.5" customHeight="1" s="290">
      <c r="A71" s="339" t="n"/>
      <c r="B71" s="340" t="inlineStr">
        <is>
          <t xml:space="preserve">  Attrition Rate — Junior  — Upside</t>
        </is>
      </c>
      <c r="E71" s="343" t="n">
        <v>0.052</v>
      </c>
      <c r="F71" s="343" t="n">
        <v>0.052</v>
      </c>
      <c r="G71" s="343" t="n">
        <v>0.052</v>
      </c>
      <c r="H71" s="343" t="n">
        <v>0.052</v>
      </c>
      <c r="I71" s="344">
        <f>SUM(E71:H71)</f>
        <v/>
      </c>
      <c r="J71" s="343" t="n">
        <v>0.052</v>
      </c>
      <c r="K71" s="343" t="n">
        <v>0.052</v>
      </c>
      <c r="L71" s="343" t="n">
        <v>0.052</v>
      </c>
      <c r="M71" s="343" t="n">
        <v>0.052</v>
      </c>
      <c r="N71" s="344">
        <f>SUM(J71:M71)</f>
        <v/>
      </c>
      <c r="O71" s="343" t="n">
        <v>0.052</v>
      </c>
      <c r="P71" s="343" t="n">
        <v>0.052</v>
      </c>
      <c r="Q71" s="343" t="n">
        <v>0.052</v>
      </c>
      <c r="R71" s="343" t="n">
        <v>0.052</v>
      </c>
      <c r="S71" s="344">
        <f>SUM(O71:R71)</f>
        <v/>
      </c>
      <c r="T71" s="343" t="n">
        <v>0.052</v>
      </c>
      <c r="U71" s="343" t="n">
        <v>0.052</v>
      </c>
      <c r="V71" s="343" t="n">
        <v>0.052</v>
      </c>
      <c r="W71" s="343" t="n">
        <v>0.052</v>
      </c>
      <c r="X71" s="344">
        <f>SUM(T71:W71)</f>
        <v/>
      </c>
      <c r="Y71" s="343" t="n">
        <v>0.052</v>
      </c>
      <c r="Z71" s="343" t="n">
        <v>0.052</v>
      </c>
      <c r="AA71" s="343" t="n">
        <v>0.052</v>
      </c>
      <c r="AB71" s="343" t="n">
        <v>0.052</v>
      </c>
      <c r="AC71" s="344">
        <f>SUM(Y71:AB71)</f>
        <v/>
      </c>
      <c r="AD71" s="343" t="n">
        <v>0.052</v>
      </c>
      <c r="AE71" s="343" t="n">
        <v>0.052</v>
      </c>
      <c r="AF71" s="343" t="n">
        <v>0.052</v>
      </c>
      <c r="AG71" s="343" t="n">
        <v>0.052</v>
      </c>
      <c r="AH71" s="344">
        <f>SUM(AD71:AG71)</f>
        <v/>
      </c>
      <c r="AI71" s="343" t="n">
        <v>0.052</v>
      </c>
      <c r="AJ71" s="343" t="n">
        <v>0.052</v>
      </c>
      <c r="AK71" s="343" t="n">
        <v>0.052</v>
      </c>
      <c r="AL71" s="343" t="n">
        <v>0.052</v>
      </c>
      <c r="AM71" s="344">
        <f>SUM(AI71:AL71)</f>
        <v/>
      </c>
      <c r="AN71" s="343" t="n">
        <v>0.052</v>
      </c>
      <c r="AO71" s="343" t="n">
        <v>0.052</v>
      </c>
      <c r="AP71" s="343" t="n">
        <v>0.052</v>
      </c>
      <c r="AQ71" s="343" t="n">
        <v>0.052</v>
      </c>
      <c r="AR71" s="344">
        <f>SUM(AN71:AQ71)</f>
        <v/>
      </c>
    </row>
    <row r="72" ht="13.5" customHeight="1" s="290">
      <c r="A72" s="339" t="n"/>
      <c r="B72" s="340" t="inlineStr">
        <is>
          <t xml:space="preserve">  Attrition Rate — Junior  — Downside</t>
        </is>
      </c>
      <c r="E72" s="343" t="n">
        <v>0.08</v>
      </c>
      <c r="F72" s="343" t="n">
        <v>0.08</v>
      </c>
      <c r="G72" s="343" t="n">
        <v>0.08</v>
      </c>
      <c r="H72" s="343" t="n">
        <v>0.08</v>
      </c>
      <c r="I72" s="344">
        <f>SUM(E72:H72)</f>
        <v/>
      </c>
      <c r="J72" s="343" t="n">
        <v>0.08</v>
      </c>
      <c r="K72" s="343" t="n">
        <v>0.08</v>
      </c>
      <c r="L72" s="343" t="n">
        <v>0.08</v>
      </c>
      <c r="M72" s="343" t="n">
        <v>0.08</v>
      </c>
      <c r="N72" s="344">
        <f>SUM(J72:M72)</f>
        <v/>
      </c>
      <c r="O72" s="343" t="n">
        <v>0.08</v>
      </c>
      <c r="P72" s="343" t="n">
        <v>0.08</v>
      </c>
      <c r="Q72" s="343" t="n">
        <v>0.08</v>
      </c>
      <c r="R72" s="343" t="n">
        <v>0.08</v>
      </c>
      <c r="S72" s="344">
        <f>SUM(O72:R72)</f>
        <v/>
      </c>
      <c r="T72" s="343" t="n">
        <v>0.08</v>
      </c>
      <c r="U72" s="343" t="n">
        <v>0.08</v>
      </c>
      <c r="V72" s="343" t="n">
        <v>0.08</v>
      </c>
      <c r="W72" s="343" t="n">
        <v>0.08</v>
      </c>
      <c r="X72" s="344">
        <f>SUM(T72:W72)</f>
        <v/>
      </c>
      <c r="Y72" s="343" t="n">
        <v>0.08</v>
      </c>
      <c r="Z72" s="343" t="n">
        <v>0.08</v>
      </c>
      <c r="AA72" s="343" t="n">
        <v>0.08</v>
      </c>
      <c r="AB72" s="343" t="n">
        <v>0.08</v>
      </c>
      <c r="AC72" s="344">
        <f>SUM(Y72:AB72)</f>
        <v/>
      </c>
      <c r="AD72" s="343" t="n">
        <v>0.08</v>
      </c>
      <c r="AE72" s="343" t="n">
        <v>0.08</v>
      </c>
      <c r="AF72" s="343" t="n">
        <v>0.08</v>
      </c>
      <c r="AG72" s="343" t="n">
        <v>0.08</v>
      </c>
      <c r="AH72" s="344">
        <f>SUM(AD72:AG72)</f>
        <v/>
      </c>
      <c r="AI72" s="343" t="n">
        <v>0.08</v>
      </c>
      <c r="AJ72" s="343" t="n">
        <v>0.08</v>
      </c>
      <c r="AK72" s="343" t="n">
        <v>0.08</v>
      </c>
      <c r="AL72" s="343" t="n">
        <v>0.08</v>
      </c>
      <c r="AM72" s="344">
        <f>SUM(AI72:AL72)</f>
        <v/>
      </c>
      <c r="AN72" s="343" t="n">
        <v>0.08</v>
      </c>
      <c r="AO72" s="343" t="n">
        <v>0.08</v>
      </c>
      <c r="AP72" s="343" t="n">
        <v>0.08</v>
      </c>
      <c r="AQ72" s="343" t="n">
        <v>0.08</v>
      </c>
      <c r="AR72" s="344">
        <f>SUM(AN72:AQ72)</f>
        <v/>
      </c>
    </row>
    <row r="73" ht="13.5" customHeight="1" s="290">
      <c r="A73" s="345" t="n"/>
      <c r="B73" s="346" t="inlineStr">
        <is>
          <t xml:space="preserve">  Attrition Rate — Junior  — ★ ACTIVE</t>
        </is>
      </c>
      <c r="E73" s="361">
        <f>IF('01 Cover &amp; Control'!$C$19="Base",E70,IF('01 Cover &amp; Control'!$C$19="Upside",E71,E72))</f>
        <v/>
      </c>
      <c r="F73" s="361">
        <f>IF('01 Cover &amp; Control'!$C$19="Base",F70,IF('01 Cover &amp; Control'!$C$19="Upside",F71,F72))</f>
        <v/>
      </c>
      <c r="G73" s="361">
        <f>IF('01 Cover &amp; Control'!$C$19="Base",G70,IF('01 Cover &amp; Control'!$C$19="Upside",G71,G72))</f>
        <v/>
      </c>
      <c r="H73" s="361">
        <f>IF('01 Cover &amp; Control'!$C$19="Base",H70,IF('01 Cover &amp; Control'!$C$19="Upside",H71,H72))</f>
        <v/>
      </c>
      <c r="I73" s="347">
        <f>AVERAGE(E73:H73)</f>
        <v/>
      </c>
      <c r="J73" s="361">
        <f>IF('01 Cover &amp; Control'!$C$19="Base",J70,IF('01 Cover &amp; Control'!$C$19="Upside",J71,J72))</f>
        <v/>
      </c>
      <c r="K73" s="361">
        <f>IF('01 Cover &amp; Control'!$C$19="Base",K70,IF('01 Cover &amp; Control'!$C$19="Upside",K71,K72))</f>
        <v/>
      </c>
      <c r="L73" s="361">
        <f>IF('01 Cover &amp; Control'!$C$19="Base",L70,IF('01 Cover &amp; Control'!$C$19="Upside",L71,L72))</f>
        <v/>
      </c>
      <c r="M73" s="361">
        <f>IF('01 Cover &amp; Control'!$C$19="Base",M70,IF('01 Cover &amp; Control'!$C$19="Upside",M71,M72))</f>
        <v/>
      </c>
      <c r="N73" s="347">
        <f>AVERAGE(J73:M73)</f>
        <v/>
      </c>
      <c r="O73" s="361">
        <f>IF('01 Cover &amp; Control'!$C$19="Base",O70,IF('01 Cover &amp; Control'!$C$19="Upside",O71,O72))</f>
        <v/>
      </c>
      <c r="P73" s="361">
        <f>IF('01 Cover &amp; Control'!$C$19="Base",P70,IF('01 Cover &amp; Control'!$C$19="Upside",P71,P72))</f>
        <v/>
      </c>
      <c r="Q73" s="361">
        <f>IF('01 Cover &amp; Control'!$C$19="Base",Q70,IF('01 Cover &amp; Control'!$C$19="Upside",Q71,Q72))</f>
        <v/>
      </c>
      <c r="R73" s="361">
        <f>IF('01 Cover &amp; Control'!$C$19="Base",R70,IF('01 Cover &amp; Control'!$C$19="Upside",R71,R72))</f>
        <v/>
      </c>
      <c r="S73" s="347">
        <f>AVERAGE(O73:R73)</f>
        <v/>
      </c>
      <c r="T73" s="361">
        <f>IF('01 Cover &amp; Control'!$C$19="Base",T70,IF('01 Cover &amp; Control'!$C$19="Upside",T71,T72))</f>
        <v/>
      </c>
      <c r="U73" s="361">
        <f>IF('01 Cover &amp; Control'!$C$19="Base",U70,IF('01 Cover &amp; Control'!$C$19="Upside",U71,U72))</f>
        <v/>
      </c>
      <c r="V73" s="361">
        <f>IF('01 Cover &amp; Control'!$C$19="Base",V70,IF('01 Cover &amp; Control'!$C$19="Upside",V71,V72))</f>
        <v/>
      </c>
      <c r="W73" s="361">
        <f>IF('01 Cover &amp; Control'!$C$19="Base",W70,IF('01 Cover &amp; Control'!$C$19="Upside",W71,W72))</f>
        <v/>
      </c>
      <c r="X73" s="347">
        <f>AVERAGE(T73:W73)</f>
        <v/>
      </c>
      <c r="Y73" s="361">
        <f>IF('01 Cover &amp; Control'!$C$19="Base",Y70,IF('01 Cover &amp; Control'!$C$19="Upside",Y71,Y72))</f>
        <v/>
      </c>
      <c r="Z73" s="361">
        <f>IF('01 Cover &amp; Control'!$C$19="Base",Z70,IF('01 Cover &amp; Control'!$C$19="Upside",Z71,Z72))</f>
        <v/>
      </c>
      <c r="AA73" s="361">
        <f>IF('01 Cover &amp; Control'!$C$19="Base",AA70,IF('01 Cover &amp; Control'!$C$19="Upside",AA71,AA72))</f>
        <v/>
      </c>
      <c r="AB73" s="361">
        <f>IF('01 Cover &amp; Control'!$C$19="Base",AB70,IF('01 Cover &amp; Control'!$C$19="Upside",AB71,AB72))</f>
        <v/>
      </c>
      <c r="AC73" s="347">
        <f>AVERAGE(Y73:AB73)</f>
        <v/>
      </c>
      <c r="AD73" s="361">
        <f>IF('01 Cover &amp; Control'!$C$19="Base",AD70,IF('01 Cover &amp; Control'!$C$19="Upside",AD71,AD72))</f>
        <v/>
      </c>
      <c r="AE73" s="361">
        <f>IF('01 Cover &amp; Control'!$C$19="Base",AE70,IF('01 Cover &amp; Control'!$C$19="Upside",AE71,AE72))</f>
        <v/>
      </c>
      <c r="AF73" s="361">
        <f>IF('01 Cover &amp; Control'!$C$19="Base",AF70,IF('01 Cover &amp; Control'!$C$19="Upside",AF71,AF72))</f>
        <v/>
      </c>
      <c r="AG73" s="361">
        <f>IF('01 Cover &amp; Control'!$C$19="Base",AG70,IF('01 Cover &amp; Control'!$C$19="Upside",AG71,AG72))</f>
        <v/>
      </c>
      <c r="AH73" s="347">
        <f>AVERAGE(AD73:AG73)</f>
        <v/>
      </c>
      <c r="AI73" s="361">
        <f>IF('01 Cover &amp; Control'!$C$19="Base",AI70,IF('01 Cover &amp; Control'!$C$19="Upside",AI71,AI72))</f>
        <v/>
      </c>
      <c r="AJ73" s="361">
        <f>IF('01 Cover &amp; Control'!$C$19="Base",AJ70,IF('01 Cover &amp; Control'!$C$19="Upside",AJ71,AJ72))</f>
        <v/>
      </c>
      <c r="AK73" s="361">
        <f>IF('01 Cover &amp; Control'!$C$19="Base",AK70,IF('01 Cover &amp; Control'!$C$19="Upside",AK71,AK72))</f>
        <v/>
      </c>
      <c r="AL73" s="361">
        <f>IF('01 Cover &amp; Control'!$C$19="Base",AL70,IF('01 Cover &amp; Control'!$C$19="Upside",AL71,AL72))</f>
        <v/>
      </c>
      <c r="AM73" s="347">
        <f>AVERAGE(AI73:AL73)</f>
        <v/>
      </c>
      <c r="AN73" s="361">
        <f>IF('01 Cover &amp; Control'!$C$19="Base",AN70,IF('01 Cover &amp; Control'!$C$19="Upside",AN71,AN72))</f>
        <v/>
      </c>
      <c r="AO73" s="361">
        <f>IF('01 Cover &amp; Control'!$C$19="Base",AO70,IF('01 Cover &amp; Control'!$C$19="Upside",AO71,AO72))</f>
        <v/>
      </c>
      <c r="AP73" s="361">
        <f>IF('01 Cover &amp; Control'!$C$19="Base",AP70,IF('01 Cover &amp; Control'!$C$19="Upside",AP71,AP72))</f>
        <v/>
      </c>
      <c r="AQ73" s="361">
        <f>IF('01 Cover &amp; Control'!$C$19="Base",AQ70,IF('01 Cover &amp; Control'!$C$19="Upside",AQ71,AQ72))</f>
        <v/>
      </c>
      <c r="AR73" s="347">
        <f>AVERAGE(AN73:AQ73)</f>
        <v/>
      </c>
    </row>
    <row r="74" ht="3.75" customHeight="1" s="290"/>
    <row r="75" ht="3" customHeight="1" s="290">
      <c r="A75" s="293" t="n"/>
    </row>
    <row r="76" ht="3.75" customHeight="1" s="290"/>
    <row r="77" ht="15" customHeight="1" s="290">
      <c r="A77" s="307" t="inlineStr">
        <is>
          <t xml:space="preserve">    DEBT &amp; EQUITY — HEADCOUNT</t>
        </is>
      </c>
    </row>
    <row r="78" ht="3" customHeight="1" s="290"/>
    <row r="79" ht="13.5" customHeight="1" s="290">
      <c r="A79" s="339" t="n"/>
      <c r="B79" s="357" t="inlineStr">
        <is>
          <t xml:space="preserve">  Beginning HC — Rainmaker</t>
        </is>
      </c>
      <c r="C79" s="341" t="inlineStr">
        <is>
          <t>#</t>
        </is>
      </c>
      <c r="D79" s="342" t="inlineStr">
        <is>
          <t>Input: actuals for hist period; forecast = prior yr ending HC. Used directly in EPE formula.</t>
        </is>
      </c>
      <c r="E79" s="343" t="n">
        <v>4</v>
      </c>
      <c r="F79" s="343" t="n"/>
      <c r="G79" s="343" t="n"/>
      <c r="H79" s="343" t="n"/>
      <c r="I79" s="344">
        <f>SUM(E79:H79)</f>
        <v/>
      </c>
      <c r="J79" s="343" t="n"/>
      <c r="K79" s="343" t="n"/>
      <c r="L79" s="343" t="n"/>
      <c r="M79" s="343" t="n"/>
      <c r="N79" s="344">
        <f>SUM(J79:M79)</f>
        <v/>
      </c>
      <c r="O79" s="343" t="n"/>
      <c r="P79" s="343" t="n"/>
      <c r="Q79" s="343" t="n"/>
      <c r="R79" s="343" t="n"/>
      <c r="S79" s="344">
        <f>SUM(O79:R79)</f>
        <v/>
      </c>
      <c r="T79" s="343" t="n"/>
      <c r="U79" s="343" t="n"/>
      <c r="V79" s="343" t="n"/>
      <c r="W79" s="343" t="n"/>
      <c r="X79" s="344">
        <f>SUM(T79:W79)</f>
        <v/>
      </c>
      <c r="Y79" s="343" t="n"/>
      <c r="Z79" s="343" t="n"/>
      <c r="AA79" s="343" t="n"/>
      <c r="AB79" s="343" t="n"/>
      <c r="AC79" s="344">
        <f>SUM(Y79:AB79)</f>
        <v/>
      </c>
      <c r="AD79" s="343" t="n"/>
      <c r="AE79" s="343" t="n"/>
      <c r="AF79" s="343" t="n"/>
      <c r="AG79" s="343" t="n"/>
      <c r="AH79" s="344">
        <f>SUM(AD79:AG79)</f>
        <v/>
      </c>
      <c r="AI79" s="343" t="n"/>
      <c r="AJ79" s="343" t="n"/>
      <c r="AK79" s="343" t="n"/>
      <c r="AL79" s="343" t="n"/>
      <c r="AM79" s="344">
        <f>SUM(AI79:AL79)</f>
        <v/>
      </c>
      <c r="AN79" s="343" t="n"/>
      <c r="AO79" s="343" t="n"/>
      <c r="AP79" s="343" t="n"/>
      <c r="AQ79" s="343" t="n"/>
      <c r="AR79" s="344">
        <f>SUM(AN79:AQ79)</f>
        <v/>
      </c>
    </row>
    <row r="80" ht="13.5" customHeight="1" s="290">
      <c r="A80" s="339" t="n"/>
      <c r="B80" s="340" t="inlineStr">
        <is>
          <t xml:space="preserve">  Gross Hires / Qtr — Rainmaker  — Base</t>
        </is>
      </c>
      <c r="C80" s="341" t="inlineStr">
        <is>
          <t>#/qtr</t>
        </is>
      </c>
      <c r="D80" s="342" t="inlineStr">
        <is>
          <t>Scenario-keyed. Upside = faster hiring. Downside = slower/failed hiring.</t>
        </is>
      </c>
      <c r="E80" s="343" t="n">
        <v>0.3</v>
      </c>
      <c r="F80" s="343" t="n">
        <v>0.3</v>
      </c>
      <c r="G80" s="343" t="n">
        <v>0.3</v>
      </c>
      <c r="H80" s="343" t="n">
        <v>0.3</v>
      </c>
      <c r="I80" s="344">
        <f>SUM(E80:H80)</f>
        <v/>
      </c>
      <c r="J80" s="343" t="n">
        <v>0.3</v>
      </c>
      <c r="K80" s="343" t="n">
        <v>0.3</v>
      </c>
      <c r="L80" s="343" t="n">
        <v>0.3</v>
      </c>
      <c r="M80" s="343" t="n">
        <v>0.3</v>
      </c>
      <c r="N80" s="344">
        <f>SUM(J80:M80)</f>
        <v/>
      </c>
      <c r="O80" s="343" t="n">
        <v>0.3</v>
      </c>
      <c r="P80" s="343" t="n">
        <v>0.3</v>
      </c>
      <c r="Q80" s="343" t="n">
        <v>0.3</v>
      </c>
      <c r="R80" s="343" t="n">
        <v>0.3</v>
      </c>
      <c r="S80" s="344">
        <f>SUM(O80:R80)</f>
        <v/>
      </c>
      <c r="T80" s="343" t="n">
        <v>0.3</v>
      </c>
      <c r="U80" s="343" t="n">
        <v>0.3</v>
      </c>
      <c r="V80" s="343" t="n">
        <v>0.3</v>
      </c>
      <c r="W80" s="343" t="n">
        <v>0.3</v>
      </c>
      <c r="X80" s="344">
        <f>SUM(T80:W80)</f>
        <v/>
      </c>
      <c r="Y80" s="343" t="n">
        <v>0.3</v>
      </c>
      <c r="Z80" s="343" t="n">
        <v>0.3</v>
      </c>
      <c r="AA80" s="343" t="n">
        <v>0.3</v>
      </c>
      <c r="AB80" s="343" t="n">
        <v>0.3</v>
      </c>
      <c r="AC80" s="344">
        <f>SUM(Y80:AB80)</f>
        <v/>
      </c>
      <c r="AD80" s="343" t="n">
        <v>0.3</v>
      </c>
      <c r="AE80" s="343" t="n">
        <v>0.3</v>
      </c>
      <c r="AF80" s="343" t="n">
        <v>0.3</v>
      </c>
      <c r="AG80" s="343" t="n">
        <v>0.3</v>
      </c>
      <c r="AH80" s="344">
        <f>SUM(AD80:AG80)</f>
        <v/>
      </c>
      <c r="AI80" s="343" t="n">
        <v>0.3</v>
      </c>
      <c r="AJ80" s="343" t="n">
        <v>0.3</v>
      </c>
      <c r="AK80" s="343" t="n">
        <v>0.3</v>
      </c>
      <c r="AL80" s="343" t="n">
        <v>0.3</v>
      </c>
      <c r="AM80" s="344">
        <f>SUM(AI80:AL80)</f>
        <v/>
      </c>
      <c r="AN80" s="343" t="n">
        <v>0.3</v>
      </c>
      <c r="AO80" s="343" t="n">
        <v>0.3</v>
      </c>
      <c r="AP80" s="343" t="n">
        <v>0.3</v>
      </c>
      <c r="AQ80" s="343" t="n">
        <v>0.3</v>
      </c>
      <c r="AR80" s="344">
        <f>SUM(AN80:AQ80)</f>
        <v/>
      </c>
    </row>
    <row r="81" ht="13.5" customHeight="1" s="290">
      <c r="A81" s="339" t="n"/>
      <c r="B81" s="340" t="inlineStr">
        <is>
          <t xml:space="preserve">  Gross Hires / Qtr — Rainmaker  — Upside</t>
        </is>
      </c>
      <c r="E81" s="343" t="n">
        <v>0.33</v>
      </c>
      <c r="F81" s="343" t="n">
        <v>0.33</v>
      </c>
      <c r="G81" s="343" t="n">
        <v>0.33</v>
      </c>
      <c r="H81" s="343" t="n">
        <v>0.33</v>
      </c>
      <c r="I81" s="344">
        <f>SUM(E81:H81)</f>
        <v/>
      </c>
      <c r="J81" s="343" t="n">
        <v>0.33</v>
      </c>
      <c r="K81" s="343" t="n">
        <v>0.33</v>
      </c>
      <c r="L81" s="343" t="n">
        <v>0.33</v>
      </c>
      <c r="M81" s="343" t="n">
        <v>0.33</v>
      </c>
      <c r="N81" s="344">
        <f>SUM(J81:M81)</f>
        <v/>
      </c>
      <c r="O81" s="343" t="n">
        <v>0.33</v>
      </c>
      <c r="P81" s="343" t="n">
        <v>0.33</v>
      </c>
      <c r="Q81" s="343" t="n">
        <v>0.33</v>
      </c>
      <c r="R81" s="343" t="n">
        <v>0.33</v>
      </c>
      <c r="S81" s="344">
        <f>SUM(O81:R81)</f>
        <v/>
      </c>
      <c r="T81" s="343" t="n">
        <v>0.33</v>
      </c>
      <c r="U81" s="343" t="n">
        <v>0.33</v>
      </c>
      <c r="V81" s="343" t="n">
        <v>0.33</v>
      </c>
      <c r="W81" s="343" t="n">
        <v>0.33</v>
      </c>
      <c r="X81" s="344">
        <f>SUM(T81:W81)</f>
        <v/>
      </c>
      <c r="Y81" s="343" t="n">
        <v>0.33</v>
      </c>
      <c r="Z81" s="343" t="n">
        <v>0.33</v>
      </c>
      <c r="AA81" s="343" t="n">
        <v>0.33</v>
      </c>
      <c r="AB81" s="343" t="n">
        <v>0.33</v>
      </c>
      <c r="AC81" s="344">
        <f>SUM(Y81:AB81)</f>
        <v/>
      </c>
      <c r="AD81" s="343" t="n">
        <v>0.33</v>
      </c>
      <c r="AE81" s="343" t="n">
        <v>0.33</v>
      </c>
      <c r="AF81" s="343" t="n">
        <v>0.33</v>
      </c>
      <c r="AG81" s="343" t="n">
        <v>0.33</v>
      </c>
      <c r="AH81" s="344">
        <f>SUM(AD81:AG81)</f>
        <v/>
      </c>
      <c r="AI81" s="343" t="n">
        <v>0.33</v>
      </c>
      <c r="AJ81" s="343" t="n">
        <v>0.33</v>
      </c>
      <c r="AK81" s="343" t="n">
        <v>0.33</v>
      </c>
      <c r="AL81" s="343" t="n">
        <v>0.33</v>
      </c>
      <c r="AM81" s="344">
        <f>SUM(AI81:AL81)</f>
        <v/>
      </c>
      <c r="AN81" s="343" t="n">
        <v>0.33</v>
      </c>
      <c r="AO81" s="343" t="n">
        <v>0.33</v>
      </c>
      <c r="AP81" s="343" t="n">
        <v>0.33</v>
      </c>
      <c r="AQ81" s="343" t="n">
        <v>0.33</v>
      </c>
      <c r="AR81" s="344">
        <f>SUM(AN81:AQ81)</f>
        <v/>
      </c>
    </row>
    <row r="82" ht="13.5" customHeight="1" s="290">
      <c r="A82" s="339" t="n"/>
      <c r="B82" s="340" t="inlineStr">
        <is>
          <t xml:space="preserve">  Gross Hires / Qtr — Rainmaker  — Downside</t>
        </is>
      </c>
      <c r="E82" s="343" t="n">
        <v>0.26</v>
      </c>
      <c r="F82" s="343" t="n">
        <v>0.26</v>
      </c>
      <c r="G82" s="343" t="n">
        <v>0.26</v>
      </c>
      <c r="H82" s="343" t="n">
        <v>0.26</v>
      </c>
      <c r="I82" s="344">
        <f>SUM(E82:H82)</f>
        <v/>
      </c>
      <c r="J82" s="343" t="n">
        <v>0.26</v>
      </c>
      <c r="K82" s="343" t="n">
        <v>0.26</v>
      </c>
      <c r="L82" s="343" t="n">
        <v>0.26</v>
      </c>
      <c r="M82" s="343" t="n">
        <v>0.26</v>
      </c>
      <c r="N82" s="344">
        <f>SUM(J82:M82)</f>
        <v/>
      </c>
      <c r="O82" s="343" t="n">
        <v>0.26</v>
      </c>
      <c r="P82" s="343" t="n">
        <v>0.26</v>
      </c>
      <c r="Q82" s="343" t="n">
        <v>0.26</v>
      </c>
      <c r="R82" s="343" t="n">
        <v>0.26</v>
      </c>
      <c r="S82" s="344">
        <f>SUM(O82:R82)</f>
        <v/>
      </c>
      <c r="T82" s="343" t="n">
        <v>0.26</v>
      </c>
      <c r="U82" s="343" t="n">
        <v>0.26</v>
      </c>
      <c r="V82" s="343" t="n">
        <v>0.26</v>
      </c>
      <c r="W82" s="343" t="n">
        <v>0.26</v>
      </c>
      <c r="X82" s="344">
        <f>SUM(T82:W82)</f>
        <v/>
      </c>
      <c r="Y82" s="343" t="n">
        <v>0.26</v>
      </c>
      <c r="Z82" s="343" t="n">
        <v>0.26</v>
      </c>
      <c r="AA82" s="343" t="n">
        <v>0.26</v>
      </c>
      <c r="AB82" s="343" t="n">
        <v>0.26</v>
      </c>
      <c r="AC82" s="344">
        <f>SUM(Y82:AB82)</f>
        <v/>
      </c>
      <c r="AD82" s="343" t="n">
        <v>0.26</v>
      </c>
      <c r="AE82" s="343" t="n">
        <v>0.26</v>
      </c>
      <c r="AF82" s="343" t="n">
        <v>0.26</v>
      </c>
      <c r="AG82" s="343" t="n">
        <v>0.26</v>
      </c>
      <c r="AH82" s="344">
        <f>SUM(AD82:AG82)</f>
        <v/>
      </c>
      <c r="AI82" s="343" t="n">
        <v>0.26</v>
      </c>
      <c r="AJ82" s="343" t="n">
        <v>0.26</v>
      </c>
      <c r="AK82" s="343" t="n">
        <v>0.26</v>
      </c>
      <c r="AL82" s="343" t="n">
        <v>0.26</v>
      </c>
      <c r="AM82" s="344">
        <f>SUM(AI82:AL82)</f>
        <v/>
      </c>
      <c r="AN82" s="343" t="n">
        <v>0.26</v>
      </c>
      <c r="AO82" s="343" t="n">
        <v>0.26</v>
      </c>
      <c r="AP82" s="343" t="n">
        <v>0.26</v>
      </c>
      <c r="AQ82" s="343" t="n">
        <v>0.26</v>
      </c>
      <c r="AR82" s="344">
        <f>SUM(AN82:AQ82)</f>
        <v/>
      </c>
    </row>
    <row r="83" ht="13.5" customHeight="1" s="290">
      <c r="A83" s="345" t="n"/>
      <c r="B83" s="346" t="inlineStr">
        <is>
          <t xml:space="preserve">  Gross Hires / Qtr — Rainmaker  — ★ ACTIVE</t>
        </is>
      </c>
      <c r="E83" s="361">
        <f>IF('01 Cover &amp; Control'!$C$19="Base",E80,IF('01 Cover &amp; Control'!$C$19="Upside",E81,E82))</f>
        <v/>
      </c>
      <c r="F83" s="361">
        <f>IF('01 Cover &amp; Control'!$C$19="Base",F80,IF('01 Cover &amp; Control'!$C$19="Upside",F81,F82))</f>
        <v/>
      </c>
      <c r="G83" s="361">
        <f>IF('01 Cover &amp; Control'!$C$19="Base",G80,IF('01 Cover &amp; Control'!$C$19="Upside",G81,G82))</f>
        <v/>
      </c>
      <c r="H83" s="361">
        <f>IF('01 Cover &amp; Control'!$C$19="Base",H80,IF('01 Cover &amp; Control'!$C$19="Upside",H81,H82))</f>
        <v/>
      </c>
      <c r="I83" s="347">
        <f>SUM(E83:H83)</f>
        <v/>
      </c>
      <c r="J83" s="361">
        <f>IF('01 Cover &amp; Control'!$C$19="Base",J80,IF('01 Cover &amp; Control'!$C$19="Upside",J81,J82))</f>
        <v/>
      </c>
      <c r="K83" s="361">
        <f>IF('01 Cover &amp; Control'!$C$19="Base",K80,IF('01 Cover &amp; Control'!$C$19="Upside",K81,K82))</f>
        <v/>
      </c>
      <c r="L83" s="361">
        <f>IF('01 Cover &amp; Control'!$C$19="Base",L80,IF('01 Cover &amp; Control'!$C$19="Upside",L81,L82))</f>
        <v/>
      </c>
      <c r="M83" s="361">
        <f>IF('01 Cover &amp; Control'!$C$19="Base",M80,IF('01 Cover &amp; Control'!$C$19="Upside",M81,M82))</f>
        <v/>
      </c>
      <c r="N83" s="347">
        <f>SUM(J83:M83)</f>
        <v/>
      </c>
      <c r="O83" s="361">
        <f>IF('01 Cover &amp; Control'!$C$19="Base",O80,IF('01 Cover &amp; Control'!$C$19="Upside",O81,O82))</f>
        <v/>
      </c>
      <c r="P83" s="361">
        <f>IF('01 Cover &amp; Control'!$C$19="Base",P80,IF('01 Cover &amp; Control'!$C$19="Upside",P81,P82))</f>
        <v/>
      </c>
      <c r="Q83" s="361">
        <f>IF('01 Cover &amp; Control'!$C$19="Base",Q80,IF('01 Cover &amp; Control'!$C$19="Upside",Q81,Q82))</f>
        <v/>
      </c>
      <c r="R83" s="361">
        <f>IF('01 Cover &amp; Control'!$C$19="Base",R80,IF('01 Cover &amp; Control'!$C$19="Upside",R81,R82))</f>
        <v/>
      </c>
      <c r="S83" s="347">
        <f>SUM(O83:R83)</f>
        <v/>
      </c>
      <c r="T83" s="361">
        <f>IF('01 Cover &amp; Control'!$C$19="Base",T80,IF('01 Cover &amp; Control'!$C$19="Upside",T81,T82))</f>
        <v/>
      </c>
      <c r="U83" s="361">
        <f>IF('01 Cover &amp; Control'!$C$19="Base",U80,IF('01 Cover &amp; Control'!$C$19="Upside",U81,U82))</f>
        <v/>
      </c>
      <c r="V83" s="361">
        <f>IF('01 Cover &amp; Control'!$C$19="Base",V80,IF('01 Cover &amp; Control'!$C$19="Upside",V81,V82))</f>
        <v/>
      </c>
      <c r="W83" s="361">
        <f>IF('01 Cover &amp; Control'!$C$19="Base",W80,IF('01 Cover &amp; Control'!$C$19="Upside",W81,W82))</f>
        <v/>
      </c>
      <c r="X83" s="347">
        <f>SUM(T83:W83)</f>
        <v/>
      </c>
      <c r="Y83" s="361">
        <f>IF('01 Cover &amp; Control'!$C$19="Base",Y80,IF('01 Cover &amp; Control'!$C$19="Upside",Y81,Y82))</f>
        <v/>
      </c>
      <c r="Z83" s="361">
        <f>IF('01 Cover &amp; Control'!$C$19="Base",Z80,IF('01 Cover &amp; Control'!$C$19="Upside",Z81,Z82))</f>
        <v/>
      </c>
      <c r="AA83" s="361">
        <f>IF('01 Cover &amp; Control'!$C$19="Base",AA80,IF('01 Cover &amp; Control'!$C$19="Upside",AA81,AA82))</f>
        <v/>
      </c>
      <c r="AB83" s="361">
        <f>IF('01 Cover &amp; Control'!$C$19="Base",AB80,IF('01 Cover &amp; Control'!$C$19="Upside",AB81,AB82))</f>
        <v/>
      </c>
      <c r="AC83" s="347">
        <f>SUM(Y83:AB83)</f>
        <v/>
      </c>
      <c r="AD83" s="361">
        <f>IF('01 Cover &amp; Control'!$C$19="Base",AD80,IF('01 Cover &amp; Control'!$C$19="Upside",AD81,AD82))</f>
        <v/>
      </c>
      <c r="AE83" s="361">
        <f>IF('01 Cover &amp; Control'!$C$19="Base",AE80,IF('01 Cover &amp; Control'!$C$19="Upside",AE81,AE82))</f>
        <v/>
      </c>
      <c r="AF83" s="361">
        <f>IF('01 Cover &amp; Control'!$C$19="Base",AF80,IF('01 Cover &amp; Control'!$C$19="Upside",AF81,AF82))</f>
        <v/>
      </c>
      <c r="AG83" s="361">
        <f>IF('01 Cover &amp; Control'!$C$19="Base",AG80,IF('01 Cover &amp; Control'!$C$19="Upside",AG81,AG82))</f>
        <v/>
      </c>
      <c r="AH83" s="347">
        <f>SUM(AD83:AG83)</f>
        <v/>
      </c>
      <c r="AI83" s="361">
        <f>IF('01 Cover &amp; Control'!$C$19="Base",AI80,IF('01 Cover &amp; Control'!$C$19="Upside",AI81,AI82))</f>
        <v/>
      </c>
      <c r="AJ83" s="361">
        <f>IF('01 Cover &amp; Control'!$C$19="Base",AJ80,IF('01 Cover &amp; Control'!$C$19="Upside",AJ81,AJ82))</f>
        <v/>
      </c>
      <c r="AK83" s="361">
        <f>IF('01 Cover &amp; Control'!$C$19="Base",AK80,IF('01 Cover &amp; Control'!$C$19="Upside",AK81,AK82))</f>
        <v/>
      </c>
      <c r="AL83" s="361">
        <f>IF('01 Cover &amp; Control'!$C$19="Base",AL80,IF('01 Cover &amp; Control'!$C$19="Upside",AL81,AL82))</f>
        <v/>
      </c>
      <c r="AM83" s="347">
        <f>SUM(AI83:AL83)</f>
        <v/>
      </c>
      <c r="AN83" s="361">
        <f>IF('01 Cover &amp; Control'!$C$19="Base",AN80,IF('01 Cover &amp; Control'!$C$19="Upside",AN81,AN82))</f>
        <v/>
      </c>
      <c r="AO83" s="361">
        <f>IF('01 Cover &amp; Control'!$C$19="Base",AO80,IF('01 Cover &amp; Control'!$C$19="Upside",AO81,AO82))</f>
        <v/>
      </c>
      <c r="AP83" s="361">
        <f>IF('01 Cover &amp; Control'!$C$19="Base",AP80,IF('01 Cover &amp; Control'!$C$19="Upside",AP81,AP82))</f>
        <v/>
      </c>
      <c r="AQ83" s="361">
        <f>IF('01 Cover &amp; Control'!$C$19="Base",AQ80,IF('01 Cover &amp; Control'!$C$19="Upside",AQ81,AQ82))</f>
        <v/>
      </c>
      <c r="AR83" s="347">
        <f>SUM(AN83:AQ83)</f>
        <v/>
      </c>
    </row>
    <row r="84" ht="13.5" customHeight="1" s="290">
      <c r="A84" s="339" t="n"/>
      <c r="B84" s="340" t="inlineStr">
        <is>
          <t xml:space="preserve">  Attrition Rate — Rainmaker  — Base</t>
        </is>
      </c>
      <c r="C84" s="341" t="inlineStr">
        <is>
          <t>%/qtr</t>
        </is>
      </c>
      <c r="D84" s="342" t="inlineStr">
        <is>
          <t>Quarterly attrition rate applied to Beginning HC. Upside = lower attrition (strong market). Downside = higher (competitors poach).</t>
        </is>
      </c>
      <c r="E84" s="343" t="n">
        <v>0.02</v>
      </c>
      <c r="F84" s="343" t="n">
        <v>0.02</v>
      </c>
      <c r="G84" s="343" t="n">
        <v>0.02</v>
      </c>
      <c r="H84" s="343" t="n">
        <v>0.02</v>
      </c>
      <c r="I84" s="344">
        <f>SUM(E84:H84)</f>
        <v/>
      </c>
      <c r="J84" s="343" t="n">
        <v>0.02</v>
      </c>
      <c r="K84" s="343" t="n">
        <v>0.02</v>
      </c>
      <c r="L84" s="343" t="n">
        <v>0.02</v>
      </c>
      <c r="M84" s="343" t="n">
        <v>0.02</v>
      </c>
      <c r="N84" s="344">
        <f>SUM(J84:M84)</f>
        <v/>
      </c>
      <c r="O84" s="343" t="n">
        <v>0.02</v>
      </c>
      <c r="P84" s="343" t="n">
        <v>0.02</v>
      </c>
      <c r="Q84" s="343" t="n">
        <v>0.02</v>
      </c>
      <c r="R84" s="343" t="n">
        <v>0.02</v>
      </c>
      <c r="S84" s="344">
        <f>SUM(O84:R84)</f>
        <v/>
      </c>
      <c r="T84" s="343" t="n">
        <v>0.02</v>
      </c>
      <c r="U84" s="343" t="n">
        <v>0.02</v>
      </c>
      <c r="V84" s="343" t="n">
        <v>0.02</v>
      </c>
      <c r="W84" s="343" t="n">
        <v>0.02</v>
      </c>
      <c r="X84" s="344">
        <f>SUM(T84:W84)</f>
        <v/>
      </c>
      <c r="Y84" s="343" t="n">
        <v>0.02</v>
      </c>
      <c r="Z84" s="343" t="n">
        <v>0.02</v>
      </c>
      <c r="AA84" s="343" t="n">
        <v>0.02</v>
      </c>
      <c r="AB84" s="343" t="n">
        <v>0.02</v>
      </c>
      <c r="AC84" s="344">
        <f>SUM(Y84:AB84)</f>
        <v/>
      </c>
      <c r="AD84" s="343" t="n">
        <v>0.02</v>
      </c>
      <c r="AE84" s="343" t="n">
        <v>0.02</v>
      </c>
      <c r="AF84" s="343" t="n">
        <v>0.02</v>
      </c>
      <c r="AG84" s="343" t="n">
        <v>0.02</v>
      </c>
      <c r="AH84" s="344">
        <f>SUM(AD84:AG84)</f>
        <v/>
      </c>
      <c r="AI84" s="343" t="n">
        <v>0.02</v>
      </c>
      <c r="AJ84" s="343" t="n">
        <v>0.02</v>
      </c>
      <c r="AK84" s="343" t="n">
        <v>0.02</v>
      </c>
      <c r="AL84" s="343" t="n">
        <v>0.02</v>
      </c>
      <c r="AM84" s="344">
        <f>SUM(AI84:AL84)</f>
        <v/>
      </c>
      <c r="AN84" s="343" t="n">
        <v>0.02</v>
      </c>
      <c r="AO84" s="343" t="n">
        <v>0.02</v>
      </c>
      <c r="AP84" s="343" t="n">
        <v>0.02</v>
      </c>
      <c r="AQ84" s="343" t="n">
        <v>0.02</v>
      </c>
      <c r="AR84" s="344">
        <f>SUM(AN84:AQ84)</f>
        <v/>
      </c>
    </row>
    <row r="85" ht="13.5" customHeight="1" s="290">
      <c r="A85" s="339" t="n"/>
      <c r="B85" s="340" t="inlineStr">
        <is>
          <t xml:space="preserve">  Attrition Rate — Rainmaker  — Upside</t>
        </is>
      </c>
      <c r="E85" s="343" t="n">
        <v>0.018</v>
      </c>
      <c r="F85" s="343" t="n">
        <v>0.018</v>
      </c>
      <c r="G85" s="343" t="n">
        <v>0.018</v>
      </c>
      <c r="H85" s="343" t="n">
        <v>0.018</v>
      </c>
      <c r="I85" s="344">
        <f>SUM(E85:H85)</f>
        <v/>
      </c>
      <c r="J85" s="343" t="n">
        <v>0.018</v>
      </c>
      <c r="K85" s="343" t="n">
        <v>0.018</v>
      </c>
      <c r="L85" s="343" t="n">
        <v>0.018</v>
      </c>
      <c r="M85" s="343" t="n">
        <v>0.018</v>
      </c>
      <c r="N85" s="344">
        <f>SUM(J85:M85)</f>
        <v/>
      </c>
      <c r="O85" s="343" t="n">
        <v>0.018</v>
      </c>
      <c r="P85" s="343" t="n">
        <v>0.018</v>
      </c>
      <c r="Q85" s="343" t="n">
        <v>0.018</v>
      </c>
      <c r="R85" s="343" t="n">
        <v>0.018</v>
      </c>
      <c r="S85" s="344">
        <f>SUM(O85:R85)</f>
        <v/>
      </c>
      <c r="T85" s="343" t="n">
        <v>0.018</v>
      </c>
      <c r="U85" s="343" t="n">
        <v>0.018</v>
      </c>
      <c r="V85" s="343" t="n">
        <v>0.018</v>
      </c>
      <c r="W85" s="343" t="n">
        <v>0.018</v>
      </c>
      <c r="X85" s="344">
        <f>SUM(T85:W85)</f>
        <v/>
      </c>
      <c r="Y85" s="343" t="n">
        <v>0.018</v>
      </c>
      <c r="Z85" s="343" t="n">
        <v>0.018</v>
      </c>
      <c r="AA85" s="343" t="n">
        <v>0.018</v>
      </c>
      <c r="AB85" s="343" t="n">
        <v>0.018</v>
      </c>
      <c r="AC85" s="344">
        <f>SUM(Y85:AB85)</f>
        <v/>
      </c>
      <c r="AD85" s="343" t="n">
        <v>0.018</v>
      </c>
      <c r="AE85" s="343" t="n">
        <v>0.018</v>
      </c>
      <c r="AF85" s="343" t="n">
        <v>0.018</v>
      </c>
      <c r="AG85" s="343" t="n">
        <v>0.018</v>
      </c>
      <c r="AH85" s="344">
        <f>SUM(AD85:AG85)</f>
        <v/>
      </c>
      <c r="AI85" s="343" t="n">
        <v>0.018</v>
      </c>
      <c r="AJ85" s="343" t="n">
        <v>0.018</v>
      </c>
      <c r="AK85" s="343" t="n">
        <v>0.018</v>
      </c>
      <c r="AL85" s="343" t="n">
        <v>0.018</v>
      </c>
      <c r="AM85" s="344">
        <f>SUM(AI85:AL85)</f>
        <v/>
      </c>
      <c r="AN85" s="343" t="n">
        <v>0.018</v>
      </c>
      <c r="AO85" s="343" t="n">
        <v>0.018</v>
      </c>
      <c r="AP85" s="343" t="n">
        <v>0.018</v>
      </c>
      <c r="AQ85" s="343" t="n">
        <v>0.018</v>
      </c>
      <c r="AR85" s="344">
        <f>SUM(AN85:AQ85)</f>
        <v/>
      </c>
    </row>
    <row r="86" ht="13.5" customHeight="1" s="290">
      <c r="A86" s="339" t="n"/>
      <c r="B86" s="340" t="inlineStr">
        <is>
          <t xml:space="preserve">  Attrition Rate — Rainmaker  — Downside</t>
        </is>
      </c>
      <c r="E86" s="343" t="n">
        <v>0.03</v>
      </c>
      <c r="F86" s="343" t="n">
        <v>0.03</v>
      </c>
      <c r="G86" s="343" t="n">
        <v>0.03</v>
      </c>
      <c r="H86" s="343" t="n">
        <v>0.03</v>
      </c>
      <c r="I86" s="344">
        <f>SUM(E86:H86)</f>
        <v/>
      </c>
      <c r="J86" s="343" t="n">
        <v>0.03</v>
      </c>
      <c r="K86" s="343" t="n">
        <v>0.03</v>
      </c>
      <c r="L86" s="343" t="n">
        <v>0.03</v>
      </c>
      <c r="M86" s="343" t="n">
        <v>0.03</v>
      </c>
      <c r="N86" s="344">
        <f>SUM(J86:M86)</f>
        <v/>
      </c>
      <c r="O86" s="343" t="n">
        <v>0.03</v>
      </c>
      <c r="P86" s="343" t="n">
        <v>0.03</v>
      </c>
      <c r="Q86" s="343" t="n">
        <v>0.03</v>
      </c>
      <c r="R86" s="343" t="n">
        <v>0.03</v>
      </c>
      <c r="S86" s="344">
        <f>SUM(O86:R86)</f>
        <v/>
      </c>
      <c r="T86" s="343" t="n">
        <v>0.03</v>
      </c>
      <c r="U86" s="343" t="n">
        <v>0.03</v>
      </c>
      <c r="V86" s="343" t="n">
        <v>0.03</v>
      </c>
      <c r="W86" s="343" t="n">
        <v>0.03</v>
      </c>
      <c r="X86" s="344">
        <f>SUM(T86:W86)</f>
        <v/>
      </c>
      <c r="Y86" s="343" t="n">
        <v>0.03</v>
      </c>
      <c r="Z86" s="343" t="n">
        <v>0.03</v>
      </c>
      <c r="AA86" s="343" t="n">
        <v>0.03</v>
      </c>
      <c r="AB86" s="343" t="n">
        <v>0.03</v>
      </c>
      <c r="AC86" s="344">
        <f>SUM(Y86:AB86)</f>
        <v/>
      </c>
      <c r="AD86" s="343" t="n">
        <v>0.03</v>
      </c>
      <c r="AE86" s="343" t="n">
        <v>0.03</v>
      </c>
      <c r="AF86" s="343" t="n">
        <v>0.03</v>
      </c>
      <c r="AG86" s="343" t="n">
        <v>0.03</v>
      </c>
      <c r="AH86" s="344">
        <f>SUM(AD86:AG86)</f>
        <v/>
      </c>
      <c r="AI86" s="343" t="n">
        <v>0.03</v>
      </c>
      <c r="AJ86" s="343" t="n">
        <v>0.03</v>
      </c>
      <c r="AK86" s="343" t="n">
        <v>0.03</v>
      </c>
      <c r="AL86" s="343" t="n">
        <v>0.03</v>
      </c>
      <c r="AM86" s="344">
        <f>SUM(AI86:AL86)</f>
        <v/>
      </c>
      <c r="AN86" s="343" t="n">
        <v>0.03</v>
      </c>
      <c r="AO86" s="343" t="n">
        <v>0.03</v>
      </c>
      <c r="AP86" s="343" t="n">
        <v>0.03</v>
      </c>
      <c r="AQ86" s="343" t="n">
        <v>0.03</v>
      </c>
      <c r="AR86" s="344">
        <f>SUM(AN86:AQ86)</f>
        <v/>
      </c>
    </row>
    <row r="87" ht="13.5" customHeight="1" s="290">
      <c r="A87" s="345" t="n"/>
      <c r="B87" s="346" t="inlineStr">
        <is>
          <t xml:space="preserve">  Attrition Rate — Rainmaker  — ★ ACTIVE</t>
        </is>
      </c>
      <c r="E87" s="361">
        <f>IF('01 Cover &amp; Control'!$C$19="Base",E84,IF('01 Cover &amp; Control'!$C$19="Upside",E85,E86))</f>
        <v/>
      </c>
      <c r="F87" s="361">
        <f>IF('01 Cover &amp; Control'!$C$19="Base",F84,IF('01 Cover &amp; Control'!$C$19="Upside",F85,F86))</f>
        <v/>
      </c>
      <c r="G87" s="361">
        <f>IF('01 Cover &amp; Control'!$C$19="Base",G84,IF('01 Cover &amp; Control'!$C$19="Upside",G85,G86))</f>
        <v/>
      </c>
      <c r="H87" s="361">
        <f>IF('01 Cover &amp; Control'!$C$19="Base",H84,IF('01 Cover &amp; Control'!$C$19="Upside",H85,H86))</f>
        <v/>
      </c>
      <c r="I87" s="347">
        <f>AVERAGE(E87:H87)</f>
        <v/>
      </c>
      <c r="J87" s="361">
        <f>IF('01 Cover &amp; Control'!$C$19="Base",J84,IF('01 Cover &amp; Control'!$C$19="Upside",J85,J86))</f>
        <v/>
      </c>
      <c r="K87" s="361">
        <f>IF('01 Cover &amp; Control'!$C$19="Base",K84,IF('01 Cover &amp; Control'!$C$19="Upside",K85,K86))</f>
        <v/>
      </c>
      <c r="L87" s="361">
        <f>IF('01 Cover &amp; Control'!$C$19="Base",L84,IF('01 Cover &amp; Control'!$C$19="Upside",L85,L86))</f>
        <v/>
      </c>
      <c r="M87" s="361">
        <f>IF('01 Cover &amp; Control'!$C$19="Base",M84,IF('01 Cover &amp; Control'!$C$19="Upside",M85,M86))</f>
        <v/>
      </c>
      <c r="N87" s="347">
        <f>AVERAGE(J87:M87)</f>
        <v/>
      </c>
      <c r="O87" s="361">
        <f>IF('01 Cover &amp; Control'!$C$19="Base",O84,IF('01 Cover &amp; Control'!$C$19="Upside",O85,O86))</f>
        <v/>
      </c>
      <c r="P87" s="361">
        <f>IF('01 Cover &amp; Control'!$C$19="Base",P84,IF('01 Cover &amp; Control'!$C$19="Upside",P85,P86))</f>
        <v/>
      </c>
      <c r="Q87" s="361">
        <f>IF('01 Cover &amp; Control'!$C$19="Base",Q84,IF('01 Cover &amp; Control'!$C$19="Upside",Q85,Q86))</f>
        <v/>
      </c>
      <c r="R87" s="361">
        <f>IF('01 Cover &amp; Control'!$C$19="Base",R84,IF('01 Cover &amp; Control'!$C$19="Upside",R85,R86))</f>
        <v/>
      </c>
      <c r="S87" s="347">
        <f>AVERAGE(O87:R87)</f>
        <v/>
      </c>
      <c r="T87" s="361">
        <f>IF('01 Cover &amp; Control'!$C$19="Base",T84,IF('01 Cover &amp; Control'!$C$19="Upside",T85,T86))</f>
        <v/>
      </c>
      <c r="U87" s="361">
        <f>IF('01 Cover &amp; Control'!$C$19="Base",U84,IF('01 Cover &amp; Control'!$C$19="Upside",U85,U86))</f>
        <v/>
      </c>
      <c r="V87" s="361">
        <f>IF('01 Cover &amp; Control'!$C$19="Base",V84,IF('01 Cover &amp; Control'!$C$19="Upside",V85,V86))</f>
        <v/>
      </c>
      <c r="W87" s="361">
        <f>IF('01 Cover &amp; Control'!$C$19="Base",W84,IF('01 Cover &amp; Control'!$C$19="Upside",W85,W86))</f>
        <v/>
      </c>
      <c r="X87" s="347">
        <f>AVERAGE(T87:W87)</f>
        <v/>
      </c>
      <c r="Y87" s="361">
        <f>IF('01 Cover &amp; Control'!$C$19="Base",Y84,IF('01 Cover &amp; Control'!$C$19="Upside",Y85,Y86))</f>
        <v/>
      </c>
      <c r="Z87" s="361">
        <f>IF('01 Cover &amp; Control'!$C$19="Base",Z84,IF('01 Cover &amp; Control'!$C$19="Upside",Z85,Z86))</f>
        <v/>
      </c>
      <c r="AA87" s="361">
        <f>IF('01 Cover &amp; Control'!$C$19="Base",AA84,IF('01 Cover &amp; Control'!$C$19="Upside",AA85,AA86))</f>
        <v/>
      </c>
      <c r="AB87" s="361">
        <f>IF('01 Cover &amp; Control'!$C$19="Base",AB84,IF('01 Cover &amp; Control'!$C$19="Upside",AB85,AB86))</f>
        <v/>
      </c>
      <c r="AC87" s="347">
        <f>AVERAGE(Y87:AB87)</f>
        <v/>
      </c>
      <c r="AD87" s="361">
        <f>IF('01 Cover &amp; Control'!$C$19="Base",AD84,IF('01 Cover &amp; Control'!$C$19="Upside",AD85,AD86))</f>
        <v/>
      </c>
      <c r="AE87" s="361">
        <f>IF('01 Cover &amp; Control'!$C$19="Base",AE84,IF('01 Cover &amp; Control'!$C$19="Upside",AE85,AE86))</f>
        <v/>
      </c>
      <c r="AF87" s="361">
        <f>IF('01 Cover &amp; Control'!$C$19="Base",AF84,IF('01 Cover &amp; Control'!$C$19="Upside",AF85,AF86))</f>
        <v/>
      </c>
      <c r="AG87" s="361">
        <f>IF('01 Cover &amp; Control'!$C$19="Base",AG84,IF('01 Cover &amp; Control'!$C$19="Upside",AG85,AG86))</f>
        <v/>
      </c>
      <c r="AH87" s="347">
        <f>AVERAGE(AD87:AG87)</f>
        <v/>
      </c>
      <c r="AI87" s="361">
        <f>IF('01 Cover &amp; Control'!$C$19="Base",AI84,IF('01 Cover &amp; Control'!$C$19="Upside",AI85,AI86))</f>
        <v/>
      </c>
      <c r="AJ87" s="361">
        <f>IF('01 Cover &amp; Control'!$C$19="Base",AJ84,IF('01 Cover &amp; Control'!$C$19="Upside",AJ85,AJ86))</f>
        <v/>
      </c>
      <c r="AK87" s="361">
        <f>IF('01 Cover &amp; Control'!$C$19="Base",AK84,IF('01 Cover &amp; Control'!$C$19="Upside",AK85,AK86))</f>
        <v/>
      </c>
      <c r="AL87" s="361">
        <f>IF('01 Cover &amp; Control'!$C$19="Base",AL84,IF('01 Cover &amp; Control'!$C$19="Upside",AL85,AL86))</f>
        <v/>
      </c>
      <c r="AM87" s="347">
        <f>AVERAGE(AI87:AL87)</f>
        <v/>
      </c>
      <c r="AN87" s="361">
        <f>IF('01 Cover &amp; Control'!$C$19="Base",AN84,IF('01 Cover &amp; Control'!$C$19="Upside",AN85,AN86))</f>
        <v/>
      </c>
      <c r="AO87" s="361">
        <f>IF('01 Cover &amp; Control'!$C$19="Base",AO84,IF('01 Cover &amp; Control'!$C$19="Upside",AO85,AO86))</f>
        <v/>
      </c>
      <c r="AP87" s="361">
        <f>IF('01 Cover &amp; Control'!$C$19="Base",AP84,IF('01 Cover &amp; Control'!$C$19="Upside",AP85,AP86))</f>
        <v/>
      </c>
      <c r="AQ87" s="361">
        <f>IF('01 Cover &amp; Control'!$C$19="Base",AQ84,IF('01 Cover &amp; Control'!$C$19="Upside",AQ85,AQ86))</f>
        <v/>
      </c>
      <c r="AR87" s="347">
        <f>AVERAGE(AN87:AQ87)</f>
        <v/>
      </c>
    </row>
    <row r="88" ht="3.75" customHeight="1" s="290"/>
    <row r="89" ht="13.5" customHeight="1" s="290">
      <c r="A89" s="339" t="n"/>
      <c r="B89" s="357" t="inlineStr">
        <is>
          <t xml:space="preserve">  Beginning HC — Core</t>
        </is>
      </c>
      <c r="C89" s="341" t="inlineStr">
        <is>
          <t>#</t>
        </is>
      </c>
      <c r="D89" s="342" t="inlineStr">
        <is>
          <t>Input: actuals for hist period; forecast = prior yr ending HC. Used directly in EPE formula.</t>
        </is>
      </c>
      <c r="E89" s="343" t="n">
        <v>7</v>
      </c>
      <c r="F89" s="343" t="n"/>
      <c r="G89" s="343" t="n"/>
      <c r="H89" s="343" t="n"/>
      <c r="I89" s="344">
        <f>SUM(E89:H89)</f>
        <v/>
      </c>
      <c r="J89" s="343" t="n"/>
      <c r="K89" s="343" t="n"/>
      <c r="L89" s="343" t="n"/>
      <c r="M89" s="343" t="n"/>
      <c r="N89" s="344">
        <f>SUM(J89:M89)</f>
        <v/>
      </c>
      <c r="O89" s="343" t="n"/>
      <c r="P89" s="343" t="n"/>
      <c r="Q89" s="343" t="n"/>
      <c r="R89" s="343" t="n"/>
      <c r="S89" s="344">
        <f>SUM(O89:R89)</f>
        <v/>
      </c>
      <c r="T89" s="343" t="n"/>
      <c r="U89" s="343" t="n"/>
      <c r="V89" s="343" t="n"/>
      <c r="W89" s="343" t="n"/>
      <c r="X89" s="344">
        <f>SUM(T89:W89)</f>
        <v/>
      </c>
      <c r="Y89" s="343" t="n"/>
      <c r="Z89" s="343" t="n"/>
      <c r="AA89" s="343" t="n"/>
      <c r="AB89" s="343" t="n"/>
      <c r="AC89" s="344">
        <f>SUM(Y89:AB89)</f>
        <v/>
      </c>
      <c r="AD89" s="343" t="n"/>
      <c r="AE89" s="343" t="n"/>
      <c r="AF89" s="343" t="n"/>
      <c r="AG89" s="343" t="n"/>
      <c r="AH89" s="344">
        <f>SUM(AD89:AG89)</f>
        <v/>
      </c>
      <c r="AI89" s="343" t="n"/>
      <c r="AJ89" s="343" t="n"/>
      <c r="AK89" s="343" t="n"/>
      <c r="AL89" s="343" t="n"/>
      <c r="AM89" s="344">
        <f>SUM(AI89:AL89)</f>
        <v/>
      </c>
      <c r="AN89" s="343" t="n"/>
      <c r="AO89" s="343" t="n"/>
      <c r="AP89" s="343" t="n"/>
      <c r="AQ89" s="343" t="n"/>
      <c r="AR89" s="344">
        <f>SUM(AN89:AQ89)</f>
        <v/>
      </c>
    </row>
    <row r="90" ht="13.5" customHeight="1" s="290">
      <c r="A90" s="339" t="n"/>
      <c r="B90" s="340" t="inlineStr">
        <is>
          <t xml:space="preserve">  Gross Hires / Qtr — Core  — Base</t>
        </is>
      </c>
      <c r="C90" s="341" t="inlineStr">
        <is>
          <t>#/qtr</t>
        </is>
      </c>
      <c r="D90" s="342" t="inlineStr">
        <is>
          <t>Scenario-keyed. Upside = faster hiring. Downside = slower/failed hiring.</t>
        </is>
      </c>
      <c r="E90" s="343" t="n">
        <v>0.8</v>
      </c>
      <c r="F90" s="343" t="n">
        <v>0.8</v>
      </c>
      <c r="G90" s="343" t="n">
        <v>0.8</v>
      </c>
      <c r="H90" s="343" t="n">
        <v>0.8</v>
      </c>
      <c r="I90" s="344">
        <f>SUM(E90:H90)</f>
        <v/>
      </c>
      <c r="J90" s="343" t="n">
        <v>0.8</v>
      </c>
      <c r="K90" s="343" t="n">
        <v>0.8</v>
      </c>
      <c r="L90" s="343" t="n">
        <v>0.8</v>
      </c>
      <c r="M90" s="343" t="n">
        <v>0.8</v>
      </c>
      <c r="N90" s="344">
        <f>SUM(J90:M90)</f>
        <v/>
      </c>
      <c r="O90" s="343" t="n">
        <v>0.8</v>
      </c>
      <c r="P90" s="343" t="n">
        <v>0.8</v>
      </c>
      <c r="Q90" s="343" t="n">
        <v>0.8</v>
      </c>
      <c r="R90" s="343" t="n">
        <v>0.8</v>
      </c>
      <c r="S90" s="344">
        <f>SUM(O90:R90)</f>
        <v/>
      </c>
      <c r="T90" s="343" t="n">
        <v>0.8</v>
      </c>
      <c r="U90" s="343" t="n">
        <v>0.8</v>
      </c>
      <c r="V90" s="343" t="n">
        <v>0.8</v>
      </c>
      <c r="W90" s="343" t="n">
        <v>0.8</v>
      </c>
      <c r="X90" s="344">
        <f>SUM(T90:W90)</f>
        <v/>
      </c>
      <c r="Y90" s="343" t="n">
        <v>0.8</v>
      </c>
      <c r="Z90" s="343" t="n">
        <v>0.8</v>
      </c>
      <c r="AA90" s="343" t="n">
        <v>0.8</v>
      </c>
      <c r="AB90" s="343" t="n">
        <v>0.8</v>
      </c>
      <c r="AC90" s="344">
        <f>SUM(Y90:AB90)</f>
        <v/>
      </c>
      <c r="AD90" s="343" t="n">
        <v>0.8</v>
      </c>
      <c r="AE90" s="343" t="n">
        <v>0.8</v>
      </c>
      <c r="AF90" s="343" t="n">
        <v>0.8</v>
      </c>
      <c r="AG90" s="343" t="n">
        <v>0.8</v>
      </c>
      <c r="AH90" s="344">
        <f>SUM(AD90:AG90)</f>
        <v/>
      </c>
      <c r="AI90" s="343" t="n">
        <v>0.8</v>
      </c>
      <c r="AJ90" s="343" t="n">
        <v>0.8</v>
      </c>
      <c r="AK90" s="343" t="n">
        <v>0.8</v>
      </c>
      <c r="AL90" s="343" t="n">
        <v>0.8</v>
      </c>
      <c r="AM90" s="344">
        <f>SUM(AI90:AL90)</f>
        <v/>
      </c>
      <c r="AN90" s="343" t="n">
        <v>0.8</v>
      </c>
      <c r="AO90" s="343" t="n">
        <v>0.8</v>
      </c>
      <c r="AP90" s="343" t="n">
        <v>0.8</v>
      </c>
      <c r="AQ90" s="343" t="n">
        <v>0.8</v>
      </c>
      <c r="AR90" s="344">
        <f>SUM(AN90:AQ90)</f>
        <v/>
      </c>
    </row>
    <row r="91" ht="13.5" customHeight="1" s="290">
      <c r="A91" s="339" t="n"/>
      <c r="B91" s="340" t="inlineStr">
        <is>
          <t xml:space="preserve">  Gross Hires / Qtr — Core  — Upside</t>
        </is>
      </c>
      <c r="E91" s="343" t="n">
        <v>0.88</v>
      </c>
      <c r="F91" s="343" t="n">
        <v>0.88</v>
      </c>
      <c r="G91" s="343" t="n">
        <v>0.88</v>
      </c>
      <c r="H91" s="343" t="n">
        <v>0.88</v>
      </c>
      <c r="I91" s="344">
        <f>SUM(E91:H91)</f>
        <v/>
      </c>
      <c r="J91" s="343" t="n">
        <v>0.88</v>
      </c>
      <c r="K91" s="343" t="n">
        <v>0.88</v>
      </c>
      <c r="L91" s="343" t="n">
        <v>0.88</v>
      </c>
      <c r="M91" s="343" t="n">
        <v>0.88</v>
      </c>
      <c r="N91" s="344">
        <f>SUM(J91:M91)</f>
        <v/>
      </c>
      <c r="O91" s="343" t="n">
        <v>0.88</v>
      </c>
      <c r="P91" s="343" t="n">
        <v>0.88</v>
      </c>
      <c r="Q91" s="343" t="n">
        <v>0.88</v>
      </c>
      <c r="R91" s="343" t="n">
        <v>0.88</v>
      </c>
      <c r="S91" s="344">
        <f>SUM(O91:R91)</f>
        <v/>
      </c>
      <c r="T91" s="343" t="n">
        <v>0.88</v>
      </c>
      <c r="U91" s="343" t="n">
        <v>0.88</v>
      </c>
      <c r="V91" s="343" t="n">
        <v>0.88</v>
      </c>
      <c r="W91" s="343" t="n">
        <v>0.88</v>
      </c>
      <c r="X91" s="344">
        <f>SUM(T91:W91)</f>
        <v/>
      </c>
      <c r="Y91" s="343" t="n">
        <v>0.88</v>
      </c>
      <c r="Z91" s="343" t="n">
        <v>0.88</v>
      </c>
      <c r="AA91" s="343" t="n">
        <v>0.88</v>
      </c>
      <c r="AB91" s="343" t="n">
        <v>0.88</v>
      </c>
      <c r="AC91" s="344">
        <f>SUM(Y91:AB91)</f>
        <v/>
      </c>
      <c r="AD91" s="343" t="n">
        <v>0.88</v>
      </c>
      <c r="AE91" s="343" t="n">
        <v>0.88</v>
      </c>
      <c r="AF91" s="343" t="n">
        <v>0.88</v>
      </c>
      <c r="AG91" s="343" t="n">
        <v>0.88</v>
      </c>
      <c r="AH91" s="344">
        <f>SUM(AD91:AG91)</f>
        <v/>
      </c>
      <c r="AI91" s="343" t="n">
        <v>0.88</v>
      </c>
      <c r="AJ91" s="343" t="n">
        <v>0.88</v>
      </c>
      <c r="AK91" s="343" t="n">
        <v>0.88</v>
      </c>
      <c r="AL91" s="343" t="n">
        <v>0.88</v>
      </c>
      <c r="AM91" s="344">
        <f>SUM(AI91:AL91)</f>
        <v/>
      </c>
      <c r="AN91" s="343" t="n">
        <v>0.88</v>
      </c>
      <c r="AO91" s="343" t="n">
        <v>0.88</v>
      </c>
      <c r="AP91" s="343" t="n">
        <v>0.88</v>
      </c>
      <c r="AQ91" s="343" t="n">
        <v>0.88</v>
      </c>
      <c r="AR91" s="344">
        <f>SUM(AN91:AQ91)</f>
        <v/>
      </c>
    </row>
    <row r="92" ht="13.5" customHeight="1" s="290">
      <c r="A92" s="339" t="n"/>
      <c r="B92" s="340" t="inlineStr">
        <is>
          <t xml:space="preserve">  Gross Hires / Qtr — Core  — Downside</t>
        </is>
      </c>
      <c r="E92" s="343" t="n">
        <v>0.68</v>
      </c>
      <c r="F92" s="343" t="n">
        <v>0.68</v>
      </c>
      <c r="G92" s="343" t="n">
        <v>0.68</v>
      </c>
      <c r="H92" s="343" t="n">
        <v>0.68</v>
      </c>
      <c r="I92" s="344">
        <f>SUM(E92:H92)</f>
        <v/>
      </c>
      <c r="J92" s="343" t="n">
        <v>0.68</v>
      </c>
      <c r="K92" s="343" t="n">
        <v>0.68</v>
      </c>
      <c r="L92" s="343" t="n">
        <v>0.68</v>
      </c>
      <c r="M92" s="343" t="n">
        <v>0.68</v>
      </c>
      <c r="N92" s="344">
        <f>SUM(J92:M92)</f>
        <v/>
      </c>
      <c r="O92" s="343" t="n">
        <v>0.68</v>
      </c>
      <c r="P92" s="343" t="n">
        <v>0.68</v>
      </c>
      <c r="Q92" s="343" t="n">
        <v>0.68</v>
      </c>
      <c r="R92" s="343" t="n">
        <v>0.68</v>
      </c>
      <c r="S92" s="344">
        <f>SUM(O92:R92)</f>
        <v/>
      </c>
      <c r="T92" s="343" t="n">
        <v>0.68</v>
      </c>
      <c r="U92" s="343" t="n">
        <v>0.68</v>
      </c>
      <c r="V92" s="343" t="n">
        <v>0.68</v>
      </c>
      <c r="W92" s="343" t="n">
        <v>0.68</v>
      </c>
      <c r="X92" s="344">
        <f>SUM(T92:W92)</f>
        <v/>
      </c>
      <c r="Y92" s="343" t="n">
        <v>0.68</v>
      </c>
      <c r="Z92" s="343" t="n">
        <v>0.68</v>
      </c>
      <c r="AA92" s="343" t="n">
        <v>0.68</v>
      </c>
      <c r="AB92" s="343" t="n">
        <v>0.68</v>
      </c>
      <c r="AC92" s="344">
        <f>SUM(Y92:AB92)</f>
        <v/>
      </c>
      <c r="AD92" s="343" t="n">
        <v>0.68</v>
      </c>
      <c r="AE92" s="343" t="n">
        <v>0.68</v>
      </c>
      <c r="AF92" s="343" t="n">
        <v>0.68</v>
      </c>
      <c r="AG92" s="343" t="n">
        <v>0.68</v>
      </c>
      <c r="AH92" s="344">
        <f>SUM(AD92:AG92)</f>
        <v/>
      </c>
      <c r="AI92" s="343" t="n">
        <v>0.68</v>
      </c>
      <c r="AJ92" s="343" t="n">
        <v>0.68</v>
      </c>
      <c r="AK92" s="343" t="n">
        <v>0.68</v>
      </c>
      <c r="AL92" s="343" t="n">
        <v>0.68</v>
      </c>
      <c r="AM92" s="344">
        <f>SUM(AI92:AL92)</f>
        <v/>
      </c>
      <c r="AN92" s="343" t="n">
        <v>0.68</v>
      </c>
      <c r="AO92" s="343" t="n">
        <v>0.68</v>
      </c>
      <c r="AP92" s="343" t="n">
        <v>0.68</v>
      </c>
      <c r="AQ92" s="343" t="n">
        <v>0.68</v>
      </c>
      <c r="AR92" s="344">
        <f>SUM(AN92:AQ92)</f>
        <v/>
      </c>
    </row>
    <row r="93" ht="13.5" customHeight="1" s="290">
      <c r="A93" s="345" t="n"/>
      <c r="B93" s="346" t="inlineStr">
        <is>
          <t xml:space="preserve">  Gross Hires / Qtr — Core  — ★ ACTIVE</t>
        </is>
      </c>
      <c r="E93" s="361">
        <f>IF('01 Cover &amp; Control'!$C$19="Base",E90,IF('01 Cover &amp; Control'!$C$19="Upside",E91,E92))</f>
        <v/>
      </c>
      <c r="F93" s="361">
        <f>IF('01 Cover &amp; Control'!$C$19="Base",F90,IF('01 Cover &amp; Control'!$C$19="Upside",F91,F92))</f>
        <v/>
      </c>
      <c r="G93" s="361">
        <f>IF('01 Cover &amp; Control'!$C$19="Base",G90,IF('01 Cover &amp; Control'!$C$19="Upside",G91,G92))</f>
        <v/>
      </c>
      <c r="H93" s="361">
        <f>IF('01 Cover &amp; Control'!$C$19="Base",H90,IF('01 Cover &amp; Control'!$C$19="Upside",H91,H92))</f>
        <v/>
      </c>
      <c r="I93" s="347">
        <f>SUM(E93:H93)</f>
        <v/>
      </c>
      <c r="J93" s="361">
        <f>IF('01 Cover &amp; Control'!$C$19="Base",J90,IF('01 Cover &amp; Control'!$C$19="Upside",J91,J92))</f>
        <v/>
      </c>
      <c r="K93" s="361">
        <f>IF('01 Cover &amp; Control'!$C$19="Base",K90,IF('01 Cover &amp; Control'!$C$19="Upside",K91,K92))</f>
        <v/>
      </c>
      <c r="L93" s="361">
        <f>IF('01 Cover &amp; Control'!$C$19="Base",L90,IF('01 Cover &amp; Control'!$C$19="Upside",L91,L92))</f>
        <v/>
      </c>
      <c r="M93" s="361">
        <f>IF('01 Cover &amp; Control'!$C$19="Base",M90,IF('01 Cover &amp; Control'!$C$19="Upside",M91,M92))</f>
        <v/>
      </c>
      <c r="N93" s="347">
        <f>SUM(J93:M93)</f>
        <v/>
      </c>
      <c r="O93" s="361">
        <f>IF('01 Cover &amp; Control'!$C$19="Base",O90,IF('01 Cover &amp; Control'!$C$19="Upside",O91,O92))</f>
        <v/>
      </c>
      <c r="P93" s="361">
        <f>IF('01 Cover &amp; Control'!$C$19="Base",P90,IF('01 Cover &amp; Control'!$C$19="Upside",P91,P92))</f>
        <v/>
      </c>
      <c r="Q93" s="361">
        <f>IF('01 Cover &amp; Control'!$C$19="Base",Q90,IF('01 Cover &amp; Control'!$C$19="Upside",Q91,Q92))</f>
        <v/>
      </c>
      <c r="R93" s="361">
        <f>IF('01 Cover &amp; Control'!$C$19="Base",R90,IF('01 Cover &amp; Control'!$C$19="Upside",R91,R92))</f>
        <v/>
      </c>
      <c r="S93" s="347">
        <f>SUM(O93:R93)</f>
        <v/>
      </c>
      <c r="T93" s="361">
        <f>IF('01 Cover &amp; Control'!$C$19="Base",T90,IF('01 Cover &amp; Control'!$C$19="Upside",T91,T92))</f>
        <v/>
      </c>
      <c r="U93" s="361">
        <f>IF('01 Cover &amp; Control'!$C$19="Base",U90,IF('01 Cover &amp; Control'!$C$19="Upside",U91,U92))</f>
        <v/>
      </c>
      <c r="V93" s="361">
        <f>IF('01 Cover &amp; Control'!$C$19="Base",V90,IF('01 Cover &amp; Control'!$C$19="Upside",V91,V92))</f>
        <v/>
      </c>
      <c r="W93" s="361">
        <f>IF('01 Cover &amp; Control'!$C$19="Base",W90,IF('01 Cover &amp; Control'!$C$19="Upside",W91,W92))</f>
        <v/>
      </c>
      <c r="X93" s="347">
        <f>SUM(T93:W93)</f>
        <v/>
      </c>
      <c r="Y93" s="361">
        <f>IF('01 Cover &amp; Control'!$C$19="Base",Y90,IF('01 Cover &amp; Control'!$C$19="Upside",Y91,Y92))</f>
        <v/>
      </c>
      <c r="Z93" s="361">
        <f>IF('01 Cover &amp; Control'!$C$19="Base",Z90,IF('01 Cover &amp; Control'!$C$19="Upside",Z91,Z92))</f>
        <v/>
      </c>
      <c r="AA93" s="361">
        <f>IF('01 Cover &amp; Control'!$C$19="Base",AA90,IF('01 Cover &amp; Control'!$C$19="Upside",AA91,AA92))</f>
        <v/>
      </c>
      <c r="AB93" s="361">
        <f>IF('01 Cover &amp; Control'!$C$19="Base",AB90,IF('01 Cover &amp; Control'!$C$19="Upside",AB91,AB92))</f>
        <v/>
      </c>
      <c r="AC93" s="347">
        <f>SUM(Y93:AB93)</f>
        <v/>
      </c>
      <c r="AD93" s="361">
        <f>IF('01 Cover &amp; Control'!$C$19="Base",AD90,IF('01 Cover &amp; Control'!$C$19="Upside",AD91,AD92))</f>
        <v/>
      </c>
      <c r="AE93" s="361">
        <f>IF('01 Cover &amp; Control'!$C$19="Base",AE90,IF('01 Cover &amp; Control'!$C$19="Upside",AE91,AE92))</f>
        <v/>
      </c>
      <c r="AF93" s="361">
        <f>IF('01 Cover &amp; Control'!$C$19="Base",AF90,IF('01 Cover &amp; Control'!$C$19="Upside",AF91,AF92))</f>
        <v/>
      </c>
      <c r="AG93" s="361">
        <f>IF('01 Cover &amp; Control'!$C$19="Base",AG90,IF('01 Cover &amp; Control'!$C$19="Upside",AG91,AG92))</f>
        <v/>
      </c>
      <c r="AH93" s="347">
        <f>SUM(AD93:AG93)</f>
        <v/>
      </c>
      <c r="AI93" s="361">
        <f>IF('01 Cover &amp; Control'!$C$19="Base",AI90,IF('01 Cover &amp; Control'!$C$19="Upside",AI91,AI92))</f>
        <v/>
      </c>
      <c r="AJ93" s="361">
        <f>IF('01 Cover &amp; Control'!$C$19="Base",AJ90,IF('01 Cover &amp; Control'!$C$19="Upside",AJ91,AJ92))</f>
        <v/>
      </c>
      <c r="AK93" s="361">
        <f>IF('01 Cover &amp; Control'!$C$19="Base",AK90,IF('01 Cover &amp; Control'!$C$19="Upside",AK91,AK92))</f>
        <v/>
      </c>
      <c r="AL93" s="361">
        <f>IF('01 Cover &amp; Control'!$C$19="Base",AL90,IF('01 Cover &amp; Control'!$C$19="Upside",AL91,AL92))</f>
        <v/>
      </c>
      <c r="AM93" s="347">
        <f>SUM(AI93:AL93)</f>
        <v/>
      </c>
      <c r="AN93" s="361">
        <f>IF('01 Cover &amp; Control'!$C$19="Base",AN90,IF('01 Cover &amp; Control'!$C$19="Upside",AN91,AN92))</f>
        <v/>
      </c>
      <c r="AO93" s="361">
        <f>IF('01 Cover &amp; Control'!$C$19="Base",AO90,IF('01 Cover &amp; Control'!$C$19="Upside",AO91,AO92))</f>
        <v/>
      </c>
      <c r="AP93" s="361">
        <f>IF('01 Cover &amp; Control'!$C$19="Base",AP90,IF('01 Cover &amp; Control'!$C$19="Upside",AP91,AP92))</f>
        <v/>
      </c>
      <c r="AQ93" s="361">
        <f>IF('01 Cover &amp; Control'!$C$19="Base",AQ90,IF('01 Cover &amp; Control'!$C$19="Upside",AQ91,AQ92))</f>
        <v/>
      </c>
      <c r="AR93" s="347">
        <f>SUM(AN93:AQ93)</f>
        <v/>
      </c>
    </row>
    <row r="94" ht="13.5" customHeight="1" s="290">
      <c r="A94" s="339" t="n"/>
      <c r="B94" s="340" t="inlineStr">
        <is>
          <t xml:space="preserve">  Attrition Rate — Core  — Base</t>
        </is>
      </c>
      <c r="C94" s="341" t="inlineStr">
        <is>
          <t>%/qtr</t>
        </is>
      </c>
      <c r="D94" s="342" t="inlineStr">
        <is>
          <t>Quarterly attrition rate applied to Beginning HC. Upside = lower attrition (strong market). Downside = higher (competitors poach).</t>
        </is>
      </c>
      <c r="E94" s="343" t="n">
        <v>0.04</v>
      </c>
      <c r="F94" s="343" t="n">
        <v>0.04</v>
      </c>
      <c r="G94" s="343" t="n">
        <v>0.04</v>
      </c>
      <c r="H94" s="343" t="n">
        <v>0.04</v>
      </c>
      <c r="I94" s="344">
        <f>SUM(E94:H94)</f>
        <v/>
      </c>
      <c r="J94" s="343" t="n">
        <v>0.04</v>
      </c>
      <c r="K94" s="343" t="n">
        <v>0.04</v>
      </c>
      <c r="L94" s="343" t="n">
        <v>0.04</v>
      </c>
      <c r="M94" s="343" t="n">
        <v>0.04</v>
      </c>
      <c r="N94" s="344">
        <f>SUM(J94:M94)</f>
        <v/>
      </c>
      <c r="O94" s="343" t="n">
        <v>0.04</v>
      </c>
      <c r="P94" s="343" t="n">
        <v>0.04</v>
      </c>
      <c r="Q94" s="343" t="n">
        <v>0.04</v>
      </c>
      <c r="R94" s="343" t="n">
        <v>0.04</v>
      </c>
      <c r="S94" s="344">
        <f>SUM(O94:R94)</f>
        <v/>
      </c>
      <c r="T94" s="343" t="n">
        <v>0.04</v>
      </c>
      <c r="U94" s="343" t="n">
        <v>0.04</v>
      </c>
      <c r="V94" s="343" t="n">
        <v>0.04</v>
      </c>
      <c r="W94" s="343" t="n">
        <v>0.04</v>
      </c>
      <c r="X94" s="344">
        <f>SUM(T94:W94)</f>
        <v/>
      </c>
      <c r="Y94" s="343" t="n">
        <v>0.04</v>
      </c>
      <c r="Z94" s="343" t="n">
        <v>0.04</v>
      </c>
      <c r="AA94" s="343" t="n">
        <v>0.04</v>
      </c>
      <c r="AB94" s="343" t="n">
        <v>0.04</v>
      </c>
      <c r="AC94" s="344">
        <f>SUM(Y94:AB94)</f>
        <v/>
      </c>
      <c r="AD94" s="343" t="n">
        <v>0.04</v>
      </c>
      <c r="AE94" s="343" t="n">
        <v>0.04</v>
      </c>
      <c r="AF94" s="343" t="n">
        <v>0.04</v>
      </c>
      <c r="AG94" s="343" t="n">
        <v>0.04</v>
      </c>
      <c r="AH94" s="344">
        <f>SUM(AD94:AG94)</f>
        <v/>
      </c>
      <c r="AI94" s="343" t="n">
        <v>0.04</v>
      </c>
      <c r="AJ94" s="343" t="n">
        <v>0.04</v>
      </c>
      <c r="AK94" s="343" t="n">
        <v>0.04</v>
      </c>
      <c r="AL94" s="343" t="n">
        <v>0.04</v>
      </c>
      <c r="AM94" s="344">
        <f>SUM(AI94:AL94)</f>
        <v/>
      </c>
      <c r="AN94" s="343" t="n">
        <v>0.04</v>
      </c>
      <c r="AO94" s="343" t="n">
        <v>0.04</v>
      </c>
      <c r="AP94" s="343" t="n">
        <v>0.04</v>
      </c>
      <c r="AQ94" s="343" t="n">
        <v>0.04</v>
      </c>
      <c r="AR94" s="344">
        <f>SUM(AN94:AQ94)</f>
        <v/>
      </c>
    </row>
    <row r="95" ht="13.5" customHeight="1" s="290">
      <c r="A95" s="339" t="n"/>
      <c r="B95" s="340" t="inlineStr">
        <is>
          <t xml:space="preserve">  Attrition Rate — Core  — Upside</t>
        </is>
      </c>
      <c r="E95" s="343" t="n">
        <v>0.035</v>
      </c>
      <c r="F95" s="343" t="n">
        <v>0.035</v>
      </c>
      <c r="G95" s="343" t="n">
        <v>0.035</v>
      </c>
      <c r="H95" s="343" t="n">
        <v>0.035</v>
      </c>
      <c r="I95" s="344">
        <f>SUM(E95:H95)</f>
        <v/>
      </c>
      <c r="J95" s="343" t="n">
        <v>0.035</v>
      </c>
      <c r="K95" s="343" t="n">
        <v>0.035</v>
      </c>
      <c r="L95" s="343" t="n">
        <v>0.035</v>
      </c>
      <c r="M95" s="343" t="n">
        <v>0.035</v>
      </c>
      <c r="N95" s="344">
        <f>SUM(J95:M95)</f>
        <v/>
      </c>
      <c r="O95" s="343" t="n">
        <v>0.035</v>
      </c>
      <c r="P95" s="343" t="n">
        <v>0.035</v>
      </c>
      <c r="Q95" s="343" t="n">
        <v>0.035</v>
      </c>
      <c r="R95" s="343" t="n">
        <v>0.035</v>
      </c>
      <c r="S95" s="344">
        <f>SUM(O95:R95)</f>
        <v/>
      </c>
      <c r="T95" s="343" t="n">
        <v>0.035</v>
      </c>
      <c r="U95" s="343" t="n">
        <v>0.035</v>
      </c>
      <c r="V95" s="343" t="n">
        <v>0.035</v>
      </c>
      <c r="W95" s="343" t="n">
        <v>0.035</v>
      </c>
      <c r="X95" s="344">
        <f>SUM(T95:W95)</f>
        <v/>
      </c>
      <c r="Y95" s="343" t="n">
        <v>0.035</v>
      </c>
      <c r="Z95" s="343" t="n">
        <v>0.035</v>
      </c>
      <c r="AA95" s="343" t="n">
        <v>0.035</v>
      </c>
      <c r="AB95" s="343" t="n">
        <v>0.035</v>
      </c>
      <c r="AC95" s="344">
        <f>SUM(Y95:AB95)</f>
        <v/>
      </c>
      <c r="AD95" s="343" t="n">
        <v>0.035</v>
      </c>
      <c r="AE95" s="343" t="n">
        <v>0.035</v>
      </c>
      <c r="AF95" s="343" t="n">
        <v>0.035</v>
      </c>
      <c r="AG95" s="343" t="n">
        <v>0.035</v>
      </c>
      <c r="AH95" s="344">
        <f>SUM(AD95:AG95)</f>
        <v/>
      </c>
      <c r="AI95" s="343" t="n">
        <v>0.035</v>
      </c>
      <c r="AJ95" s="343" t="n">
        <v>0.035</v>
      </c>
      <c r="AK95" s="343" t="n">
        <v>0.035</v>
      </c>
      <c r="AL95" s="343" t="n">
        <v>0.035</v>
      </c>
      <c r="AM95" s="344">
        <f>SUM(AI95:AL95)</f>
        <v/>
      </c>
      <c r="AN95" s="343" t="n">
        <v>0.035</v>
      </c>
      <c r="AO95" s="343" t="n">
        <v>0.035</v>
      </c>
      <c r="AP95" s="343" t="n">
        <v>0.035</v>
      </c>
      <c r="AQ95" s="343" t="n">
        <v>0.035</v>
      </c>
      <c r="AR95" s="344">
        <f>SUM(AN95:AQ95)</f>
        <v/>
      </c>
    </row>
    <row r="96" ht="13.5" customHeight="1" s="290">
      <c r="A96" s="339" t="n"/>
      <c r="B96" s="340" t="inlineStr">
        <is>
          <t xml:space="preserve">  Attrition Rate — Core  — Downside</t>
        </is>
      </c>
      <c r="E96" s="343" t="n">
        <v>0.055</v>
      </c>
      <c r="F96" s="343" t="n">
        <v>0.055</v>
      </c>
      <c r="G96" s="343" t="n">
        <v>0.055</v>
      </c>
      <c r="H96" s="343" t="n">
        <v>0.055</v>
      </c>
      <c r="I96" s="344">
        <f>SUM(E96:H96)</f>
        <v/>
      </c>
      <c r="J96" s="343" t="n">
        <v>0.055</v>
      </c>
      <c r="K96" s="343" t="n">
        <v>0.055</v>
      </c>
      <c r="L96" s="343" t="n">
        <v>0.055</v>
      </c>
      <c r="M96" s="343" t="n">
        <v>0.055</v>
      </c>
      <c r="N96" s="344">
        <f>SUM(J96:M96)</f>
        <v/>
      </c>
      <c r="O96" s="343" t="n">
        <v>0.055</v>
      </c>
      <c r="P96" s="343" t="n">
        <v>0.055</v>
      </c>
      <c r="Q96" s="343" t="n">
        <v>0.055</v>
      </c>
      <c r="R96" s="343" t="n">
        <v>0.055</v>
      </c>
      <c r="S96" s="344">
        <f>SUM(O96:R96)</f>
        <v/>
      </c>
      <c r="T96" s="343" t="n">
        <v>0.055</v>
      </c>
      <c r="U96" s="343" t="n">
        <v>0.055</v>
      </c>
      <c r="V96" s="343" t="n">
        <v>0.055</v>
      </c>
      <c r="W96" s="343" t="n">
        <v>0.055</v>
      </c>
      <c r="X96" s="344">
        <f>SUM(T96:W96)</f>
        <v/>
      </c>
      <c r="Y96" s="343" t="n">
        <v>0.055</v>
      </c>
      <c r="Z96" s="343" t="n">
        <v>0.055</v>
      </c>
      <c r="AA96" s="343" t="n">
        <v>0.055</v>
      </c>
      <c r="AB96" s="343" t="n">
        <v>0.055</v>
      </c>
      <c r="AC96" s="344">
        <f>SUM(Y96:AB96)</f>
        <v/>
      </c>
      <c r="AD96" s="343" t="n">
        <v>0.055</v>
      </c>
      <c r="AE96" s="343" t="n">
        <v>0.055</v>
      </c>
      <c r="AF96" s="343" t="n">
        <v>0.055</v>
      </c>
      <c r="AG96" s="343" t="n">
        <v>0.055</v>
      </c>
      <c r="AH96" s="344">
        <f>SUM(AD96:AG96)</f>
        <v/>
      </c>
      <c r="AI96" s="343" t="n">
        <v>0.055</v>
      </c>
      <c r="AJ96" s="343" t="n">
        <v>0.055</v>
      </c>
      <c r="AK96" s="343" t="n">
        <v>0.055</v>
      </c>
      <c r="AL96" s="343" t="n">
        <v>0.055</v>
      </c>
      <c r="AM96" s="344">
        <f>SUM(AI96:AL96)</f>
        <v/>
      </c>
      <c r="AN96" s="343" t="n">
        <v>0.055</v>
      </c>
      <c r="AO96" s="343" t="n">
        <v>0.055</v>
      </c>
      <c r="AP96" s="343" t="n">
        <v>0.055</v>
      </c>
      <c r="AQ96" s="343" t="n">
        <v>0.055</v>
      </c>
      <c r="AR96" s="344">
        <f>SUM(AN96:AQ96)</f>
        <v/>
      </c>
    </row>
    <row r="97" ht="13.5" customHeight="1" s="290">
      <c r="A97" s="345" t="n"/>
      <c r="B97" s="346" t="inlineStr">
        <is>
          <t xml:space="preserve">  Attrition Rate — Core  — ★ ACTIVE</t>
        </is>
      </c>
      <c r="E97" s="361">
        <f>IF('01 Cover &amp; Control'!$C$19="Base",E94,IF('01 Cover &amp; Control'!$C$19="Upside",E95,E96))</f>
        <v/>
      </c>
      <c r="F97" s="361">
        <f>IF('01 Cover &amp; Control'!$C$19="Base",F94,IF('01 Cover &amp; Control'!$C$19="Upside",F95,F96))</f>
        <v/>
      </c>
      <c r="G97" s="361">
        <f>IF('01 Cover &amp; Control'!$C$19="Base",G94,IF('01 Cover &amp; Control'!$C$19="Upside",G95,G96))</f>
        <v/>
      </c>
      <c r="H97" s="361">
        <f>IF('01 Cover &amp; Control'!$C$19="Base",H94,IF('01 Cover &amp; Control'!$C$19="Upside",H95,H96))</f>
        <v/>
      </c>
      <c r="I97" s="347">
        <f>AVERAGE(E97:H97)</f>
        <v/>
      </c>
      <c r="J97" s="361">
        <f>IF('01 Cover &amp; Control'!$C$19="Base",J94,IF('01 Cover &amp; Control'!$C$19="Upside",J95,J96))</f>
        <v/>
      </c>
      <c r="K97" s="361">
        <f>IF('01 Cover &amp; Control'!$C$19="Base",K94,IF('01 Cover &amp; Control'!$C$19="Upside",K95,K96))</f>
        <v/>
      </c>
      <c r="L97" s="361">
        <f>IF('01 Cover &amp; Control'!$C$19="Base",L94,IF('01 Cover &amp; Control'!$C$19="Upside",L95,L96))</f>
        <v/>
      </c>
      <c r="M97" s="361">
        <f>IF('01 Cover &amp; Control'!$C$19="Base",M94,IF('01 Cover &amp; Control'!$C$19="Upside",M95,M96))</f>
        <v/>
      </c>
      <c r="N97" s="347">
        <f>AVERAGE(J97:M97)</f>
        <v/>
      </c>
      <c r="O97" s="361">
        <f>IF('01 Cover &amp; Control'!$C$19="Base",O94,IF('01 Cover &amp; Control'!$C$19="Upside",O95,O96))</f>
        <v/>
      </c>
      <c r="P97" s="361">
        <f>IF('01 Cover &amp; Control'!$C$19="Base",P94,IF('01 Cover &amp; Control'!$C$19="Upside",P95,P96))</f>
        <v/>
      </c>
      <c r="Q97" s="361">
        <f>IF('01 Cover &amp; Control'!$C$19="Base",Q94,IF('01 Cover &amp; Control'!$C$19="Upside",Q95,Q96))</f>
        <v/>
      </c>
      <c r="R97" s="361">
        <f>IF('01 Cover &amp; Control'!$C$19="Base",R94,IF('01 Cover &amp; Control'!$C$19="Upside",R95,R96))</f>
        <v/>
      </c>
      <c r="S97" s="347">
        <f>AVERAGE(O97:R97)</f>
        <v/>
      </c>
      <c r="T97" s="361">
        <f>IF('01 Cover &amp; Control'!$C$19="Base",T94,IF('01 Cover &amp; Control'!$C$19="Upside",T95,T96))</f>
        <v/>
      </c>
      <c r="U97" s="361">
        <f>IF('01 Cover &amp; Control'!$C$19="Base",U94,IF('01 Cover &amp; Control'!$C$19="Upside",U95,U96))</f>
        <v/>
      </c>
      <c r="V97" s="361">
        <f>IF('01 Cover &amp; Control'!$C$19="Base",V94,IF('01 Cover &amp; Control'!$C$19="Upside",V95,V96))</f>
        <v/>
      </c>
      <c r="W97" s="361">
        <f>IF('01 Cover &amp; Control'!$C$19="Base",W94,IF('01 Cover &amp; Control'!$C$19="Upside",W95,W96))</f>
        <v/>
      </c>
      <c r="X97" s="347">
        <f>AVERAGE(T97:W97)</f>
        <v/>
      </c>
      <c r="Y97" s="361">
        <f>IF('01 Cover &amp; Control'!$C$19="Base",Y94,IF('01 Cover &amp; Control'!$C$19="Upside",Y95,Y96))</f>
        <v/>
      </c>
      <c r="Z97" s="361">
        <f>IF('01 Cover &amp; Control'!$C$19="Base",Z94,IF('01 Cover &amp; Control'!$C$19="Upside",Z95,Z96))</f>
        <v/>
      </c>
      <c r="AA97" s="361">
        <f>IF('01 Cover &amp; Control'!$C$19="Base",AA94,IF('01 Cover &amp; Control'!$C$19="Upside",AA95,AA96))</f>
        <v/>
      </c>
      <c r="AB97" s="361">
        <f>IF('01 Cover &amp; Control'!$C$19="Base",AB94,IF('01 Cover &amp; Control'!$C$19="Upside",AB95,AB96))</f>
        <v/>
      </c>
      <c r="AC97" s="347">
        <f>AVERAGE(Y97:AB97)</f>
        <v/>
      </c>
      <c r="AD97" s="361">
        <f>IF('01 Cover &amp; Control'!$C$19="Base",AD94,IF('01 Cover &amp; Control'!$C$19="Upside",AD95,AD96))</f>
        <v/>
      </c>
      <c r="AE97" s="361">
        <f>IF('01 Cover &amp; Control'!$C$19="Base",AE94,IF('01 Cover &amp; Control'!$C$19="Upside",AE95,AE96))</f>
        <v/>
      </c>
      <c r="AF97" s="361">
        <f>IF('01 Cover &amp; Control'!$C$19="Base",AF94,IF('01 Cover &amp; Control'!$C$19="Upside",AF95,AF96))</f>
        <v/>
      </c>
      <c r="AG97" s="361">
        <f>IF('01 Cover &amp; Control'!$C$19="Base",AG94,IF('01 Cover &amp; Control'!$C$19="Upside",AG95,AG96))</f>
        <v/>
      </c>
      <c r="AH97" s="347">
        <f>AVERAGE(AD97:AG97)</f>
        <v/>
      </c>
      <c r="AI97" s="361">
        <f>IF('01 Cover &amp; Control'!$C$19="Base",AI94,IF('01 Cover &amp; Control'!$C$19="Upside",AI95,AI96))</f>
        <v/>
      </c>
      <c r="AJ97" s="361">
        <f>IF('01 Cover &amp; Control'!$C$19="Base",AJ94,IF('01 Cover &amp; Control'!$C$19="Upside",AJ95,AJ96))</f>
        <v/>
      </c>
      <c r="AK97" s="361">
        <f>IF('01 Cover &amp; Control'!$C$19="Base",AK94,IF('01 Cover &amp; Control'!$C$19="Upside",AK95,AK96))</f>
        <v/>
      </c>
      <c r="AL97" s="361">
        <f>IF('01 Cover &amp; Control'!$C$19="Base",AL94,IF('01 Cover &amp; Control'!$C$19="Upside",AL95,AL96))</f>
        <v/>
      </c>
      <c r="AM97" s="347">
        <f>AVERAGE(AI97:AL97)</f>
        <v/>
      </c>
      <c r="AN97" s="361">
        <f>IF('01 Cover &amp; Control'!$C$19="Base",AN94,IF('01 Cover &amp; Control'!$C$19="Upside",AN95,AN96))</f>
        <v/>
      </c>
      <c r="AO97" s="361">
        <f>IF('01 Cover &amp; Control'!$C$19="Base",AO94,IF('01 Cover &amp; Control'!$C$19="Upside",AO95,AO96))</f>
        <v/>
      </c>
      <c r="AP97" s="361">
        <f>IF('01 Cover &amp; Control'!$C$19="Base",AP94,IF('01 Cover &amp; Control'!$C$19="Upside",AP95,AP96))</f>
        <v/>
      </c>
      <c r="AQ97" s="361">
        <f>IF('01 Cover &amp; Control'!$C$19="Base",AQ94,IF('01 Cover &amp; Control'!$C$19="Upside",AQ95,AQ96))</f>
        <v/>
      </c>
      <c r="AR97" s="347">
        <f>AVERAGE(AN97:AQ97)</f>
        <v/>
      </c>
    </row>
    <row r="98" ht="3.75" customHeight="1" s="290"/>
    <row r="99" ht="13.5" customHeight="1" s="290">
      <c r="A99" s="339" t="n"/>
      <c r="B99" s="357" t="inlineStr">
        <is>
          <t xml:space="preserve">  Beginning HC — Junior</t>
        </is>
      </c>
      <c r="C99" s="341" t="inlineStr">
        <is>
          <t>#</t>
        </is>
      </c>
      <c r="D99" s="342" t="inlineStr">
        <is>
          <t>Input: actuals for hist period; forecast = prior yr ending HC. Used directly in EPE formula.</t>
        </is>
      </c>
      <c r="E99" s="343" t="n">
        <v>6</v>
      </c>
      <c r="F99" s="343" t="n"/>
      <c r="G99" s="343" t="n"/>
      <c r="H99" s="343" t="n"/>
      <c r="I99" s="344">
        <f>SUM(E99:H99)</f>
        <v/>
      </c>
      <c r="J99" s="343" t="n"/>
      <c r="K99" s="343" t="n"/>
      <c r="L99" s="343" t="n"/>
      <c r="M99" s="343" t="n"/>
      <c r="N99" s="344">
        <f>SUM(J99:M99)</f>
        <v/>
      </c>
      <c r="O99" s="343" t="n"/>
      <c r="P99" s="343" t="n"/>
      <c r="Q99" s="343" t="n"/>
      <c r="R99" s="343" t="n"/>
      <c r="S99" s="344">
        <f>SUM(O99:R99)</f>
        <v/>
      </c>
      <c r="T99" s="343" t="n"/>
      <c r="U99" s="343" t="n"/>
      <c r="V99" s="343" t="n"/>
      <c r="W99" s="343" t="n"/>
      <c r="X99" s="344">
        <f>SUM(T99:W99)</f>
        <v/>
      </c>
      <c r="Y99" s="343" t="n"/>
      <c r="Z99" s="343" t="n"/>
      <c r="AA99" s="343" t="n"/>
      <c r="AB99" s="343" t="n"/>
      <c r="AC99" s="344">
        <f>SUM(Y99:AB99)</f>
        <v/>
      </c>
      <c r="AD99" s="343" t="n"/>
      <c r="AE99" s="343" t="n"/>
      <c r="AF99" s="343" t="n"/>
      <c r="AG99" s="343" t="n"/>
      <c r="AH99" s="344">
        <f>SUM(AD99:AG99)</f>
        <v/>
      </c>
      <c r="AI99" s="343" t="n"/>
      <c r="AJ99" s="343" t="n"/>
      <c r="AK99" s="343" t="n"/>
      <c r="AL99" s="343" t="n"/>
      <c r="AM99" s="344">
        <f>SUM(AI99:AL99)</f>
        <v/>
      </c>
      <c r="AN99" s="343" t="n"/>
      <c r="AO99" s="343" t="n"/>
      <c r="AP99" s="343" t="n"/>
      <c r="AQ99" s="343" t="n"/>
      <c r="AR99" s="344">
        <f>SUM(AN99:AQ99)</f>
        <v/>
      </c>
    </row>
    <row r="100" ht="13.5" customHeight="1" s="290">
      <c r="A100" s="339" t="n"/>
      <c r="B100" s="340" t="inlineStr">
        <is>
          <t xml:space="preserve">  Gross Hires / Qtr — Junior  — Base</t>
        </is>
      </c>
      <c r="C100" s="341" t="inlineStr">
        <is>
          <t>#/qtr</t>
        </is>
      </c>
      <c r="D100" s="342" t="inlineStr">
        <is>
          <t>Scenario-keyed. Upside = faster hiring. Downside = slower/failed hiring.</t>
        </is>
      </c>
      <c r="E100" s="343" t="n">
        <v>1</v>
      </c>
      <c r="F100" s="343" t="n">
        <v>1</v>
      </c>
      <c r="G100" s="343" t="n">
        <v>1</v>
      </c>
      <c r="H100" s="343" t="n">
        <v>1</v>
      </c>
      <c r="I100" s="344">
        <f>SUM(E100:H100)</f>
        <v/>
      </c>
      <c r="J100" s="343" t="n">
        <v>1</v>
      </c>
      <c r="K100" s="343" t="n">
        <v>1</v>
      </c>
      <c r="L100" s="343" t="n">
        <v>1</v>
      </c>
      <c r="M100" s="343" t="n">
        <v>1</v>
      </c>
      <c r="N100" s="344">
        <f>SUM(J100:M100)</f>
        <v/>
      </c>
      <c r="O100" s="343" t="n">
        <v>1</v>
      </c>
      <c r="P100" s="343" t="n">
        <v>1</v>
      </c>
      <c r="Q100" s="343" t="n">
        <v>1</v>
      </c>
      <c r="R100" s="343" t="n">
        <v>1</v>
      </c>
      <c r="S100" s="344">
        <f>SUM(O100:R100)</f>
        <v/>
      </c>
      <c r="T100" s="343" t="n">
        <v>1</v>
      </c>
      <c r="U100" s="343" t="n">
        <v>1</v>
      </c>
      <c r="V100" s="343" t="n">
        <v>1</v>
      </c>
      <c r="W100" s="343" t="n">
        <v>1</v>
      </c>
      <c r="X100" s="344">
        <f>SUM(T100:W100)</f>
        <v/>
      </c>
      <c r="Y100" s="343" t="n">
        <v>1</v>
      </c>
      <c r="Z100" s="343" t="n">
        <v>1</v>
      </c>
      <c r="AA100" s="343" t="n">
        <v>1</v>
      </c>
      <c r="AB100" s="343" t="n">
        <v>1</v>
      </c>
      <c r="AC100" s="344">
        <f>SUM(Y100:AB100)</f>
        <v/>
      </c>
      <c r="AD100" s="343" t="n">
        <v>1</v>
      </c>
      <c r="AE100" s="343" t="n">
        <v>1</v>
      </c>
      <c r="AF100" s="343" t="n">
        <v>1</v>
      </c>
      <c r="AG100" s="343" t="n">
        <v>1</v>
      </c>
      <c r="AH100" s="344">
        <f>SUM(AD100:AG100)</f>
        <v/>
      </c>
      <c r="AI100" s="343" t="n">
        <v>1</v>
      </c>
      <c r="AJ100" s="343" t="n">
        <v>1</v>
      </c>
      <c r="AK100" s="343" t="n">
        <v>1</v>
      </c>
      <c r="AL100" s="343" t="n">
        <v>1</v>
      </c>
      <c r="AM100" s="344">
        <f>SUM(AI100:AL100)</f>
        <v/>
      </c>
      <c r="AN100" s="343" t="n">
        <v>1</v>
      </c>
      <c r="AO100" s="343" t="n">
        <v>1</v>
      </c>
      <c r="AP100" s="343" t="n">
        <v>1</v>
      </c>
      <c r="AQ100" s="343" t="n">
        <v>1</v>
      </c>
      <c r="AR100" s="344">
        <f>SUM(AN100:AQ100)</f>
        <v/>
      </c>
    </row>
    <row r="101" ht="13.5" customHeight="1" s="290">
      <c r="A101" s="339" t="n"/>
      <c r="B101" s="340" t="inlineStr">
        <is>
          <t xml:space="preserve">  Gross Hires / Qtr — Junior  — Upside</t>
        </is>
      </c>
      <c r="E101" s="343" t="n">
        <v>1.1</v>
      </c>
      <c r="F101" s="343" t="n">
        <v>1.1</v>
      </c>
      <c r="G101" s="343" t="n">
        <v>1.1</v>
      </c>
      <c r="H101" s="343" t="n">
        <v>1.1</v>
      </c>
      <c r="I101" s="344">
        <f>SUM(E101:H101)</f>
        <v/>
      </c>
      <c r="J101" s="343" t="n">
        <v>1.1</v>
      </c>
      <c r="K101" s="343" t="n">
        <v>1.1</v>
      </c>
      <c r="L101" s="343" t="n">
        <v>1.1</v>
      </c>
      <c r="M101" s="343" t="n">
        <v>1.1</v>
      </c>
      <c r="N101" s="344">
        <f>SUM(J101:M101)</f>
        <v/>
      </c>
      <c r="O101" s="343" t="n">
        <v>1.1</v>
      </c>
      <c r="P101" s="343" t="n">
        <v>1.1</v>
      </c>
      <c r="Q101" s="343" t="n">
        <v>1.1</v>
      </c>
      <c r="R101" s="343" t="n">
        <v>1.1</v>
      </c>
      <c r="S101" s="344">
        <f>SUM(O101:R101)</f>
        <v/>
      </c>
      <c r="T101" s="343" t="n">
        <v>1.1</v>
      </c>
      <c r="U101" s="343" t="n">
        <v>1.1</v>
      </c>
      <c r="V101" s="343" t="n">
        <v>1.1</v>
      </c>
      <c r="W101" s="343" t="n">
        <v>1.1</v>
      </c>
      <c r="X101" s="344">
        <f>SUM(T101:W101)</f>
        <v/>
      </c>
      <c r="Y101" s="343" t="n">
        <v>1.1</v>
      </c>
      <c r="Z101" s="343" t="n">
        <v>1.1</v>
      </c>
      <c r="AA101" s="343" t="n">
        <v>1.1</v>
      </c>
      <c r="AB101" s="343" t="n">
        <v>1.1</v>
      </c>
      <c r="AC101" s="344">
        <f>SUM(Y101:AB101)</f>
        <v/>
      </c>
      <c r="AD101" s="343" t="n">
        <v>1.1</v>
      </c>
      <c r="AE101" s="343" t="n">
        <v>1.1</v>
      </c>
      <c r="AF101" s="343" t="n">
        <v>1.1</v>
      </c>
      <c r="AG101" s="343" t="n">
        <v>1.1</v>
      </c>
      <c r="AH101" s="344">
        <f>SUM(AD101:AG101)</f>
        <v/>
      </c>
      <c r="AI101" s="343" t="n">
        <v>1.1</v>
      </c>
      <c r="AJ101" s="343" t="n">
        <v>1.1</v>
      </c>
      <c r="AK101" s="343" t="n">
        <v>1.1</v>
      </c>
      <c r="AL101" s="343" t="n">
        <v>1.1</v>
      </c>
      <c r="AM101" s="344">
        <f>SUM(AI101:AL101)</f>
        <v/>
      </c>
      <c r="AN101" s="343" t="n">
        <v>1.1</v>
      </c>
      <c r="AO101" s="343" t="n">
        <v>1.1</v>
      </c>
      <c r="AP101" s="343" t="n">
        <v>1.1</v>
      </c>
      <c r="AQ101" s="343" t="n">
        <v>1.1</v>
      </c>
      <c r="AR101" s="344">
        <f>SUM(AN101:AQ101)</f>
        <v/>
      </c>
    </row>
    <row r="102" ht="13.5" customHeight="1" s="290">
      <c r="A102" s="339" t="n"/>
      <c r="B102" s="340" t="inlineStr">
        <is>
          <t xml:space="preserve">  Gross Hires / Qtr — Junior  — Downside</t>
        </is>
      </c>
      <c r="E102" s="343" t="n">
        <v>0.85</v>
      </c>
      <c r="F102" s="343" t="n">
        <v>0.85</v>
      </c>
      <c r="G102" s="343" t="n">
        <v>0.85</v>
      </c>
      <c r="H102" s="343" t="n">
        <v>0.85</v>
      </c>
      <c r="I102" s="344">
        <f>SUM(E102:H102)</f>
        <v/>
      </c>
      <c r="J102" s="343" t="n">
        <v>0.85</v>
      </c>
      <c r="K102" s="343" t="n">
        <v>0.85</v>
      </c>
      <c r="L102" s="343" t="n">
        <v>0.85</v>
      </c>
      <c r="M102" s="343" t="n">
        <v>0.85</v>
      </c>
      <c r="N102" s="344">
        <f>SUM(J102:M102)</f>
        <v/>
      </c>
      <c r="O102" s="343" t="n">
        <v>0.85</v>
      </c>
      <c r="P102" s="343" t="n">
        <v>0.85</v>
      </c>
      <c r="Q102" s="343" t="n">
        <v>0.85</v>
      </c>
      <c r="R102" s="343" t="n">
        <v>0.85</v>
      </c>
      <c r="S102" s="344">
        <f>SUM(O102:R102)</f>
        <v/>
      </c>
      <c r="T102" s="343" t="n">
        <v>0.85</v>
      </c>
      <c r="U102" s="343" t="n">
        <v>0.85</v>
      </c>
      <c r="V102" s="343" t="n">
        <v>0.85</v>
      </c>
      <c r="W102" s="343" t="n">
        <v>0.85</v>
      </c>
      <c r="X102" s="344">
        <f>SUM(T102:W102)</f>
        <v/>
      </c>
      <c r="Y102" s="343" t="n">
        <v>0.85</v>
      </c>
      <c r="Z102" s="343" t="n">
        <v>0.85</v>
      </c>
      <c r="AA102" s="343" t="n">
        <v>0.85</v>
      </c>
      <c r="AB102" s="343" t="n">
        <v>0.85</v>
      </c>
      <c r="AC102" s="344">
        <f>SUM(Y102:AB102)</f>
        <v/>
      </c>
      <c r="AD102" s="343" t="n">
        <v>0.85</v>
      </c>
      <c r="AE102" s="343" t="n">
        <v>0.85</v>
      </c>
      <c r="AF102" s="343" t="n">
        <v>0.85</v>
      </c>
      <c r="AG102" s="343" t="n">
        <v>0.85</v>
      </c>
      <c r="AH102" s="344">
        <f>SUM(AD102:AG102)</f>
        <v/>
      </c>
      <c r="AI102" s="343" t="n">
        <v>0.85</v>
      </c>
      <c r="AJ102" s="343" t="n">
        <v>0.85</v>
      </c>
      <c r="AK102" s="343" t="n">
        <v>0.85</v>
      </c>
      <c r="AL102" s="343" t="n">
        <v>0.85</v>
      </c>
      <c r="AM102" s="344">
        <f>SUM(AI102:AL102)</f>
        <v/>
      </c>
      <c r="AN102" s="343" t="n">
        <v>0.85</v>
      </c>
      <c r="AO102" s="343" t="n">
        <v>0.85</v>
      </c>
      <c r="AP102" s="343" t="n">
        <v>0.85</v>
      </c>
      <c r="AQ102" s="343" t="n">
        <v>0.85</v>
      </c>
      <c r="AR102" s="344">
        <f>SUM(AN102:AQ102)</f>
        <v/>
      </c>
    </row>
    <row r="103" ht="13.5" customHeight="1" s="290">
      <c r="A103" s="345" t="n"/>
      <c r="B103" s="346" t="inlineStr">
        <is>
          <t xml:space="preserve">  Gross Hires / Qtr — Junior  — ★ ACTIVE</t>
        </is>
      </c>
      <c r="E103" s="361">
        <f>IF('01 Cover &amp; Control'!$C$19="Base",E100,IF('01 Cover &amp; Control'!$C$19="Upside",E101,E102))</f>
        <v/>
      </c>
      <c r="F103" s="361">
        <f>IF('01 Cover &amp; Control'!$C$19="Base",F100,IF('01 Cover &amp; Control'!$C$19="Upside",F101,F102))</f>
        <v/>
      </c>
      <c r="G103" s="361">
        <f>IF('01 Cover &amp; Control'!$C$19="Base",G100,IF('01 Cover &amp; Control'!$C$19="Upside",G101,G102))</f>
        <v/>
      </c>
      <c r="H103" s="361">
        <f>IF('01 Cover &amp; Control'!$C$19="Base",H100,IF('01 Cover &amp; Control'!$C$19="Upside",H101,H102))</f>
        <v/>
      </c>
      <c r="I103" s="347">
        <f>SUM(E103:H103)</f>
        <v/>
      </c>
      <c r="J103" s="361">
        <f>IF('01 Cover &amp; Control'!$C$19="Base",J100,IF('01 Cover &amp; Control'!$C$19="Upside",J101,J102))</f>
        <v/>
      </c>
      <c r="K103" s="361">
        <f>IF('01 Cover &amp; Control'!$C$19="Base",K100,IF('01 Cover &amp; Control'!$C$19="Upside",K101,K102))</f>
        <v/>
      </c>
      <c r="L103" s="361">
        <f>IF('01 Cover &amp; Control'!$C$19="Base",L100,IF('01 Cover &amp; Control'!$C$19="Upside",L101,L102))</f>
        <v/>
      </c>
      <c r="M103" s="361">
        <f>IF('01 Cover &amp; Control'!$C$19="Base",M100,IF('01 Cover &amp; Control'!$C$19="Upside",M101,M102))</f>
        <v/>
      </c>
      <c r="N103" s="347">
        <f>SUM(J103:M103)</f>
        <v/>
      </c>
      <c r="O103" s="361">
        <f>IF('01 Cover &amp; Control'!$C$19="Base",O100,IF('01 Cover &amp; Control'!$C$19="Upside",O101,O102))</f>
        <v/>
      </c>
      <c r="P103" s="361">
        <f>IF('01 Cover &amp; Control'!$C$19="Base",P100,IF('01 Cover &amp; Control'!$C$19="Upside",P101,P102))</f>
        <v/>
      </c>
      <c r="Q103" s="361">
        <f>IF('01 Cover &amp; Control'!$C$19="Base",Q100,IF('01 Cover &amp; Control'!$C$19="Upside",Q101,Q102))</f>
        <v/>
      </c>
      <c r="R103" s="361">
        <f>IF('01 Cover &amp; Control'!$C$19="Base",R100,IF('01 Cover &amp; Control'!$C$19="Upside",R101,R102))</f>
        <v/>
      </c>
      <c r="S103" s="347">
        <f>SUM(O103:R103)</f>
        <v/>
      </c>
      <c r="T103" s="361">
        <f>IF('01 Cover &amp; Control'!$C$19="Base",T100,IF('01 Cover &amp; Control'!$C$19="Upside",T101,T102))</f>
        <v/>
      </c>
      <c r="U103" s="361">
        <f>IF('01 Cover &amp; Control'!$C$19="Base",U100,IF('01 Cover &amp; Control'!$C$19="Upside",U101,U102))</f>
        <v/>
      </c>
      <c r="V103" s="361">
        <f>IF('01 Cover &amp; Control'!$C$19="Base",V100,IF('01 Cover &amp; Control'!$C$19="Upside",V101,V102))</f>
        <v/>
      </c>
      <c r="W103" s="361">
        <f>IF('01 Cover &amp; Control'!$C$19="Base",W100,IF('01 Cover &amp; Control'!$C$19="Upside",W101,W102))</f>
        <v/>
      </c>
      <c r="X103" s="347">
        <f>SUM(T103:W103)</f>
        <v/>
      </c>
      <c r="Y103" s="361">
        <f>IF('01 Cover &amp; Control'!$C$19="Base",Y100,IF('01 Cover &amp; Control'!$C$19="Upside",Y101,Y102))</f>
        <v/>
      </c>
      <c r="Z103" s="361">
        <f>IF('01 Cover &amp; Control'!$C$19="Base",Z100,IF('01 Cover &amp; Control'!$C$19="Upside",Z101,Z102))</f>
        <v/>
      </c>
      <c r="AA103" s="361">
        <f>IF('01 Cover &amp; Control'!$C$19="Base",AA100,IF('01 Cover &amp; Control'!$C$19="Upside",AA101,AA102))</f>
        <v/>
      </c>
      <c r="AB103" s="361">
        <f>IF('01 Cover &amp; Control'!$C$19="Base",AB100,IF('01 Cover &amp; Control'!$C$19="Upside",AB101,AB102))</f>
        <v/>
      </c>
      <c r="AC103" s="347">
        <f>SUM(Y103:AB103)</f>
        <v/>
      </c>
      <c r="AD103" s="361">
        <f>IF('01 Cover &amp; Control'!$C$19="Base",AD100,IF('01 Cover &amp; Control'!$C$19="Upside",AD101,AD102))</f>
        <v/>
      </c>
      <c r="AE103" s="361">
        <f>IF('01 Cover &amp; Control'!$C$19="Base",AE100,IF('01 Cover &amp; Control'!$C$19="Upside",AE101,AE102))</f>
        <v/>
      </c>
      <c r="AF103" s="361">
        <f>IF('01 Cover &amp; Control'!$C$19="Base",AF100,IF('01 Cover &amp; Control'!$C$19="Upside",AF101,AF102))</f>
        <v/>
      </c>
      <c r="AG103" s="361">
        <f>IF('01 Cover &amp; Control'!$C$19="Base",AG100,IF('01 Cover &amp; Control'!$C$19="Upside",AG101,AG102))</f>
        <v/>
      </c>
      <c r="AH103" s="347">
        <f>SUM(AD103:AG103)</f>
        <v/>
      </c>
      <c r="AI103" s="361">
        <f>IF('01 Cover &amp; Control'!$C$19="Base",AI100,IF('01 Cover &amp; Control'!$C$19="Upside",AI101,AI102))</f>
        <v/>
      </c>
      <c r="AJ103" s="361">
        <f>IF('01 Cover &amp; Control'!$C$19="Base",AJ100,IF('01 Cover &amp; Control'!$C$19="Upside",AJ101,AJ102))</f>
        <v/>
      </c>
      <c r="AK103" s="361">
        <f>IF('01 Cover &amp; Control'!$C$19="Base",AK100,IF('01 Cover &amp; Control'!$C$19="Upside",AK101,AK102))</f>
        <v/>
      </c>
      <c r="AL103" s="361">
        <f>IF('01 Cover &amp; Control'!$C$19="Base",AL100,IF('01 Cover &amp; Control'!$C$19="Upside",AL101,AL102))</f>
        <v/>
      </c>
      <c r="AM103" s="347">
        <f>SUM(AI103:AL103)</f>
        <v/>
      </c>
      <c r="AN103" s="361">
        <f>IF('01 Cover &amp; Control'!$C$19="Base",AN100,IF('01 Cover &amp; Control'!$C$19="Upside",AN101,AN102))</f>
        <v/>
      </c>
      <c r="AO103" s="361">
        <f>IF('01 Cover &amp; Control'!$C$19="Base",AO100,IF('01 Cover &amp; Control'!$C$19="Upside",AO101,AO102))</f>
        <v/>
      </c>
      <c r="AP103" s="361">
        <f>IF('01 Cover &amp; Control'!$C$19="Base",AP100,IF('01 Cover &amp; Control'!$C$19="Upside",AP101,AP102))</f>
        <v/>
      </c>
      <c r="AQ103" s="361">
        <f>IF('01 Cover &amp; Control'!$C$19="Base",AQ100,IF('01 Cover &amp; Control'!$C$19="Upside",AQ101,AQ102))</f>
        <v/>
      </c>
      <c r="AR103" s="347">
        <f>SUM(AN103:AQ103)</f>
        <v/>
      </c>
    </row>
    <row r="104" ht="13.5" customHeight="1" s="290">
      <c r="A104" s="339" t="n"/>
      <c r="B104" s="340" t="inlineStr">
        <is>
          <t xml:space="preserve">  Attrition Rate — Junior  — Base</t>
        </is>
      </c>
      <c r="C104" s="341" t="inlineStr">
        <is>
          <t>%/qtr</t>
        </is>
      </c>
      <c r="D104" s="342" t="inlineStr">
        <is>
          <t>Quarterly attrition rate applied to Beginning HC. Upside = lower attrition (strong market). Downside = higher (competitors poach).</t>
        </is>
      </c>
      <c r="E104" s="343" t="n">
        <v>0.06</v>
      </c>
      <c r="F104" s="343" t="n">
        <v>0.06</v>
      </c>
      <c r="G104" s="343" t="n">
        <v>0.06</v>
      </c>
      <c r="H104" s="343" t="n">
        <v>0.06</v>
      </c>
      <c r="I104" s="344">
        <f>SUM(E104:H104)</f>
        <v/>
      </c>
      <c r="J104" s="343" t="n">
        <v>0.06</v>
      </c>
      <c r="K104" s="343" t="n">
        <v>0.06</v>
      </c>
      <c r="L104" s="343" t="n">
        <v>0.06</v>
      </c>
      <c r="M104" s="343" t="n">
        <v>0.06</v>
      </c>
      <c r="N104" s="344">
        <f>SUM(J104:M104)</f>
        <v/>
      </c>
      <c r="O104" s="343" t="n">
        <v>0.06</v>
      </c>
      <c r="P104" s="343" t="n">
        <v>0.06</v>
      </c>
      <c r="Q104" s="343" t="n">
        <v>0.06</v>
      </c>
      <c r="R104" s="343" t="n">
        <v>0.06</v>
      </c>
      <c r="S104" s="344">
        <f>SUM(O104:R104)</f>
        <v/>
      </c>
      <c r="T104" s="343" t="n">
        <v>0.06</v>
      </c>
      <c r="U104" s="343" t="n">
        <v>0.06</v>
      </c>
      <c r="V104" s="343" t="n">
        <v>0.06</v>
      </c>
      <c r="W104" s="343" t="n">
        <v>0.06</v>
      </c>
      <c r="X104" s="344">
        <f>SUM(T104:W104)</f>
        <v/>
      </c>
      <c r="Y104" s="343" t="n">
        <v>0.06</v>
      </c>
      <c r="Z104" s="343" t="n">
        <v>0.06</v>
      </c>
      <c r="AA104" s="343" t="n">
        <v>0.06</v>
      </c>
      <c r="AB104" s="343" t="n">
        <v>0.06</v>
      </c>
      <c r="AC104" s="344">
        <f>SUM(Y104:AB104)</f>
        <v/>
      </c>
      <c r="AD104" s="343" t="n">
        <v>0.06</v>
      </c>
      <c r="AE104" s="343" t="n">
        <v>0.06</v>
      </c>
      <c r="AF104" s="343" t="n">
        <v>0.06</v>
      </c>
      <c r="AG104" s="343" t="n">
        <v>0.06</v>
      </c>
      <c r="AH104" s="344">
        <f>SUM(AD104:AG104)</f>
        <v/>
      </c>
      <c r="AI104" s="343" t="n">
        <v>0.06</v>
      </c>
      <c r="AJ104" s="343" t="n">
        <v>0.06</v>
      </c>
      <c r="AK104" s="343" t="n">
        <v>0.06</v>
      </c>
      <c r="AL104" s="343" t="n">
        <v>0.06</v>
      </c>
      <c r="AM104" s="344">
        <f>SUM(AI104:AL104)</f>
        <v/>
      </c>
      <c r="AN104" s="343" t="n">
        <v>0.06</v>
      </c>
      <c r="AO104" s="343" t="n">
        <v>0.06</v>
      </c>
      <c r="AP104" s="343" t="n">
        <v>0.06</v>
      </c>
      <c r="AQ104" s="343" t="n">
        <v>0.06</v>
      </c>
      <c r="AR104" s="344">
        <f>SUM(AN104:AQ104)</f>
        <v/>
      </c>
    </row>
    <row r="105" ht="13.5" customHeight="1" s="290">
      <c r="A105" s="339" t="n"/>
      <c r="B105" s="340" t="inlineStr">
        <is>
          <t xml:space="preserve">  Attrition Rate — Junior  — Upside</t>
        </is>
      </c>
      <c r="E105" s="343" t="n">
        <v>0.052</v>
      </c>
      <c r="F105" s="343" t="n">
        <v>0.052</v>
      </c>
      <c r="G105" s="343" t="n">
        <v>0.052</v>
      </c>
      <c r="H105" s="343" t="n">
        <v>0.052</v>
      </c>
      <c r="I105" s="344">
        <f>SUM(E105:H105)</f>
        <v/>
      </c>
      <c r="J105" s="343" t="n">
        <v>0.052</v>
      </c>
      <c r="K105" s="343" t="n">
        <v>0.052</v>
      </c>
      <c r="L105" s="343" t="n">
        <v>0.052</v>
      </c>
      <c r="M105" s="343" t="n">
        <v>0.052</v>
      </c>
      <c r="N105" s="344">
        <f>SUM(J105:M105)</f>
        <v/>
      </c>
      <c r="O105" s="343" t="n">
        <v>0.052</v>
      </c>
      <c r="P105" s="343" t="n">
        <v>0.052</v>
      </c>
      <c r="Q105" s="343" t="n">
        <v>0.052</v>
      </c>
      <c r="R105" s="343" t="n">
        <v>0.052</v>
      </c>
      <c r="S105" s="344">
        <f>SUM(O105:R105)</f>
        <v/>
      </c>
      <c r="T105" s="343" t="n">
        <v>0.052</v>
      </c>
      <c r="U105" s="343" t="n">
        <v>0.052</v>
      </c>
      <c r="V105" s="343" t="n">
        <v>0.052</v>
      </c>
      <c r="W105" s="343" t="n">
        <v>0.052</v>
      </c>
      <c r="X105" s="344">
        <f>SUM(T105:W105)</f>
        <v/>
      </c>
      <c r="Y105" s="343" t="n">
        <v>0.052</v>
      </c>
      <c r="Z105" s="343" t="n">
        <v>0.052</v>
      </c>
      <c r="AA105" s="343" t="n">
        <v>0.052</v>
      </c>
      <c r="AB105" s="343" t="n">
        <v>0.052</v>
      </c>
      <c r="AC105" s="344">
        <f>SUM(Y105:AB105)</f>
        <v/>
      </c>
      <c r="AD105" s="343" t="n">
        <v>0.052</v>
      </c>
      <c r="AE105" s="343" t="n">
        <v>0.052</v>
      </c>
      <c r="AF105" s="343" t="n">
        <v>0.052</v>
      </c>
      <c r="AG105" s="343" t="n">
        <v>0.052</v>
      </c>
      <c r="AH105" s="344">
        <f>SUM(AD105:AG105)</f>
        <v/>
      </c>
      <c r="AI105" s="343" t="n">
        <v>0.052</v>
      </c>
      <c r="AJ105" s="343" t="n">
        <v>0.052</v>
      </c>
      <c r="AK105" s="343" t="n">
        <v>0.052</v>
      </c>
      <c r="AL105" s="343" t="n">
        <v>0.052</v>
      </c>
      <c r="AM105" s="344">
        <f>SUM(AI105:AL105)</f>
        <v/>
      </c>
      <c r="AN105" s="343" t="n">
        <v>0.052</v>
      </c>
      <c r="AO105" s="343" t="n">
        <v>0.052</v>
      </c>
      <c r="AP105" s="343" t="n">
        <v>0.052</v>
      </c>
      <c r="AQ105" s="343" t="n">
        <v>0.052</v>
      </c>
      <c r="AR105" s="344">
        <f>SUM(AN105:AQ105)</f>
        <v/>
      </c>
    </row>
    <row r="106" ht="13.5" customHeight="1" s="290">
      <c r="A106" s="339" t="n"/>
      <c r="B106" s="340" t="inlineStr">
        <is>
          <t xml:space="preserve">  Attrition Rate — Junior  — Downside</t>
        </is>
      </c>
      <c r="E106" s="343" t="n">
        <v>0.08</v>
      </c>
      <c r="F106" s="343" t="n">
        <v>0.08</v>
      </c>
      <c r="G106" s="343" t="n">
        <v>0.08</v>
      </c>
      <c r="H106" s="343" t="n">
        <v>0.08</v>
      </c>
      <c r="I106" s="344">
        <f>SUM(E106:H106)</f>
        <v/>
      </c>
      <c r="J106" s="343" t="n">
        <v>0.08</v>
      </c>
      <c r="K106" s="343" t="n">
        <v>0.08</v>
      </c>
      <c r="L106" s="343" t="n">
        <v>0.08</v>
      </c>
      <c r="M106" s="343" t="n">
        <v>0.08</v>
      </c>
      <c r="N106" s="344">
        <f>SUM(J106:M106)</f>
        <v/>
      </c>
      <c r="O106" s="343" t="n">
        <v>0.08</v>
      </c>
      <c r="P106" s="343" t="n">
        <v>0.08</v>
      </c>
      <c r="Q106" s="343" t="n">
        <v>0.08</v>
      </c>
      <c r="R106" s="343" t="n">
        <v>0.08</v>
      </c>
      <c r="S106" s="344">
        <f>SUM(O106:R106)</f>
        <v/>
      </c>
      <c r="T106" s="343" t="n">
        <v>0.08</v>
      </c>
      <c r="U106" s="343" t="n">
        <v>0.08</v>
      </c>
      <c r="V106" s="343" t="n">
        <v>0.08</v>
      </c>
      <c r="W106" s="343" t="n">
        <v>0.08</v>
      </c>
      <c r="X106" s="344">
        <f>SUM(T106:W106)</f>
        <v/>
      </c>
      <c r="Y106" s="343" t="n">
        <v>0.08</v>
      </c>
      <c r="Z106" s="343" t="n">
        <v>0.08</v>
      </c>
      <c r="AA106" s="343" t="n">
        <v>0.08</v>
      </c>
      <c r="AB106" s="343" t="n">
        <v>0.08</v>
      </c>
      <c r="AC106" s="344">
        <f>SUM(Y106:AB106)</f>
        <v/>
      </c>
      <c r="AD106" s="343" t="n">
        <v>0.08</v>
      </c>
      <c r="AE106" s="343" t="n">
        <v>0.08</v>
      </c>
      <c r="AF106" s="343" t="n">
        <v>0.08</v>
      </c>
      <c r="AG106" s="343" t="n">
        <v>0.08</v>
      </c>
      <c r="AH106" s="344">
        <f>SUM(AD106:AG106)</f>
        <v/>
      </c>
      <c r="AI106" s="343" t="n">
        <v>0.08</v>
      </c>
      <c r="AJ106" s="343" t="n">
        <v>0.08</v>
      </c>
      <c r="AK106" s="343" t="n">
        <v>0.08</v>
      </c>
      <c r="AL106" s="343" t="n">
        <v>0.08</v>
      </c>
      <c r="AM106" s="344">
        <f>SUM(AI106:AL106)</f>
        <v/>
      </c>
      <c r="AN106" s="343" t="n">
        <v>0.08</v>
      </c>
      <c r="AO106" s="343" t="n">
        <v>0.08</v>
      </c>
      <c r="AP106" s="343" t="n">
        <v>0.08</v>
      </c>
      <c r="AQ106" s="343" t="n">
        <v>0.08</v>
      </c>
      <c r="AR106" s="344">
        <f>SUM(AN106:AQ106)</f>
        <v/>
      </c>
    </row>
    <row r="107" ht="13.5" customHeight="1" s="290">
      <c r="A107" s="345" t="n"/>
      <c r="B107" s="346" t="inlineStr">
        <is>
          <t xml:space="preserve">  Attrition Rate — Junior  — ★ ACTIVE</t>
        </is>
      </c>
      <c r="E107" s="361">
        <f>IF('01 Cover &amp; Control'!$C$19="Base",E104,IF('01 Cover &amp; Control'!$C$19="Upside",E105,E106))</f>
        <v/>
      </c>
      <c r="F107" s="361">
        <f>IF('01 Cover &amp; Control'!$C$19="Base",F104,IF('01 Cover &amp; Control'!$C$19="Upside",F105,F106))</f>
        <v/>
      </c>
      <c r="G107" s="361">
        <f>IF('01 Cover &amp; Control'!$C$19="Base",G104,IF('01 Cover &amp; Control'!$C$19="Upside",G105,G106))</f>
        <v/>
      </c>
      <c r="H107" s="361">
        <f>IF('01 Cover &amp; Control'!$C$19="Base",H104,IF('01 Cover &amp; Control'!$C$19="Upside",H105,H106))</f>
        <v/>
      </c>
      <c r="I107" s="347">
        <f>AVERAGE(E107:H107)</f>
        <v/>
      </c>
      <c r="J107" s="361">
        <f>IF('01 Cover &amp; Control'!$C$19="Base",J104,IF('01 Cover &amp; Control'!$C$19="Upside",J105,J106))</f>
        <v/>
      </c>
      <c r="K107" s="361">
        <f>IF('01 Cover &amp; Control'!$C$19="Base",K104,IF('01 Cover &amp; Control'!$C$19="Upside",K105,K106))</f>
        <v/>
      </c>
      <c r="L107" s="361">
        <f>IF('01 Cover &amp; Control'!$C$19="Base",L104,IF('01 Cover &amp; Control'!$C$19="Upside",L105,L106))</f>
        <v/>
      </c>
      <c r="M107" s="361">
        <f>IF('01 Cover &amp; Control'!$C$19="Base",M104,IF('01 Cover &amp; Control'!$C$19="Upside",M105,M106))</f>
        <v/>
      </c>
      <c r="N107" s="347">
        <f>AVERAGE(J107:M107)</f>
        <v/>
      </c>
      <c r="O107" s="361">
        <f>IF('01 Cover &amp; Control'!$C$19="Base",O104,IF('01 Cover &amp; Control'!$C$19="Upside",O105,O106))</f>
        <v/>
      </c>
      <c r="P107" s="361">
        <f>IF('01 Cover &amp; Control'!$C$19="Base",P104,IF('01 Cover &amp; Control'!$C$19="Upside",P105,P106))</f>
        <v/>
      </c>
      <c r="Q107" s="361">
        <f>IF('01 Cover &amp; Control'!$C$19="Base",Q104,IF('01 Cover &amp; Control'!$C$19="Upside",Q105,Q106))</f>
        <v/>
      </c>
      <c r="R107" s="361">
        <f>IF('01 Cover &amp; Control'!$C$19="Base",R104,IF('01 Cover &amp; Control'!$C$19="Upside",R105,R106))</f>
        <v/>
      </c>
      <c r="S107" s="347">
        <f>AVERAGE(O107:R107)</f>
        <v/>
      </c>
      <c r="T107" s="361">
        <f>IF('01 Cover &amp; Control'!$C$19="Base",T104,IF('01 Cover &amp; Control'!$C$19="Upside",T105,T106))</f>
        <v/>
      </c>
      <c r="U107" s="361">
        <f>IF('01 Cover &amp; Control'!$C$19="Base",U104,IF('01 Cover &amp; Control'!$C$19="Upside",U105,U106))</f>
        <v/>
      </c>
      <c r="V107" s="361">
        <f>IF('01 Cover &amp; Control'!$C$19="Base",V104,IF('01 Cover &amp; Control'!$C$19="Upside",V105,V106))</f>
        <v/>
      </c>
      <c r="W107" s="361">
        <f>IF('01 Cover &amp; Control'!$C$19="Base",W104,IF('01 Cover &amp; Control'!$C$19="Upside",W105,W106))</f>
        <v/>
      </c>
      <c r="X107" s="347">
        <f>AVERAGE(T107:W107)</f>
        <v/>
      </c>
      <c r="Y107" s="361">
        <f>IF('01 Cover &amp; Control'!$C$19="Base",Y104,IF('01 Cover &amp; Control'!$C$19="Upside",Y105,Y106))</f>
        <v/>
      </c>
      <c r="Z107" s="361">
        <f>IF('01 Cover &amp; Control'!$C$19="Base",Z104,IF('01 Cover &amp; Control'!$C$19="Upside",Z105,Z106))</f>
        <v/>
      </c>
      <c r="AA107" s="361">
        <f>IF('01 Cover &amp; Control'!$C$19="Base",AA104,IF('01 Cover &amp; Control'!$C$19="Upside",AA105,AA106))</f>
        <v/>
      </c>
      <c r="AB107" s="361">
        <f>IF('01 Cover &amp; Control'!$C$19="Base",AB104,IF('01 Cover &amp; Control'!$C$19="Upside",AB105,AB106))</f>
        <v/>
      </c>
      <c r="AC107" s="347">
        <f>AVERAGE(Y107:AB107)</f>
        <v/>
      </c>
      <c r="AD107" s="361">
        <f>IF('01 Cover &amp; Control'!$C$19="Base",AD104,IF('01 Cover &amp; Control'!$C$19="Upside",AD105,AD106))</f>
        <v/>
      </c>
      <c r="AE107" s="361">
        <f>IF('01 Cover &amp; Control'!$C$19="Base",AE104,IF('01 Cover &amp; Control'!$C$19="Upside",AE105,AE106))</f>
        <v/>
      </c>
      <c r="AF107" s="361">
        <f>IF('01 Cover &amp; Control'!$C$19="Base",AF104,IF('01 Cover &amp; Control'!$C$19="Upside",AF105,AF106))</f>
        <v/>
      </c>
      <c r="AG107" s="361">
        <f>IF('01 Cover &amp; Control'!$C$19="Base",AG104,IF('01 Cover &amp; Control'!$C$19="Upside",AG105,AG106))</f>
        <v/>
      </c>
      <c r="AH107" s="347">
        <f>AVERAGE(AD107:AG107)</f>
        <v/>
      </c>
      <c r="AI107" s="361">
        <f>IF('01 Cover &amp; Control'!$C$19="Base",AI104,IF('01 Cover &amp; Control'!$C$19="Upside",AI105,AI106))</f>
        <v/>
      </c>
      <c r="AJ107" s="361">
        <f>IF('01 Cover &amp; Control'!$C$19="Base",AJ104,IF('01 Cover &amp; Control'!$C$19="Upside",AJ105,AJ106))</f>
        <v/>
      </c>
      <c r="AK107" s="361">
        <f>IF('01 Cover &amp; Control'!$C$19="Base",AK104,IF('01 Cover &amp; Control'!$C$19="Upside",AK105,AK106))</f>
        <v/>
      </c>
      <c r="AL107" s="361">
        <f>IF('01 Cover &amp; Control'!$C$19="Base",AL104,IF('01 Cover &amp; Control'!$C$19="Upside",AL105,AL106))</f>
        <v/>
      </c>
      <c r="AM107" s="347">
        <f>AVERAGE(AI107:AL107)</f>
        <v/>
      </c>
      <c r="AN107" s="361">
        <f>IF('01 Cover &amp; Control'!$C$19="Base",AN104,IF('01 Cover &amp; Control'!$C$19="Upside",AN105,AN106))</f>
        <v/>
      </c>
      <c r="AO107" s="361">
        <f>IF('01 Cover &amp; Control'!$C$19="Base",AO104,IF('01 Cover &amp; Control'!$C$19="Upside",AO105,AO106))</f>
        <v/>
      </c>
      <c r="AP107" s="361">
        <f>IF('01 Cover &amp; Control'!$C$19="Base",AP104,IF('01 Cover &amp; Control'!$C$19="Upside",AP105,AP106))</f>
        <v/>
      </c>
      <c r="AQ107" s="361">
        <f>IF('01 Cover &amp; Control'!$C$19="Base",AQ104,IF('01 Cover &amp; Control'!$C$19="Upside",AQ105,AQ106))</f>
        <v/>
      </c>
      <c r="AR107" s="347">
        <f>AVERAGE(AN107:AQ107)</f>
        <v/>
      </c>
    </row>
    <row r="108" ht="3.75" customHeight="1" s="290"/>
    <row r="109" ht="3" customHeight="1" s="290">
      <c r="A109" s="293" t="n"/>
    </row>
    <row r="110" ht="3.75" customHeight="1" s="290"/>
    <row r="111" ht="15" customHeight="1" s="290">
      <c r="A111" s="307" t="inlineStr">
        <is>
          <t xml:space="preserve">    VAL &amp; ADVISORY — HEADCOUNT</t>
        </is>
      </c>
    </row>
    <row r="112" ht="3" customHeight="1" s="290"/>
    <row r="113" ht="13.5" customHeight="1" s="290">
      <c r="A113" s="339" t="n"/>
      <c r="B113" s="357" t="inlineStr">
        <is>
          <t xml:space="preserve">  Beginning HC — Senior Appraiser</t>
        </is>
      </c>
      <c r="C113" s="341" t="inlineStr">
        <is>
          <t>#</t>
        </is>
      </c>
      <c r="D113" s="342" t="inlineStr">
        <is>
          <t>Input: actuals for hist period; forecast = prior yr ending HC. Used directly in EPE formula.</t>
        </is>
      </c>
      <c r="E113" s="343" t="n">
        <v>5</v>
      </c>
      <c r="F113" s="343" t="n"/>
      <c r="G113" s="343" t="n"/>
      <c r="H113" s="343" t="n"/>
      <c r="I113" s="344">
        <f>SUM(E113:H113)</f>
        <v/>
      </c>
      <c r="J113" s="343" t="n"/>
      <c r="K113" s="343" t="n"/>
      <c r="L113" s="343" t="n"/>
      <c r="M113" s="343" t="n"/>
      <c r="N113" s="344">
        <f>SUM(J113:M113)</f>
        <v/>
      </c>
      <c r="O113" s="343" t="n"/>
      <c r="P113" s="343" t="n"/>
      <c r="Q113" s="343" t="n"/>
      <c r="R113" s="343" t="n"/>
      <c r="S113" s="344">
        <f>SUM(O113:R113)</f>
        <v/>
      </c>
      <c r="T113" s="343" t="n"/>
      <c r="U113" s="343" t="n"/>
      <c r="V113" s="343" t="n"/>
      <c r="W113" s="343" t="n"/>
      <c r="X113" s="344">
        <f>SUM(T113:W113)</f>
        <v/>
      </c>
      <c r="Y113" s="343" t="n"/>
      <c r="Z113" s="343" t="n"/>
      <c r="AA113" s="343" t="n"/>
      <c r="AB113" s="343" t="n"/>
      <c r="AC113" s="344">
        <f>SUM(Y113:AB113)</f>
        <v/>
      </c>
      <c r="AD113" s="343" t="n"/>
      <c r="AE113" s="343" t="n"/>
      <c r="AF113" s="343" t="n"/>
      <c r="AG113" s="343" t="n"/>
      <c r="AH113" s="344">
        <f>SUM(AD113:AG113)</f>
        <v/>
      </c>
      <c r="AI113" s="343" t="n"/>
      <c r="AJ113" s="343" t="n"/>
      <c r="AK113" s="343" t="n"/>
      <c r="AL113" s="343" t="n"/>
      <c r="AM113" s="344">
        <f>SUM(AI113:AL113)</f>
        <v/>
      </c>
      <c r="AN113" s="343" t="n"/>
      <c r="AO113" s="343" t="n"/>
      <c r="AP113" s="343" t="n"/>
      <c r="AQ113" s="343" t="n"/>
      <c r="AR113" s="344">
        <f>SUM(AN113:AQ113)</f>
        <v/>
      </c>
    </row>
    <row r="114" ht="13.5" customHeight="1" s="290">
      <c r="A114" s="339" t="n"/>
      <c r="B114" s="340" t="inlineStr">
        <is>
          <t xml:space="preserve">  Gross Hires / Qtr — Senior Appraiser  — Base</t>
        </is>
      </c>
      <c r="C114" s="341" t="inlineStr">
        <is>
          <t>#/qtr</t>
        </is>
      </c>
      <c r="D114" s="342" t="inlineStr">
        <is>
          <t>Scenario-keyed. Upside = faster hiring. Downside = slower/failed hiring.</t>
        </is>
      </c>
      <c r="E114" s="343" t="n">
        <v>0.3</v>
      </c>
      <c r="F114" s="343" t="n">
        <v>0.3</v>
      </c>
      <c r="G114" s="343" t="n">
        <v>0.3</v>
      </c>
      <c r="H114" s="343" t="n">
        <v>0.3</v>
      </c>
      <c r="I114" s="344">
        <f>SUM(E114:H114)</f>
        <v/>
      </c>
      <c r="J114" s="343" t="n">
        <v>0.3</v>
      </c>
      <c r="K114" s="343" t="n">
        <v>0.3</v>
      </c>
      <c r="L114" s="343" t="n">
        <v>0.3</v>
      </c>
      <c r="M114" s="343" t="n">
        <v>0.3</v>
      </c>
      <c r="N114" s="344">
        <f>SUM(J114:M114)</f>
        <v/>
      </c>
      <c r="O114" s="343" t="n">
        <v>0.3</v>
      </c>
      <c r="P114" s="343" t="n">
        <v>0.3</v>
      </c>
      <c r="Q114" s="343" t="n">
        <v>0.3</v>
      </c>
      <c r="R114" s="343" t="n">
        <v>0.3</v>
      </c>
      <c r="S114" s="344">
        <f>SUM(O114:R114)</f>
        <v/>
      </c>
      <c r="T114" s="343" t="n">
        <v>0.3</v>
      </c>
      <c r="U114" s="343" t="n">
        <v>0.3</v>
      </c>
      <c r="V114" s="343" t="n">
        <v>0.3</v>
      </c>
      <c r="W114" s="343" t="n">
        <v>0.3</v>
      </c>
      <c r="X114" s="344">
        <f>SUM(T114:W114)</f>
        <v/>
      </c>
      <c r="Y114" s="343" t="n">
        <v>0.3</v>
      </c>
      <c r="Z114" s="343" t="n">
        <v>0.3</v>
      </c>
      <c r="AA114" s="343" t="n">
        <v>0.3</v>
      </c>
      <c r="AB114" s="343" t="n">
        <v>0.3</v>
      </c>
      <c r="AC114" s="344">
        <f>SUM(Y114:AB114)</f>
        <v/>
      </c>
      <c r="AD114" s="343" t="n">
        <v>0.3</v>
      </c>
      <c r="AE114" s="343" t="n">
        <v>0.3</v>
      </c>
      <c r="AF114" s="343" t="n">
        <v>0.3</v>
      </c>
      <c r="AG114" s="343" t="n">
        <v>0.3</v>
      </c>
      <c r="AH114" s="344">
        <f>SUM(AD114:AG114)</f>
        <v/>
      </c>
      <c r="AI114" s="343" t="n">
        <v>0.3</v>
      </c>
      <c r="AJ114" s="343" t="n">
        <v>0.3</v>
      </c>
      <c r="AK114" s="343" t="n">
        <v>0.3</v>
      </c>
      <c r="AL114" s="343" t="n">
        <v>0.3</v>
      </c>
      <c r="AM114" s="344">
        <f>SUM(AI114:AL114)</f>
        <v/>
      </c>
      <c r="AN114" s="343" t="n">
        <v>0.3</v>
      </c>
      <c r="AO114" s="343" t="n">
        <v>0.3</v>
      </c>
      <c r="AP114" s="343" t="n">
        <v>0.3</v>
      </c>
      <c r="AQ114" s="343" t="n">
        <v>0.3</v>
      </c>
      <c r="AR114" s="344">
        <f>SUM(AN114:AQ114)</f>
        <v/>
      </c>
    </row>
    <row r="115" ht="13.5" customHeight="1" s="290">
      <c r="A115" s="339" t="n"/>
      <c r="B115" s="340" t="inlineStr">
        <is>
          <t xml:space="preserve">  Gross Hires / Qtr — Senior Appraiser  — Upside</t>
        </is>
      </c>
      <c r="E115" s="343" t="n">
        <v>0.33</v>
      </c>
      <c r="F115" s="343" t="n">
        <v>0.33</v>
      </c>
      <c r="G115" s="343" t="n">
        <v>0.33</v>
      </c>
      <c r="H115" s="343" t="n">
        <v>0.33</v>
      </c>
      <c r="I115" s="344">
        <f>SUM(E115:H115)</f>
        <v/>
      </c>
      <c r="J115" s="343" t="n">
        <v>0.33</v>
      </c>
      <c r="K115" s="343" t="n">
        <v>0.33</v>
      </c>
      <c r="L115" s="343" t="n">
        <v>0.33</v>
      </c>
      <c r="M115" s="343" t="n">
        <v>0.33</v>
      </c>
      <c r="N115" s="344">
        <f>SUM(J115:M115)</f>
        <v/>
      </c>
      <c r="O115" s="343" t="n">
        <v>0.33</v>
      </c>
      <c r="P115" s="343" t="n">
        <v>0.33</v>
      </c>
      <c r="Q115" s="343" t="n">
        <v>0.33</v>
      </c>
      <c r="R115" s="343" t="n">
        <v>0.33</v>
      </c>
      <c r="S115" s="344">
        <f>SUM(O115:R115)</f>
        <v/>
      </c>
      <c r="T115" s="343" t="n">
        <v>0.33</v>
      </c>
      <c r="U115" s="343" t="n">
        <v>0.33</v>
      </c>
      <c r="V115" s="343" t="n">
        <v>0.33</v>
      </c>
      <c r="W115" s="343" t="n">
        <v>0.33</v>
      </c>
      <c r="X115" s="344">
        <f>SUM(T115:W115)</f>
        <v/>
      </c>
      <c r="Y115" s="343" t="n">
        <v>0.33</v>
      </c>
      <c r="Z115" s="343" t="n">
        <v>0.33</v>
      </c>
      <c r="AA115" s="343" t="n">
        <v>0.33</v>
      </c>
      <c r="AB115" s="343" t="n">
        <v>0.33</v>
      </c>
      <c r="AC115" s="344">
        <f>SUM(Y115:AB115)</f>
        <v/>
      </c>
      <c r="AD115" s="343" t="n">
        <v>0.33</v>
      </c>
      <c r="AE115" s="343" t="n">
        <v>0.33</v>
      </c>
      <c r="AF115" s="343" t="n">
        <v>0.33</v>
      </c>
      <c r="AG115" s="343" t="n">
        <v>0.33</v>
      </c>
      <c r="AH115" s="344">
        <f>SUM(AD115:AG115)</f>
        <v/>
      </c>
      <c r="AI115" s="343" t="n">
        <v>0.33</v>
      </c>
      <c r="AJ115" s="343" t="n">
        <v>0.33</v>
      </c>
      <c r="AK115" s="343" t="n">
        <v>0.33</v>
      </c>
      <c r="AL115" s="343" t="n">
        <v>0.33</v>
      </c>
      <c r="AM115" s="344">
        <f>SUM(AI115:AL115)</f>
        <v/>
      </c>
      <c r="AN115" s="343" t="n">
        <v>0.33</v>
      </c>
      <c r="AO115" s="343" t="n">
        <v>0.33</v>
      </c>
      <c r="AP115" s="343" t="n">
        <v>0.33</v>
      </c>
      <c r="AQ115" s="343" t="n">
        <v>0.33</v>
      </c>
      <c r="AR115" s="344">
        <f>SUM(AN115:AQ115)</f>
        <v/>
      </c>
    </row>
    <row r="116" ht="13.5" customHeight="1" s="290">
      <c r="A116" s="339" t="n"/>
      <c r="B116" s="340" t="inlineStr">
        <is>
          <t xml:space="preserve">  Gross Hires / Qtr — Senior Appraiser  — Downside</t>
        </is>
      </c>
      <c r="E116" s="343" t="n">
        <v>0.26</v>
      </c>
      <c r="F116" s="343" t="n">
        <v>0.26</v>
      </c>
      <c r="G116" s="343" t="n">
        <v>0.26</v>
      </c>
      <c r="H116" s="343" t="n">
        <v>0.26</v>
      </c>
      <c r="I116" s="344">
        <f>SUM(E116:H116)</f>
        <v/>
      </c>
      <c r="J116" s="343" t="n">
        <v>0.26</v>
      </c>
      <c r="K116" s="343" t="n">
        <v>0.26</v>
      </c>
      <c r="L116" s="343" t="n">
        <v>0.26</v>
      </c>
      <c r="M116" s="343" t="n">
        <v>0.26</v>
      </c>
      <c r="N116" s="344">
        <f>SUM(J116:M116)</f>
        <v/>
      </c>
      <c r="O116" s="343" t="n">
        <v>0.26</v>
      </c>
      <c r="P116" s="343" t="n">
        <v>0.26</v>
      </c>
      <c r="Q116" s="343" t="n">
        <v>0.26</v>
      </c>
      <c r="R116" s="343" t="n">
        <v>0.26</v>
      </c>
      <c r="S116" s="344">
        <f>SUM(O116:R116)</f>
        <v/>
      </c>
      <c r="T116" s="343" t="n">
        <v>0.26</v>
      </c>
      <c r="U116" s="343" t="n">
        <v>0.26</v>
      </c>
      <c r="V116" s="343" t="n">
        <v>0.26</v>
      </c>
      <c r="W116" s="343" t="n">
        <v>0.26</v>
      </c>
      <c r="X116" s="344">
        <f>SUM(T116:W116)</f>
        <v/>
      </c>
      <c r="Y116" s="343" t="n">
        <v>0.26</v>
      </c>
      <c r="Z116" s="343" t="n">
        <v>0.26</v>
      </c>
      <c r="AA116" s="343" t="n">
        <v>0.26</v>
      </c>
      <c r="AB116" s="343" t="n">
        <v>0.26</v>
      </c>
      <c r="AC116" s="344">
        <f>SUM(Y116:AB116)</f>
        <v/>
      </c>
      <c r="AD116" s="343" t="n">
        <v>0.26</v>
      </c>
      <c r="AE116" s="343" t="n">
        <v>0.26</v>
      </c>
      <c r="AF116" s="343" t="n">
        <v>0.26</v>
      </c>
      <c r="AG116" s="343" t="n">
        <v>0.26</v>
      </c>
      <c r="AH116" s="344">
        <f>SUM(AD116:AG116)</f>
        <v/>
      </c>
      <c r="AI116" s="343" t="n">
        <v>0.26</v>
      </c>
      <c r="AJ116" s="343" t="n">
        <v>0.26</v>
      </c>
      <c r="AK116" s="343" t="n">
        <v>0.26</v>
      </c>
      <c r="AL116" s="343" t="n">
        <v>0.26</v>
      </c>
      <c r="AM116" s="344">
        <f>SUM(AI116:AL116)</f>
        <v/>
      </c>
      <c r="AN116" s="343" t="n">
        <v>0.26</v>
      </c>
      <c r="AO116" s="343" t="n">
        <v>0.26</v>
      </c>
      <c r="AP116" s="343" t="n">
        <v>0.26</v>
      </c>
      <c r="AQ116" s="343" t="n">
        <v>0.26</v>
      </c>
      <c r="AR116" s="344">
        <f>SUM(AN116:AQ116)</f>
        <v/>
      </c>
    </row>
    <row r="117" ht="13.5" customHeight="1" s="290">
      <c r="A117" s="345" t="n"/>
      <c r="B117" s="346" t="inlineStr">
        <is>
          <t xml:space="preserve">  Gross Hires / Qtr — Senior Appraiser  — ★ ACTIVE</t>
        </is>
      </c>
      <c r="E117" s="361">
        <f>IF('01 Cover &amp; Control'!$C$19="Base",E114,IF('01 Cover &amp; Control'!$C$19="Upside",E115,E116))</f>
        <v/>
      </c>
      <c r="F117" s="361">
        <f>IF('01 Cover &amp; Control'!$C$19="Base",F114,IF('01 Cover &amp; Control'!$C$19="Upside",F115,F116))</f>
        <v/>
      </c>
      <c r="G117" s="361">
        <f>IF('01 Cover &amp; Control'!$C$19="Base",G114,IF('01 Cover &amp; Control'!$C$19="Upside",G115,G116))</f>
        <v/>
      </c>
      <c r="H117" s="361">
        <f>IF('01 Cover &amp; Control'!$C$19="Base",H114,IF('01 Cover &amp; Control'!$C$19="Upside",H115,H116))</f>
        <v/>
      </c>
      <c r="I117" s="347">
        <f>SUM(E117:H117)</f>
        <v/>
      </c>
      <c r="J117" s="361">
        <f>IF('01 Cover &amp; Control'!$C$19="Base",J114,IF('01 Cover &amp; Control'!$C$19="Upside",J115,J116))</f>
        <v/>
      </c>
      <c r="K117" s="361">
        <f>IF('01 Cover &amp; Control'!$C$19="Base",K114,IF('01 Cover &amp; Control'!$C$19="Upside",K115,K116))</f>
        <v/>
      </c>
      <c r="L117" s="361">
        <f>IF('01 Cover &amp; Control'!$C$19="Base",L114,IF('01 Cover &amp; Control'!$C$19="Upside",L115,L116))</f>
        <v/>
      </c>
      <c r="M117" s="361">
        <f>IF('01 Cover &amp; Control'!$C$19="Base",M114,IF('01 Cover &amp; Control'!$C$19="Upside",M115,M116))</f>
        <v/>
      </c>
      <c r="N117" s="347">
        <f>SUM(J117:M117)</f>
        <v/>
      </c>
      <c r="O117" s="361">
        <f>IF('01 Cover &amp; Control'!$C$19="Base",O114,IF('01 Cover &amp; Control'!$C$19="Upside",O115,O116))</f>
        <v/>
      </c>
      <c r="P117" s="361">
        <f>IF('01 Cover &amp; Control'!$C$19="Base",P114,IF('01 Cover &amp; Control'!$C$19="Upside",P115,P116))</f>
        <v/>
      </c>
      <c r="Q117" s="361">
        <f>IF('01 Cover &amp; Control'!$C$19="Base",Q114,IF('01 Cover &amp; Control'!$C$19="Upside",Q115,Q116))</f>
        <v/>
      </c>
      <c r="R117" s="361">
        <f>IF('01 Cover &amp; Control'!$C$19="Base",R114,IF('01 Cover &amp; Control'!$C$19="Upside",R115,R116))</f>
        <v/>
      </c>
      <c r="S117" s="347">
        <f>SUM(O117:R117)</f>
        <v/>
      </c>
      <c r="T117" s="361">
        <f>IF('01 Cover &amp; Control'!$C$19="Base",T114,IF('01 Cover &amp; Control'!$C$19="Upside",T115,T116))</f>
        <v/>
      </c>
      <c r="U117" s="361">
        <f>IF('01 Cover &amp; Control'!$C$19="Base",U114,IF('01 Cover &amp; Control'!$C$19="Upside",U115,U116))</f>
        <v/>
      </c>
      <c r="V117" s="361">
        <f>IF('01 Cover &amp; Control'!$C$19="Base",V114,IF('01 Cover &amp; Control'!$C$19="Upside",V115,V116))</f>
        <v/>
      </c>
      <c r="W117" s="361">
        <f>IF('01 Cover &amp; Control'!$C$19="Base",W114,IF('01 Cover &amp; Control'!$C$19="Upside",W115,W116))</f>
        <v/>
      </c>
      <c r="X117" s="347">
        <f>SUM(T117:W117)</f>
        <v/>
      </c>
      <c r="Y117" s="361">
        <f>IF('01 Cover &amp; Control'!$C$19="Base",Y114,IF('01 Cover &amp; Control'!$C$19="Upside",Y115,Y116))</f>
        <v/>
      </c>
      <c r="Z117" s="361">
        <f>IF('01 Cover &amp; Control'!$C$19="Base",Z114,IF('01 Cover &amp; Control'!$C$19="Upside",Z115,Z116))</f>
        <v/>
      </c>
      <c r="AA117" s="361">
        <f>IF('01 Cover &amp; Control'!$C$19="Base",AA114,IF('01 Cover &amp; Control'!$C$19="Upside",AA115,AA116))</f>
        <v/>
      </c>
      <c r="AB117" s="361">
        <f>IF('01 Cover &amp; Control'!$C$19="Base",AB114,IF('01 Cover &amp; Control'!$C$19="Upside",AB115,AB116))</f>
        <v/>
      </c>
      <c r="AC117" s="347">
        <f>SUM(Y117:AB117)</f>
        <v/>
      </c>
      <c r="AD117" s="361">
        <f>IF('01 Cover &amp; Control'!$C$19="Base",AD114,IF('01 Cover &amp; Control'!$C$19="Upside",AD115,AD116))</f>
        <v/>
      </c>
      <c r="AE117" s="361">
        <f>IF('01 Cover &amp; Control'!$C$19="Base",AE114,IF('01 Cover &amp; Control'!$C$19="Upside",AE115,AE116))</f>
        <v/>
      </c>
      <c r="AF117" s="361">
        <f>IF('01 Cover &amp; Control'!$C$19="Base",AF114,IF('01 Cover &amp; Control'!$C$19="Upside",AF115,AF116))</f>
        <v/>
      </c>
      <c r="AG117" s="361">
        <f>IF('01 Cover &amp; Control'!$C$19="Base",AG114,IF('01 Cover &amp; Control'!$C$19="Upside",AG115,AG116))</f>
        <v/>
      </c>
      <c r="AH117" s="347">
        <f>SUM(AD117:AG117)</f>
        <v/>
      </c>
      <c r="AI117" s="361">
        <f>IF('01 Cover &amp; Control'!$C$19="Base",AI114,IF('01 Cover &amp; Control'!$C$19="Upside",AI115,AI116))</f>
        <v/>
      </c>
      <c r="AJ117" s="361">
        <f>IF('01 Cover &amp; Control'!$C$19="Base",AJ114,IF('01 Cover &amp; Control'!$C$19="Upside",AJ115,AJ116))</f>
        <v/>
      </c>
      <c r="AK117" s="361">
        <f>IF('01 Cover &amp; Control'!$C$19="Base",AK114,IF('01 Cover &amp; Control'!$C$19="Upside",AK115,AK116))</f>
        <v/>
      </c>
      <c r="AL117" s="361">
        <f>IF('01 Cover &amp; Control'!$C$19="Base",AL114,IF('01 Cover &amp; Control'!$C$19="Upside",AL115,AL116))</f>
        <v/>
      </c>
      <c r="AM117" s="347">
        <f>SUM(AI117:AL117)</f>
        <v/>
      </c>
      <c r="AN117" s="361">
        <f>IF('01 Cover &amp; Control'!$C$19="Base",AN114,IF('01 Cover &amp; Control'!$C$19="Upside",AN115,AN116))</f>
        <v/>
      </c>
      <c r="AO117" s="361">
        <f>IF('01 Cover &amp; Control'!$C$19="Base",AO114,IF('01 Cover &amp; Control'!$C$19="Upside",AO115,AO116))</f>
        <v/>
      </c>
      <c r="AP117" s="361">
        <f>IF('01 Cover &amp; Control'!$C$19="Base",AP114,IF('01 Cover &amp; Control'!$C$19="Upside",AP115,AP116))</f>
        <v/>
      </c>
      <c r="AQ117" s="361">
        <f>IF('01 Cover &amp; Control'!$C$19="Base",AQ114,IF('01 Cover &amp; Control'!$C$19="Upside",AQ115,AQ116))</f>
        <v/>
      </c>
      <c r="AR117" s="347">
        <f>SUM(AN117:AQ117)</f>
        <v/>
      </c>
    </row>
    <row r="118" ht="13.5" customHeight="1" s="290">
      <c r="A118" s="339" t="n"/>
      <c r="B118" s="340" t="inlineStr">
        <is>
          <t xml:space="preserve">  Attrition Rate — Senior Appraiser  — Base</t>
        </is>
      </c>
      <c r="C118" s="341" t="inlineStr">
        <is>
          <t>%/qtr</t>
        </is>
      </c>
      <c r="D118" s="342" t="inlineStr">
        <is>
          <t>Quarterly attrition rate applied to Beginning HC. Upside = lower attrition (strong market). Downside = higher (competitors poach).</t>
        </is>
      </c>
      <c r="E118" s="343" t="n">
        <v>0.015</v>
      </c>
      <c r="F118" s="343" t="n">
        <v>0.015</v>
      </c>
      <c r="G118" s="343" t="n">
        <v>0.015</v>
      </c>
      <c r="H118" s="343" t="n">
        <v>0.015</v>
      </c>
      <c r="I118" s="344">
        <f>SUM(E118:H118)</f>
        <v/>
      </c>
      <c r="J118" s="343" t="n">
        <v>0.015</v>
      </c>
      <c r="K118" s="343" t="n">
        <v>0.015</v>
      </c>
      <c r="L118" s="343" t="n">
        <v>0.015</v>
      </c>
      <c r="M118" s="343" t="n">
        <v>0.015</v>
      </c>
      <c r="N118" s="344">
        <f>SUM(J118:M118)</f>
        <v/>
      </c>
      <c r="O118" s="343" t="n">
        <v>0.015</v>
      </c>
      <c r="P118" s="343" t="n">
        <v>0.015</v>
      </c>
      <c r="Q118" s="343" t="n">
        <v>0.015</v>
      </c>
      <c r="R118" s="343" t="n">
        <v>0.015</v>
      </c>
      <c r="S118" s="344">
        <f>SUM(O118:R118)</f>
        <v/>
      </c>
      <c r="T118" s="343" t="n">
        <v>0.015</v>
      </c>
      <c r="U118" s="343" t="n">
        <v>0.015</v>
      </c>
      <c r="V118" s="343" t="n">
        <v>0.015</v>
      </c>
      <c r="W118" s="343" t="n">
        <v>0.015</v>
      </c>
      <c r="X118" s="344">
        <f>SUM(T118:W118)</f>
        <v/>
      </c>
      <c r="Y118" s="343" t="n">
        <v>0.015</v>
      </c>
      <c r="Z118" s="343" t="n">
        <v>0.015</v>
      </c>
      <c r="AA118" s="343" t="n">
        <v>0.015</v>
      </c>
      <c r="AB118" s="343" t="n">
        <v>0.015</v>
      </c>
      <c r="AC118" s="344">
        <f>SUM(Y118:AB118)</f>
        <v/>
      </c>
      <c r="AD118" s="343" t="n">
        <v>0.015</v>
      </c>
      <c r="AE118" s="343" t="n">
        <v>0.015</v>
      </c>
      <c r="AF118" s="343" t="n">
        <v>0.015</v>
      </c>
      <c r="AG118" s="343" t="n">
        <v>0.015</v>
      </c>
      <c r="AH118" s="344">
        <f>SUM(AD118:AG118)</f>
        <v/>
      </c>
      <c r="AI118" s="343" t="n">
        <v>0.015</v>
      </c>
      <c r="AJ118" s="343" t="n">
        <v>0.015</v>
      </c>
      <c r="AK118" s="343" t="n">
        <v>0.015</v>
      </c>
      <c r="AL118" s="343" t="n">
        <v>0.015</v>
      </c>
      <c r="AM118" s="344">
        <f>SUM(AI118:AL118)</f>
        <v/>
      </c>
      <c r="AN118" s="343" t="n">
        <v>0.015</v>
      </c>
      <c r="AO118" s="343" t="n">
        <v>0.015</v>
      </c>
      <c r="AP118" s="343" t="n">
        <v>0.015</v>
      </c>
      <c r="AQ118" s="343" t="n">
        <v>0.015</v>
      </c>
      <c r="AR118" s="344">
        <f>SUM(AN118:AQ118)</f>
        <v/>
      </c>
    </row>
    <row r="119" ht="13.5" customHeight="1" s="290">
      <c r="A119" s="339" t="n"/>
      <c r="B119" s="340" t="inlineStr">
        <is>
          <t xml:space="preserve">  Attrition Rate — Senior Appraiser  — Upside</t>
        </is>
      </c>
      <c r="E119" s="343" t="n">
        <v>0.013</v>
      </c>
      <c r="F119" s="343" t="n">
        <v>0.013</v>
      </c>
      <c r="G119" s="343" t="n">
        <v>0.013</v>
      </c>
      <c r="H119" s="343" t="n">
        <v>0.013</v>
      </c>
      <c r="I119" s="344">
        <f>SUM(E119:H119)</f>
        <v/>
      </c>
      <c r="J119" s="343" t="n">
        <v>0.013</v>
      </c>
      <c r="K119" s="343" t="n">
        <v>0.013</v>
      </c>
      <c r="L119" s="343" t="n">
        <v>0.013</v>
      </c>
      <c r="M119" s="343" t="n">
        <v>0.013</v>
      </c>
      <c r="N119" s="344">
        <f>SUM(J119:M119)</f>
        <v/>
      </c>
      <c r="O119" s="343" t="n">
        <v>0.013</v>
      </c>
      <c r="P119" s="343" t="n">
        <v>0.013</v>
      </c>
      <c r="Q119" s="343" t="n">
        <v>0.013</v>
      </c>
      <c r="R119" s="343" t="n">
        <v>0.013</v>
      </c>
      <c r="S119" s="344">
        <f>SUM(O119:R119)</f>
        <v/>
      </c>
      <c r="T119" s="343" t="n">
        <v>0.013</v>
      </c>
      <c r="U119" s="343" t="n">
        <v>0.013</v>
      </c>
      <c r="V119" s="343" t="n">
        <v>0.013</v>
      </c>
      <c r="W119" s="343" t="n">
        <v>0.013</v>
      </c>
      <c r="X119" s="344">
        <f>SUM(T119:W119)</f>
        <v/>
      </c>
      <c r="Y119" s="343" t="n">
        <v>0.013</v>
      </c>
      <c r="Z119" s="343" t="n">
        <v>0.013</v>
      </c>
      <c r="AA119" s="343" t="n">
        <v>0.013</v>
      </c>
      <c r="AB119" s="343" t="n">
        <v>0.013</v>
      </c>
      <c r="AC119" s="344">
        <f>SUM(Y119:AB119)</f>
        <v/>
      </c>
      <c r="AD119" s="343" t="n">
        <v>0.013</v>
      </c>
      <c r="AE119" s="343" t="n">
        <v>0.013</v>
      </c>
      <c r="AF119" s="343" t="n">
        <v>0.013</v>
      </c>
      <c r="AG119" s="343" t="n">
        <v>0.013</v>
      </c>
      <c r="AH119" s="344">
        <f>SUM(AD119:AG119)</f>
        <v/>
      </c>
      <c r="AI119" s="343" t="n">
        <v>0.013</v>
      </c>
      <c r="AJ119" s="343" t="n">
        <v>0.013</v>
      </c>
      <c r="AK119" s="343" t="n">
        <v>0.013</v>
      </c>
      <c r="AL119" s="343" t="n">
        <v>0.013</v>
      </c>
      <c r="AM119" s="344">
        <f>SUM(AI119:AL119)</f>
        <v/>
      </c>
      <c r="AN119" s="343" t="n">
        <v>0.013</v>
      </c>
      <c r="AO119" s="343" t="n">
        <v>0.013</v>
      </c>
      <c r="AP119" s="343" t="n">
        <v>0.013</v>
      </c>
      <c r="AQ119" s="343" t="n">
        <v>0.013</v>
      </c>
      <c r="AR119" s="344">
        <f>SUM(AN119:AQ119)</f>
        <v/>
      </c>
    </row>
    <row r="120" ht="13.5" customHeight="1" s="290">
      <c r="A120" s="339" t="n"/>
      <c r="B120" s="340" t="inlineStr">
        <is>
          <t xml:space="preserve">  Attrition Rate — Senior Appraiser  — Downside</t>
        </is>
      </c>
      <c r="E120" s="343" t="n">
        <v>0.025</v>
      </c>
      <c r="F120" s="343" t="n">
        <v>0.025</v>
      </c>
      <c r="G120" s="343" t="n">
        <v>0.025</v>
      </c>
      <c r="H120" s="343" t="n">
        <v>0.025</v>
      </c>
      <c r="I120" s="344">
        <f>SUM(E120:H120)</f>
        <v/>
      </c>
      <c r="J120" s="343" t="n">
        <v>0.025</v>
      </c>
      <c r="K120" s="343" t="n">
        <v>0.025</v>
      </c>
      <c r="L120" s="343" t="n">
        <v>0.025</v>
      </c>
      <c r="M120" s="343" t="n">
        <v>0.025</v>
      </c>
      <c r="N120" s="344">
        <f>SUM(J120:M120)</f>
        <v/>
      </c>
      <c r="O120" s="343" t="n">
        <v>0.025</v>
      </c>
      <c r="P120" s="343" t="n">
        <v>0.025</v>
      </c>
      <c r="Q120" s="343" t="n">
        <v>0.025</v>
      </c>
      <c r="R120" s="343" t="n">
        <v>0.025</v>
      </c>
      <c r="S120" s="344">
        <f>SUM(O120:R120)</f>
        <v/>
      </c>
      <c r="T120" s="343" t="n">
        <v>0.025</v>
      </c>
      <c r="U120" s="343" t="n">
        <v>0.025</v>
      </c>
      <c r="V120" s="343" t="n">
        <v>0.025</v>
      </c>
      <c r="W120" s="343" t="n">
        <v>0.025</v>
      </c>
      <c r="X120" s="344">
        <f>SUM(T120:W120)</f>
        <v/>
      </c>
      <c r="Y120" s="343" t="n">
        <v>0.025</v>
      </c>
      <c r="Z120" s="343" t="n">
        <v>0.025</v>
      </c>
      <c r="AA120" s="343" t="n">
        <v>0.025</v>
      </c>
      <c r="AB120" s="343" t="n">
        <v>0.025</v>
      </c>
      <c r="AC120" s="344">
        <f>SUM(Y120:AB120)</f>
        <v/>
      </c>
      <c r="AD120" s="343" t="n">
        <v>0.025</v>
      </c>
      <c r="AE120" s="343" t="n">
        <v>0.025</v>
      </c>
      <c r="AF120" s="343" t="n">
        <v>0.025</v>
      </c>
      <c r="AG120" s="343" t="n">
        <v>0.025</v>
      </c>
      <c r="AH120" s="344">
        <f>SUM(AD120:AG120)</f>
        <v/>
      </c>
      <c r="AI120" s="343" t="n">
        <v>0.025</v>
      </c>
      <c r="AJ120" s="343" t="n">
        <v>0.025</v>
      </c>
      <c r="AK120" s="343" t="n">
        <v>0.025</v>
      </c>
      <c r="AL120" s="343" t="n">
        <v>0.025</v>
      </c>
      <c r="AM120" s="344">
        <f>SUM(AI120:AL120)</f>
        <v/>
      </c>
      <c r="AN120" s="343" t="n">
        <v>0.025</v>
      </c>
      <c r="AO120" s="343" t="n">
        <v>0.025</v>
      </c>
      <c r="AP120" s="343" t="n">
        <v>0.025</v>
      </c>
      <c r="AQ120" s="343" t="n">
        <v>0.025</v>
      </c>
      <c r="AR120" s="344">
        <f>SUM(AN120:AQ120)</f>
        <v/>
      </c>
    </row>
    <row r="121" ht="13.5" customHeight="1" s="290">
      <c r="A121" s="345" t="n"/>
      <c r="B121" s="346" t="inlineStr">
        <is>
          <t xml:space="preserve">  Attrition Rate — Senior Appraiser  — ★ ACTIVE</t>
        </is>
      </c>
      <c r="E121" s="361">
        <f>IF('01 Cover &amp; Control'!$C$19="Base",E118,IF('01 Cover &amp; Control'!$C$19="Upside",E119,E120))</f>
        <v/>
      </c>
      <c r="F121" s="361">
        <f>IF('01 Cover &amp; Control'!$C$19="Base",F118,IF('01 Cover &amp; Control'!$C$19="Upside",F119,F120))</f>
        <v/>
      </c>
      <c r="G121" s="361">
        <f>IF('01 Cover &amp; Control'!$C$19="Base",G118,IF('01 Cover &amp; Control'!$C$19="Upside",G119,G120))</f>
        <v/>
      </c>
      <c r="H121" s="361">
        <f>IF('01 Cover &amp; Control'!$C$19="Base",H118,IF('01 Cover &amp; Control'!$C$19="Upside",H119,H120))</f>
        <v/>
      </c>
      <c r="I121" s="347">
        <f>AVERAGE(E121:H121)</f>
        <v/>
      </c>
      <c r="J121" s="361">
        <f>IF('01 Cover &amp; Control'!$C$19="Base",J118,IF('01 Cover &amp; Control'!$C$19="Upside",J119,J120))</f>
        <v/>
      </c>
      <c r="K121" s="361">
        <f>IF('01 Cover &amp; Control'!$C$19="Base",K118,IF('01 Cover &amp; Control'!$C$19="Upside",K119,K120))</f>
        <v/>
      </c>
      <c r="L121" s="361">
        <f>IF('01 Cover &amp; Control'!$C$19="Base",L118,IF('01 Cover &amp; Control'!$C$19="Upside",L119,L120))</f>
        <v/>
      </c>
      <c r="M121" s="361">
        <f>IF('01 Cover &amp; Control'!$C$19="Base",M118,IF('01 Cover &amp; Control'!$C$19="Upside",M119,M120))</f>
        <v/>
      </c>
      <c r="N121" s="347">
        <f>AVERAGE(J121:M121)</f>
        <v/>
      </c>
      <c r="O121" s="361">
        <f>IF('01 Cover &amp; Control'!$C$19="Base",O118,IF('01 Cover &amp; Control'!$C$19="Upside",O119,O120))</f>
        <v/>
      </c>
      <c r="P121" s="361">
        <f>IF('01 Cover &amp; Control'!$C$19="Base",P118,IF('01 Cover &amp; Control'!$C$19="Upside",P119,P120))</f>
        <v/>
      </c>
      <c r="Q121" s="361">
        <f>IF('01 Cover &amp; Control'!$C$19="Base",Q118,IF('01 Cover &amp; Control'!$C$19="Upside",Q119,Q120))</f>
        <v/>
      </c>
      <c r="R121" s="361">
        <f>IF('01 Cover &amp; Control'!$C$19="Base",R118,IF('01 Cover &amp; Control'!$C$19="Upside",R119,R120))</f>
        <v/>
      </c>
      <c r="S121" s="347">
        <f>AVERAGE(O121:R121)</f>
        <v/>
      </c>
      <c r="T121" s="361">
        <f>IF('01 Cover &amp; Control'!$C$19="Base",T118,IF('01 Cover &amp; Control'!$C$19="Upside",T119,T120))</f>
        <v/>
      </c>
      <c r="U121" s="361">
        <f>IF('01 Cover &amp; Control'!$C$19="Base",U118,IF('01 Cover &amp; Control'!$C$19="Upside",U119,U120))</f>
        <v/>
      </c>
      <c r="V121" s="361">
        <f>IF('01 Cover &amp; Control'!$C$19="Base",V118,IF('01 Cover &amp; Control'!$C$19="Upside",V119,V120))</f>
        <v/>
      </c>
      <c r="W121" s="361">
        <f>IF('01 Cover &amp; Control'!$C$19="Base",W118,IF('01 Cover &amp; Control'!$C$19="Upside",W119,W120))</f>
        <v/>
      </c>
      <c r="X121" s="347">
        <f>AVERAGE(T121:W121)</f>
        <v/>
      </c>
      <c r="Y121" s="361">
        <f>IF('01 Cover &amp; Control'!$C$19="Base",Y118,IF('01 Cover &amp; Control'!$C$19="Upside",Y119,Y120))</f>
        <v/>
      </c>
      <c r="Z121" s="361">
        <f>IF('01 Cover &amp; Control'!$C$19="Base",Z118,IF('01 Cover &amp; Control'!$C$19="Upside",Z119,Z120))</f>
        <v/>
      </c>
      <c r="AA121" s="361">
        <f>IF('01 Cover &amp; Control'!$C$19="Base",AA118,IF('01 Cover &amp; Control'!$C$19="Upside",AA119,AA120))</f>
        <v/>
      </c>
      <c r="AB121" s="361">
        <f>IF('01 Cover &amp; Control'!$C$19="Base",AB118,IF('01 Cover &amp; Control'!$C$19="Upside",AB119,AB120))</f>
        <v/>
      </c>
      <c r="AC121" s="347">
        <f>AVERAGE(Y121:AB121)</f>
        <v/>
      </c>
      <c r="AD121" s="361">
        <f>IF('01 Cover &amp; Control'!$C$19="Base",AD118,IF('01 Cover &amp; Control'!$C$19="Upside",AD119,AD120))</f>
        <v/>
      </c>
      <c r="AE121" s="361">
        <f>IF('01 Cover &amp; Control'!$C$19="Base",AE118,IF('01 Cover &amp; Control'!$C$19="Upside",AE119,AE120))</f>
        <v/>
      </c>
      <c r="AF121" s="361">
        <f>IF('01 Cover &amp; Control'!$C$19="Base",AF118,IF('01 Cover &amp; Control'!$C$19="Upside",AF119,AF120))</f>
        <v/>
      </c>
      <c r="AG121" s="361">
        <f>IF('01 Cover &amp; Control'!$C$19="Base",AG118,IF('01 Cover &amp; Control'!$C$19="Upside",AG119,AG120))</f>
        <v/>
      </c>
      <c r="AH121" s="347">
        <f>AVERAGE(AD121:AG121)</f>
        <v/>
      </c>
      <c r="AI121" s="361">
        <f>IF('01 Cover &amp; Control'!$C$19="Base",AI118,IF('01 Cover &amp; Control'!$C$19="Upside",AI119,AI120))</f>
        <v/>
      </c>
      <c r="AJ121" s="361">
        <f>IF('01 Cover &amp; Control'!$C$19="Base",AJ118,IF('01 Cover &amp; Control'!$C$19="Upside",AJ119,AJ120))</f>
        <v/>
      </c>
      <c r="AK121" s="361">
        <f>IF('01 Cover &amp; Control'!$C$19="Base",AK118,IF('01 Cover &amp; Control'!$C$19="Upside",AK119,AK120))</f>
        <v/>
      </c>
      <c r="AL121" s="361">
        <f>IF('01 Cover &amp; Control'!$C$19="Base",AL118,IF('01 Cover &amp; Control'!$C$19="Upside",AL119,AL120))</f>
        <v/>
      </c>
      <c r="AM121" s="347">
        <f>AVERAGE(AI121:AL121)</f>
        <v/>
      </c>
      <c r="AN121" s="361">
        <f>IF('01 Cover &amp; Control'!$C$19="Base",AN118,IF('01 Cover &amp; Control'!$C$19="Upside",AN119,AN120))</f>
        <v/>
      </c>
      <c r="AO121" s="361">
        <f>IF('01 Cover &amp; Control'!$C$19="Base",AO118,IF('01 Cover &amp; Control'!$C$19="Upside",AO119,AO120))</f>
        <v/>
      </c>
      <c r="AP121" s="361">
        <f>IF('01 Cover &amp; Control'!$C$19="Base",AP118,IF('01 Cover &amp; Control'!$C$19="Upside",AP119,AP120))</f>
        <v/>
      </c>
      <c r="AQ121" s="361">
        <f>IF('01 Cover &amp; Control'!$C$19="Base",AQ118,IF('01 Cover &amp; Control'!$C$19="Upside",AQ119,AQ120))</f>
        <v/>
      </c>
      <c r="AR121" s="347">
        <f>AVERAGE(AN121:AQ121)</f>
        <v/>
      </c>
    </row>
    <row r="122" ht="3.75" customHeight="1" s="290"/>
    <row r="123" ht="13.5" customHeight="1" s="290">
      <c r="A123" s="339" t="n"/>
      <c r="B123" s="357" t="inlineStr">
        <is>
          <t xml:space="preserve">  Beginning HC — Appraiser</t>
        </is>
      </c>
      <c r="C123" s="341" t="inlineStr">
        <is>
          <t>#</t>
        </is>
      </c>
      <c r="D123" s="342" t="inlineStr">
        <is>
          <t>Input: actuals for hist period; forecast = prior yr ending HC. Used directly in EPE formula.</t>
        </is>
      </c>
      <c r="E123" s="343" t="n">
        <v>9</v>
      </c>
      <c r="F123" s="343" t="n"/>
      <c r="G123" s="343" t="n"/>
      <c r="H123" s="343" t="n"/>
      <c r="I123" s="344">
        <f>SUM(E123:H123)</f>
        <v/>
      </c>
      <c r="J123" s="343" t="n"/>
      <c r="K123" s="343" t="n"/>
      <c r="L123" s="343" t="n"/>
      <c r="M123" s="343" t="n"/>
      <c r="N123" s="344">
        <f>SUM(J123:M123)</f>
        <v/>
      </c>
      <c r="O123" s="343" t="n"/>
      <c r="P123" s="343" t="n"/>
      <c r="Q123" s="343" t="n"/>
      <c r="R123" s="343" t="n"/>
      <c r="S123" s="344">
        <f>SUM(O123:R123)</f>
        <v/>
      </c>
      <c r="T123" s="343" t="n"/>
      <c r="U123" s="343" t="n"/>
      <c r="V123" s="343" t="n"/>
      <c r="W123" s="343" t="n"/>
      <c r="X123" s="344">
        <f>SUM(T123:W123)</f>
        <v/>
      </c>
      <c r="Y123" s="343" t="n"/>
      <c r="Z123" s="343" t="n"/>
      <c r="AA123" s="343" t="n"/>
      <c r="AB123" s="343" t="n"/>
      <c r="AC123" s="344">
        <f>SUM(Y123:AB123)</f>
        <v/>
      </c>
      <c r="AD123" s="343" t="n"/>
      <c r="AE123" s="343" t="n"/>
      <c r="AF123" s="343" t="n"/>
      <c r="AG123" s="343" t="n"/>
      <c r="AH123" s="344">
        <f>SUM(AD123:AG123)</f>
        <v/>
      </c>
      <c r="AI123" s="343" t="n"/>
      <c r="AJ123" s="343" t="n"/>
      <c r="AK123" s="343" t="n"/>
      <c r="AL123" s="343" t="n"/>
      <c r="AM123" s="344">
        <f>SUM(AI123:AL123)</f>
        <v/>
      </c>
      <c r="AN123" s="343" t="n"/>
      <c r="AO123" s="343" t="n"/>
      <c r="AP123" s="343" t="n"/>
      <c r="AQ123" s="343" t="n"/>
      <c r="AR123" s="344">
        <f>SUM(AN123:AQ123)</f>
        <v/>
      </c>
    </row>
    <row r="124" ht="13.5" customHeight="1" s="290">
      <c r="A124" s="339" t="n"/>
      <c r="B124" s="340" t="inlineStr">
        <is>
          <t xml:space="preserve">  Gross Hires / Qtr — Appraiser  — Base</t>
        </is>
      </c>
      <c r="C124" s="341" t="inlineStr">
        <is>
          <t>#/qtr</t>
        </is>
      </c>
      <c r="D124" s="342" t="inlineStr">
        <is>
          <t>Scenario-keyed. Upside = faster hiring. Downside = slower/failed hiring.</t>
        </is>
      </c>
      <c r="E124" s="343" t="n">
        <v>0.6</v>
      </c>
      <c r="F124" s="343" t="n">
        <v>0.6</v>
      </c>
      <c r="G124" s="343" t="n">
        <v>0.6</v>
      </c>
      <c r="H124" s="343" t="n">
        <v>0.6</v>
      </c>
      <c r="I124" s="344">
        <f>SUM(E124:H124)</f>
        <v/>
      </c>
      <c r="J124" s="343" t="n">
        <v>0.6</v>
      </c>
      <c r="K124" s="343" t="n">
        <v>0.6</v>
      </c>
      <c r="L124" s="343" t="n">
        <v>0.6</v>
      </c>
      <c r="M124" s="343" t="n">
        <v>0.6</v>
      </c>
      <c r="N124" s="344">
        <f>SUM(J124:M124)</f>
        <v/>
      </c>
      <c r="O124" s="343" t="n">
        <v>0.6</v>
      </c>
      <c r="P124" s="343" t="n">
        <v>0.6</v>
      </c>
      <c r="Q124" s="343" t="n">
        <v>0.6</v>
      </c>
      <c r="R124" s="343" t="n">
        <v>0.6</v>
      </c>
      <c r="S124" s="344">
        <f>SUM(O124:R124)</f>
        <v/>
      </c>
      <c r="T124" s="343" t="n">
        <v>0.6</v>
      </c>
      <c r="U124" s="343" t="n">
        <v>0.6</v>
      </c>
      <c r="V124" s="343" t="n">
        <v>0.6</v>
      </c>
      <c r="W124" s="343" t="n">
        <v>0.6</v>
      </c>
      <c r="X124" s="344">
        <f>SUM(T124:W124)</f>
        <v/>
      </c>
      <c r="Y124" s="343" t="n">
        <v>0.6</v>
      </c>
      <c r="Z124" s="343" t="n">
        <v>0.6</v>
      </c>
      <c r="AA124" s="343" t="n">
        <v>0.6</v>
      </c>
      <c r="AB124" s="343" t="n">
        <v>0.6</v>
      </c>
      <c r="AC124" s="344">
        <f>SUM(Y124:AB124)</f>
        <v/>
      </c>
      <c r="AD124" s="343" t="n">
        <v>0.6</v>
      </c>
      <c r="AE124" s="343" t="n">
        <v>0.6</v>
      </c>
      <c r="AF124" s="343" t="n">
        <v>0.6</v>
      </c>
      <c r="AG124" s="343" t="n">
        <v>0.6</v>
      </c>
      <c r="AH124" s="344">
        <f>SUM(AD124:AG124)</f>
        <v/>
      </c>
      <c r="AI124" s="343" t="n">
        <v>0.6</v>
      </c>
      <c r="AJ124" s="343" t="n">
        <v>0.6</v>
      </c>
      <c r="AK124" s="343" t="n">
        <v>0.6</v>
      </c>
      <c r="AL124" s="343" t="n">
        <v>0.6</v>
      </c>
      <c r="AM124" s="344">
        <f>SUM(AI124:AL124)</f>
        <v/>
      </c>
      <c r="AN124" s="343" t="n">
        <v>0.6</v>
      </c>
      <c r="AO124" s="343" t="n">
        <v>0.6</v>
      </c>
      <c r="AP124" s="343" t="n">
        <v>0.6</v>
      </c>
      <c r="AQ124" s="343" t="n">
        <v>0.6</v>
      </c>
      <c r="AR124" s="344">
        <f>SUM(AN124:AQ124)</f>
        <v/>
      </c>
    </row>
    <row r="125" ht="13.5" customHeight="1" s="290">
      <c r="A125" s="339" t="n"/>
      <c r="B125" s="340" t="inlineStr">
        <is>
          <t xml:space="preserve">  Gross Hires / Qtr — Appraiser  — Upside</t>
        </is>
      </c>
      <c r="E125" s="343" t="n">
        <v>0.66</v>
      </c>
      <c r="F125" s="343" t="n">
        <v>0.66</v>
      </c>
      <c r="G125" s="343" t="n">
        <v>0.66</v>
      </c>
      <c r="H125" s="343" t="n">
        <v>0.66</v>
      </c>
      <c r="I125" s="344">
        <f>SUM(E125:H125)</f>
        <v/>
      </c>
      <c r="J125" s="343" t="n">
        <v>0.66</v>
      </c>
      <c r="K125" s="343" t="n">
        <v>0.66</v>
      </c>
      <c r="L125" s="343" t="n">
        <v>0.66</v>
      </c>
      <c r="M125" s="343" t="n">
        <v>0.66</v>
      </c>
      <c r="N125" s="344">
        <f>SUM(J125:M125)</f>
        <v/>
      </c>
      <c r="O125" s="343" t="n">
        <v>0.66</v>
      </c>
      <c r="P125" s="343" t="n">
        <v>0.66</v>
      </c>
      <c r="Q125" s="343" t="n">
        <v>0.66</v>
      </c>
      <c r="R125" s="343" t="n">
        <v>0.66</v>
      </c>
      <c r="S125" s="344">
        <f>SUM(O125:R125)</f>
        <v/>
      </c>
      <c r="T125" s="343" t="n">
        <v>0.66</v>
      </c>
      <c r="U125" s="343" t="n">
        <v>0.66</v>
      </c>
      <c r="V125" s="343" t="n">
        <v>0.66</v>
      </c>
      <c r="W125" s="343" t="n">
        <v>0.66</v>
      </c>
      <c r="X125" s="344">
        <f>SUM(T125:W125)</f>
        <v/>
      </c>
      <c r="Y125" s="343" t="n">
        <v>0.66</v>
      </c>
      <c r="Z125" s="343" t="n">
        <v>0.66</v>
      </c>
      <c r="AA125" s="343" t="n">
        <v>0.66</v>
      </c>
      <c r="AB125" s="343" t="n">
        <v>0.66</v>
      </c>
      <c r="AC125" s="344">
        <f>SUM(Y125:AB125)</f>
        <v/>
      </c>
      <c r="AD125" s="343" t="n">
        <v>0.66</v>
      </c>
      <c r="AE125" s="343" t="n">
        <v>0.66</v>
      </c>
      <c r="AF125" s="343" t="n">
        <v>0.66</v>
      </c>
      <c r="AG125" s="343" t="n">
        <v>0.66</v>
      </c>
      <c r="AH125" s="344">
        <f>SUM(AD125:AG125)</f>
        <v/>
      </c>
      <c r="AI125" s="343" t="n">
        <v>0.66</v>
      </c>
      <c r="AJ125" s="343" t="n">
        <v>0.66</v>
      </c>
      <c r="AK125" s="343" t="n">
        <v>0.66</v>
      </c>
      <c r="AL125" s="343" t="n">
        <v>0.66</v>
      </c>
      <c r="AM125" s="344">
        <f>SUM(AI125:AL125)</f>
        <v/>
      </c>
      <c r="AN125" s="343" t="n">
        <v>0.66</v>
      </c>
      <c r="AO125" s="343" t="n">
        <v>0.66</v>
      </c>
      <c r="AP125" s="343" t="n">
        <v>0.66</v>
      </c>
      <c r="AQ125" s="343" t="n">
        <v>0.66</v>
      </c>
      <c r="AR125" s="344">
        <f>SUM(AN125:AQ125)</f>
        <v/>
      </c>
    </row>
    <row r="126" ht="13.5" customHeight="1" s="290">
      <c r="A126" s="339" t="n"/>
      <c r="B126" s="340" t="inlineStr">
        <is>
          <t xml:space="preserve">  Gross Hires / Qtr — Appraiser  — Downside</t>
        </is>
      </c>
      <c r="E126" s="343" t="n">
        <v>0.51</v>
      </c>
      <c r="F126" s="343" t="n">
        <v>0.51</v>
      </c>
      <c r="G126" s="343" t="n">
        <v>0.51</v>
      </c>
      <c r="H126" s="343" t="n">
        <v>0.51</v>
      </c>
      <c r="I126" s="344">
        <f>SUM(E126:H126)</f>
        <v/>
      </c>
      <c r="J126" s="343" t="n">
        <v>0.51</v>
      </c>
      <c r="K126" s="343" t="n">
        <v>0.51</v>
      </c>
      <c r="L126" s="343" t="n">
        <v>0.51</v>
      </c>
      <c r="M126" s="343" t="n">
        <v>0.51</v>
      </c>
      <c r="N126" s="344">
        <f>SUM(J126:M126)</f>
        <v/>
      </c>
      <c r="O126" s="343" t="n">
        <v>0.51</v>
      </c>
      <c r="P126" s="343" t="n">
        <v>0.51</v>
      </c>
      <c r="Q126" s="343" t="n">
        <v>0.51</v>
      </c>
      <c r="R126" s="343" t="n">
        <v>0.51</v>
      </c>
      <c r="S126" s="344">
        <f>SUM(O126:R126)</f>
        <v/>
      </c>
      <c r="T126" s="343" t="n">
        <v>0.51</v>
      </c>
      <c r="U126" s="343" t="n">
        <v>0.51</v>
      </c>
      <c r="V126" s="343" t="n">
        <v>0.51</v>
      </c>
      <c r="W126" s="343" t="n">
        <v>0.51</v>
      </c>
      <c r="X126" s="344">
        <f>SUM(T126:W126)</f>
        <v/>
      </c>
      <c r="Y126" s="343" t="n">
        <v>0.51</v>
      </c>
      <c r="Z126" s="343" t="n">
        <v>0.51</v>
      </c>
      <c r="AA126" s="343" t="n">
        <v>0.51</v>
      </c>
      <c r="AB126" s="343" t="n">
        <v>0.51</v>
      </c>
      <c r="AC126" s="344">
        <f>SUM(Y126:AB126)</f>
        <v/>
      </c>
      <c r="AD126" s="343" t="n">
        <v>0.51</v>
      </c>
      <c r="AE126" s="343" t="n">
        <v>0.51</v>
      </c>
      <c r="AF126" s="343" t="n">
        <v>0.51</v>
      </c>
      <c r="AG126" s="343" t="n">
        <v>0.51</v>
      </c>
      <c r="AH126" s="344">
        <f>SUM(AD126:AG126)</f>
        <v/>
      </c>
      <c r="AI126" s="343" t="n">
        <v>0.51</v>
      </c>
      <c r="AJ126" s="343" t="n">
        <v>0.51</v>
      </c>
      <c r="AK126" s="343" t="n">
        <v>0.51</v>
      </c>
      <c r="AL126" s="343" t="n">
        <v>0.51</v>
      </c>
      <c r="AM126" s="344">
        <f>SUM(AI126:AL126)</f>
        <v/>
      </c>
      <c r="AN126" s="343" t="n">
        <v>0.51</v>
      </c>
      <c r="AO126" s="343" t="n">
        <v>0.51</v>
      </c>
      <c r="AP126" s="343" t="n">
        <v>0.51</v>
      </c>
      <c r="AQ126" s="343" t="n">
        <v>0.51</v>
      </c>
      <c r="AR126" s="344">
        <f>SUM(AN126:AQ126)</f>
        <v/>
      </c>
    </row>
    <row r="127" ht="13.5" customHeight="1" s="290">
      <c r="A127" s="345" t="n"/>
      <c r="B127" s="346" t="inlineStr">
        <is>
          <t xml:space="preserve">  Gross Hires / Qtr — Appraiser  — ★ ACTIVE</t>
        </is>
      </c>
      <c r="E127" s="361">
        <f>IF('01 Cover &amp; Control'!$C$19="Base",E124,IF('01 Cover &amp; Control'!$C$19="Upside",E125,E126))</f>
        <v/>
      </c>
      <c r="F127" s="361">
        <f>IF('01 Cover &amp; Control'!$C$19="Base",F124,IF('01 Cover &amp; Control'!$C$19="Upside",F125,F126))</f>
        <v/>
      </c>
      <c r="G127" s="361">
        <f>IF('01 Cover &amp; Control'!$C$19="Base",G124,IF('01 Cover &amp; Control'!$C$19="Upside",G125,G126))</f>
        <v/>
      </c>
      <c r="H127" s="361">
        <f>IF('01 Cover &amp; Control'!$C$19="Base",H124,IF('01 Cover &amp; Control'!$C$19="Upside",H125,H126))</f>
        <v/>
      </c>
      <c r="I127" s="347">
        <f>SUM(E127:H127)</f>
        <v/>
      </c>
      <c r="J127" s="361">
        <f>IF('01 Cover &amp; Control'!$C$19="Base",J124,IF('01 Cover &amp; Control'!$C$19="Upside",J125,J126))</f>
        <v/>
      </c>
      <c r="K127" s="361">
        <f>IF('01 Cover &amp; Control'!$C$19="Base",K124,IF('01 Cover &amp; Control'!$C$19="Upside",K125,K126))</f>
        <v/>
      </c>
      <c r="L127" s="361">
        <f>IF('01 Cover &amp; Control'!$C$19="Base",L124,IF('01 Cover &amp; Control'!$C$19="Upside",L125,L126))</f>
        <v/>
      </c>
      <c r="M127" s="361">
        <f>IF('01 Cover &amp; Control'!$C$19="Base",M124,IF('01 Cover &amp; Control'!$C$19="Upside",M125,M126))</f>
        <v/>
      </c>
      <c r="N127" s="347">
        <f>SUM(J127:M127)</f>
        <v/>
      </c>
      <c r="O127" s="361">
        <f>IF('01 Cover &amp; Control'!$C$19="Base",O124,IF('01 Cover &amp; Control'!$C$19="Upside",O125,O126))</f>
        <v/>
      </c>
      <c r="P127" s="361">
        <f>IF('01 Cover &amp; Control'!$C$19="Base",P124,IF('01 Cover &amp; Control'!$C$19="Upside",P125,P126))</f>
        <v/>
      </c>
      <c r="Q127" s="361">
        <f>IF('01 Cover &amp; Control'!$C$19="Base",Q124,IF('01 Cover &amp; Control'!$C$19="Upside",Q125,Q126))</f>
        <v/>
      </c>
      <c r="R127" s="361">
        <f>IF('01 Cover &amp; Control'!$C$19="Base",R124,IF('01 Cover &amp; Control'!$C$19="Upside",R125,R126))</f>
        <v/>
      </c>
      <c r="S127" s="347">
        <f>SUM(O127:R127)</f>
        <v/>
      </c>
      <c r="T127" s="361">
        <f>IF('01 Cover &amp; Control'!$C$19="Base",T124,IF('01 Cover &amp; Control'!$C$19="Upside",T125,T126))</f>
        <v/>
      </c>
      <c r="U127" s="361">
        <f>IF('01 Cover &amp; Control'!$C$19="Base",U124,IF('01 Cover &amp; Control'!$C$19="Upside",U125,U126))</f>
        <v/>
      </c>
      <c r="V127" s="361">
        <f>IF('01 Cover &amp; Control'!$C$19="Base",V124,IF('01 Cover &amp; Control'!$C$19="Upside",V125,V126))</f>
        <v/>
      </c>
      <c r="W127" s="361">
        <f>IF('01 Cover &amp; Control'!$C$19="Base",W124,IF('01 Cover &amp; Control'!$C$19="Upside",W125,W126))</f>
        <v/>
      </c>
      <c r="X127" s="347">
        <f>SUM(T127:W127)</f>
        <v/>
      </c>
      <c r="Y127" s="361">
        <f>IF('01 Cover &amp; Control'!$C$19="Base",Y124,IF('01 Cover &amp; Control'!$C$19="Upside",Y125,Y126))</f>
        <v/>
      </c>
      <c r="Z127" s="361">
        <f>IF('01 Cover &amp; Control'!$C$19="Base",Z124,IF('01 Cover &amp; Control'!$C$19="Upside",Z125,Z126))</f>
        <v/>
      </c>
      <c r="AA127" s="361">
        <f>IF('01 Cover &amp; Control'!$C$19="Base",AA124,IF('01 Cover &amp; Control'!$C$19="Upside",AA125,AA126))</f>
        <v/>
      </c>
      <c r="AB127" s="361">
        <f>IF('01 Cover &amp; Control'!$C$19="Base",AB124,IF('01 Cover &amp; Control'!$C$19="Upside",AB125,AB126))</f>
        <v/>
      </c>
      <c r="AC127" s="347">
        <f>SUM(Y127:AB127)</f>
        <v/>
      </c>
      <c r="AD127" s="361">
        <f>IF('01 Cover &amp; Control'!$C$19="Base",AD124,IF('01 Cover &amp; Control'!$C$19="Upside",AD125,AD126))</f>
        <v/>
      </c>
      <c r="AE127" s="361">
        <f>IF('01 Cover &amp; Control'!$C$19="Base",AE124,IF('01 Cover &amp; Control'!$C$19="Upside",AE125,AE126))</f>
        <v/>
      </c>
      <c r="AF127" s="361">
        <f>IF('01 Cover &amp; Control'!$C$19="Base",AF124,IF('01 Cover &amp; Control'!$C$19="Upside",AF125,AF126))</f>
        <v/>
      </c>
      <c r="AG127" s="361">
        <f>IF('01 Cover &amp; Control'!$C$19="Base",AG124,IF('01 Cover &amp; Control'!$C$19="Upside",AG125,AG126))</f>
        <v/>
      </c>
      <c r="AH127" s="347">
        <f>SUM(AD127:AG127)</f>
        <v/>
      </c>
      <c r="AI127" s="361">
        <f>IF('01 Cover &amp; Control'!$C$19="Base",AI124,IF('01 Cover &amp; Control'!$C$19="Upside",AI125,AI126))</f>
        <v/>
      </c>
      <c r="AJ127" s="361">
        <f>IF('01 Cover &amp; Control'!$C$19="Base",AJ124,IF('01 Cover &amp; Control'!$C$19="Upside",AJ125,AJ126))</f>
        <v/>
      </c>
      <c r="AK127" s="361">
        <f>IF('01 Cover &amp; Control'!$C$19="Base",AK124,IF('01 Cover &amp; Control'!$C$19="Upside",AK125,AK126))</f>
        <v/>
      </c>
      <c r="AL127" s="361">
        <f>IF('01 Cover &amp; Control'!$C$19="Base",AL124,IF('01 Cover &amp; Control'!$C$19="Upside",AL125,AL126))</f>
        <v/>
      </c>
      <c r="AM127" s="347">
        <f>SUM(AI127:AL127)</f>
        <v/>
      </c>
      <c r="AN127" s="361">
        <f>IF('01 Cover &amp; Control'!$C$19="Base",AN124,IF('01 Cover &amp; Control'!$C$19="Upside",AN125,AN126))</f>
        <v/>
      </c>
      <c r="AO127" s="361">
        <f>IF('01 Cover &amp; Control'!$C$19="Base",AO124,IF('01 Cover &amp; Control'!$C$19="Upside",AO125,AO126))</f>
        <v/>
      </c>
      <c r="AP127" s="361">
        <f>IF('01 Cover &amp; Control'!$C$19="Base",AP124,IF('01 Cover &amp; Control'!$C$19="Upside",AP125,AP126))</f>
        <v/>
      </c>
      <c r="AQ127" s="361">
        <f>IF('01 Cover &amp; Control'!$C$19="Base",AQ124,IF('01 Cover &amp; Control'!$C$19="Upside",AQ125,AQ126))</f>
        <v/>
      </c>
      <c r="AR127" s="347">
        <f>SUM(AN127:AQ127)</f>
        <v/>
      </c>
    </row>
    <row r="128" ht="13.5" customHeight="1" s="290">
      <c r="A128" s="339" t="n"/>
      <c r="B128" s="340" t="inlineStr">
        <is>
          <t xml:space="preserve">  Attrition Rate — Appraiser  — Base</t>
        </is>
      </c>
      <c r="C128" s="341" t="inlineStr">
        <is>
          <t>%/qtr</t>
        </is>
      </c>
      <c r="D128" s="342" t="inlineStr">
        <is>
          <t>Quarterly attrition rate applied to Beginning HC. Upside = lower attrition (strong market). Downside = higher (competitors poach).</t>
        </is>
      </c>
      <c r="E128" s="343" t="n">
        <v>0.035</v>
      </c>
      <c r="F128" s="343" t="n">
        <v>0.035</v>
      </c>
      <c r="G128" s="343" t="n">
        <v>0.035</v>
      </c>
      <c r="H128" s="343" t="n">
        <v>0.035</v>
      </c>
      <c r="I128" s="344">
        <f>SUM(E128:H128)</f>
        <v/>
      </c>
      <c r="J128" s="343" t="n">
        <v>0.035</v>
      </c>
      <c r="K128" s="343" t="n">
        <v>0.035</v>
      </c>
      <c r="L128" s="343" t="n">
        <v>0.035</v>
      </c>
      <c r="M128" s="343" t="n">
        <v>0.035</v>
      </c>
      <c r="N128" s="344">
        <f>SUM(J128:M128)</f>
        <v/>
      </c>
      <c r="O128" s="343" t="n">
        <v>0.035</v>
      </c>
      <c r="P128" s="343" t="n">
        <v>0.035</v>
      </c>
      <c r="Q128" s="343" t="n">
        <v>0.035</v>
      </c>
      <c r="R128" s="343" t="n">
        <v>0.035</v>
      </c>
      <c r="S128" s="344">
        <f>SUM(O128:R128)</f>
        <v/>
      </c>
      <c r="T128" s="343" t="n">
        <v>0.035</v>
      </c>
      <c r="U128" s="343" t="n">
        <v>0.035</v>
      </c>
      <c r="V128" s="343" t="n">
        <v>0.035</v>
      </c>
      <c r="W128" s="343" t="n">
        <v>0.035</v>
      </c>
      <c r="X128" s="344">
        <f>SUM(T128:W128)</f>
        <v/>
      </c>
      <c r="Y128" s="343" t="n">
        <v>0.035</v>
      </c>
      <c r="Z128" s="343" t="n">
        <v>0.035</v>
      </c>
      <c r="AA128" s="343" t="n">
        <v>0.035</v>
      </c>
      <c r="AB128" s="343" t="n">
        <v>0.035</v>
      </c>
      <c r="AC128" s="344">
        <f>SUM(Y128:AB128)</f>
        <v/>
      </c>
      <c r="AD128" s="343" t="n">
        <v>0.035</v>
      </c>
      <c r="AE128" s="343" t="n">
        <v>0.035</v>
      </c>
      <c r="AF128" s="343" t="n">
        <v>0.035</v>
      </c>
      <c r="AG128" s="343" t="n">
        <v>0.035</v>
      </c>
      <c r="AH128" s="344">
        <f>SUM(AD128:AG128)</f>
        <v/>
      </c>
      <c r="AI128" s="343" t="n">
        <v>0.035</v>
      </c>
      <c r="AJ128" s="343" t="n">
        <v>0.035</v>
      </c>
      <c r="AK128" s="343" t="n">
        <v>0.035</v>
      </c>
      <c r="AL128" s="343" t="n">
        <v>0.035</v>
      </c>
      <c r="AM128" s="344">
        <f>SUM(AI128:AL128)</f>
        <v/>
      </c>
      <c r="AN128" s="343" t="n">
        <v>0.035</v>
      </c>
      <c r="AO128" s="343" t="n">
        <v>0.035</v>
      </c>
      <c r="AP128" s="343" t="n">
        <v>0.035</v>
      </c>
      <c r="AQ128" s="343" t="n">
        <v>0.035</v>
      </c>
      <c r="AR128" s="344">
        <f>SUM(AN128:AQ128)</f>
        <v/>
      </c>
    </row>
    <row r="129" ht="13.5" customHeight="1" s="290">
      <c r="A129" s="339" t="n"/>
      <c r="B129" s="340" t="inlineStr">
        <is>
          <t xml:space="preserve">  Attrition Rate — Appraiser  — Upside</t>
        </is>
      </c>
      <c r="E129" s="343" t="n">
        <v>0.03</v>
      </c>
      <c r="F129" s="343" t="n">
        <v>0.03</v>
      </c>
      <c r="G129" s="343" t="n">
        <v>0.03</v>
      </c>
      <c r="H129" s="343" t="n">
        <v>0.03</v>
      </c>
      <c r="I129" s="344">
        <f>SUM(E129:H129)</f>
        <v/>
      </c>
      <c r="J129" s="343" t="n">
        <v>0.03</v>
      </c>
      <c r="K129" s="343" t="n">
        <v>0.03</v>
      </c>
      <c r="L129" s="343" t="n">
        <v>0.03</v>
      </c>
      <c r="M129" s="343" t="n">
        <v>0.03</v>
      </c>
      <c r="N129" s="344">
        <f>SUM(J129:M129)</f>
        <v/>
      </c>
      <c r="O129" s="343" t="n">
        <v>0.03</v>
      </c>
      <c r="P129" s="343" t="n">
        <v>0.03</v>
      </c>
      <c r="Q129" s="343" t="n">
        <v>0.03</v>
      </c>
      <c r="R129" s="343" t="n">
        <v>0.03</v>
      </c>
      <c r="S129" s="344">
        <f>SUM(O129:R129)</f>
        <v/>
      </c>
      <c r="T129" s="343" t="n">
        <v>0.03</v>
      </c>
      <c r="U129" s="343" t="n">
        <v>0.03</v>
      </c>
      <c r="V129" s="343" t="n">
        <v>0.03</v>
      </c>
      <c r="W129" s="343" t="n">
        <v>0.03</v>
      </c>
      <c r="X129" s="344">
        <f>SUM(T129:W129)</f>
        <v/>
      </c>
      <c r="Y129" s="343" t="n">
        <v>0.03</v>
      </c>
      <c r="Z129" s="343" t="n">
        <v>0.03</v>
      </c>
      <c r="AA129" s="343" t="n">
        <v>0.03</v>
      </c>
      <c r="AB129" s="343" t="n">
        <v>0.03</v>
      </c>
      <c r="AC129" s="344">
        <f>SUM(Y129:AB129)</f>
        <v/>
      </c>
      <c r="AD129" s="343" t="n">
        <v>0.03</v>
      </c>
      <c r="AE129" s="343" t="n">
        <v>0.03</v>
      </c>
      <c r="AF129" s="343" t="n">
        <v>0.03</v>
      </c>
      <c r="AG129" s="343" t="n">
        <v>0.03</v>
      </c>
      <c r="AH129" s="344">
        <f>SUM(AD129:AG129)</f>
        <v/>
      </c>
      <c r="AI129" s="343" t="n">
        <v>0.03</v>
      </c>
      <c r="AJ129" s="343" t="n">
        <v>0.03</v>
      </c>
      <c r="AK129" s="343" t="n">
        <v>0.03</v>
      </c>
      <c r="AL129" s="343" t="n">
        <v>0.03</v>
      </c>
      <c r="AM129" s="344">
        <f>SUM(AI129:AL129)</f>
        <v/>
      </c>
      <c r="AN129" s="343" t="n">
        <v>0.03</v>
      </c>
      <c r="AO129" s="343" t="n">
        <v>0.03</v>
      </c>
      <c r="AP129" s="343" t="n">
        <v>0.03</v>
      </c>
      <c r="AQ129" s="343" t="n">
        <v>0.03</v>
      </c>
      <c r="AR129" s="344">
        <f>SUM(AN129:AQ129)</f>
        <v/>
      </c>
    </row>
    <row r="130" ht="13.5" customHeight="1" s="290">
      <c r="A130" s="339" t="n"/>
      <c r="B130" s="340" t="inlineStr">
        <is>
          <t xml:space="preserve">  Attrition Rate — Appraiser  — Downside</t>
        </is>
      </c>
      <c r="E130" s="343" t="n">
        <v>0.05</v>
      </c>
      <c r="F130" s="343" t="n">
        <v>0.05</v>
      </c>
      <c r="G130" s="343" t="n">
        <v>0.05</v>
      </c>
      <c r="H130" s="343" t="n">
        <v>0.05</v>
      </c>
      <c r="I130" s="344">
        <f>SUM(E130:H130)</f>
        <v/>
      </c>
      <c r="J130" s="343" t="n">
        <v>0.05</v>
      </c>
      <c r="K130" s="343" t="n">
        <v>0.05</v>
      </c>
      <c r="L130" s="343" t="n">
        <v>0.05</v>
      </c>
      <c r="M130" s="343" t="n">
        <v>0.05</v>
      </c>
      <c r="N130" s="344">
        <f>SUM(J130:M130)</f>
        <v/>
      </c>
      <c r="O130" s="343" t="n">
        <v>0.05</v>
      </c>
      <c r="P130" s="343" t="n">
        <v>0.05</v>
      </c>
      <c r="Q130" s="343" t="n">
        <v>0.05</v>
      </c>
      <c r="R130" s="343" t="n">
        <v>0.05</v>
      </c>
      <c r="S130" s="344">
        <f>SUM(O130:R130)</f>
        <v/>
      </c>
      <c r="T130" s="343" t="n">
        <v>0.05</v>
      </c>
      <c r="U130" s="343" t="n">
        <v>0.05</v>
      </c>
      <c r="V130" s="343" t="n">
        <v>0.05</v>
      </c>
      <c r="W130" s="343" t="n">
        <v>0.05</v>
      </c>
      <c r="X130" s="344">
        <f>SUM(T130:W130)</f>
        <v/>
      </c>
      <c r="Y130" s="343" t="n">
        <v>0.05</v>
      </c>
      <c r="Z130" s="343" t="n">
        <v>0.05</v>
      </c>
      <c r="AA130" s="343" t="n">
        <v>0.05</v>
      </c>
      <c r="AB130" s="343" t="n">
        <v>0.05</v>
      </c>
      <c r="AC130" s="344">
        <f>SUM(Y130:AB130)</f>
        <v/>
      </c>
      <c r="AD130" s="343" t="n">
        <v>0.05</v>
      </c>
      <c r="AE130" s="343" t="n">
        <v>0.05</v>
      </c>
      <c r="AF130" s="343" t="n">
        <v>0.05</v>
      </c>
      <c r="AG130" s="343" t="n">
        <v>0.05</v>
      </c>
      <c r="AH130" s="344">
        <f>SUM(AD130:AG130)</f>
        <v/>
      </c>
      <c r="AI130" s="343" t="n">
        <v>0.05</v>
      </c>
      <c r="AJ130" s="343" t="n">
        <v>0.05</v>
      </c>
      <c r="AK130" s="343" t="n">
        <v>0.05</v>
      </c>
      <c r="AL130" s="343" t="n">
        <v>0.05</v>
      </c>
      <c r="AM130" s="344">
        <f>SUM(AI130:AL130)</f>
        <v/>
      </c>
      <c r="AN130" s="343" t="n">
        <v>0.05</v>
      </c>
      <c r="AO130" s="343" t="n">
        <v>0.05</v>
      </c>
      <c r="AP130" s="343" t="n">
        <v>0.05</v>
      </c>
      <c r="AQ130" s="343" t="n">
        <v>0.05</v>
      </c>
      <c r="AR130" s="344">
        <f>SUM(AN130:AQ130)</f>
        <v/>
      </c>
    </row>
    <row r="131" ht="13.5" customHeight="1" s="290">
      <c r="A131" s="345" t="n"/>
      <c r="B131" s="346" t="inlineStr">
        <is>
          <t xml:space="preserve">  Attrition Rate — Appraiser  — ★ ACTIVE</t>
        </is>
      </c>
      <c r="E131" s="361">
        <f>IF('01 Cover &amp; Control'!$C$19="Base",E128,IF('01 Cover &amp; Control'!$C$19="Upside",E129,E130))</f>
        <v/>
      </c>
      <c r="F131" s="361">
        <f>IF('01 Cover &amp; Control'!$C$19="Base",F128,IF('01 Cover &amp; Control'!$C$19="Upside",F129,F130))</f>
        <v/>
      </c>
      <c r="G131" s="361">
        <f>IF('01 Cover &amp; Control'!$C$19="Base",G128,IF('01 Cover &amp; Control'!$C$19="Upside",G129,G130))</f>
        <v/>
      </c>
      <c r="H131" s="361">
        <f>IF('01 Cover &amp; Control'!$C$19="Base",H128,IF('01 Cover &amp; Control'!$C$19="Upside",H129,H130))</f>
        <v/>
      </c>
      <c r="I131" s="347">
        <f>AVERAGE(E131:H131)</f>
        <v/>
      </c>
      <c r="J131" s="361">
        <f>IF('01 Cover &amp; Control'!$C$19="Base",J128,IF('01 Cover &amp; Control'!$C$19="Upside",J129,J130))</f>
        <v/>
      </c>
      <c r="K131" s="361">
        <f>IF('01 Cover &amp; Control'!$C$19="Base",K128,IF('01 Cover &amp; Control'!$C$19="Upside",K129,K130))</f>
        <v/>
      </c>
      <c r="L131" s="361">
        <f>IF('01 Cover &amp; Control'!$C$19="Base",L128,IF('01 Cover &amp; Control'!$C$19="Upside",L129,L130))</f>
        <v/>
      </c>
      <c r="M131" s="361">
        <f>IF('01 Cover &amp; Control'!$C$19="Base",M128,IF('01 Cover &amp; Control'!$C$19="Upside",M129,M130))</f>
        <v/>
      </c>
      <c r="N131" s="347">
        <f>AVERAGE(J131:M131)</f>
        <v/>
      </c>
      <c r="O131" s="361">
        <f>IF('01 Cover &amp; Control'!$C$19="Base",O128,IF('01 Cover &amp; Control'!$C$19="Upside",O129,O130))</f>
        <v/>
      </c>
      <c r="P131" s="361">
        <f>IF('01 Cover &amp; Control'!$C$19="Base",P128,IF('01 Cover &amp; Control'!$C$19="Upside",P129,P130))</f>
        <v/>
      </c>
      <c r="Q131" s="361">
        <f>IF('01 Cover &amp; Control'!$C$19="Base",Q128,IF('01 Cover &amp; Control'!$C$19="Upside",Q129,Q130))</f>
        <v/>
      </c>
      <c r="R131" s="361">
        <f>IF('01 Cover &amp; Control'!$C$19="Base",R128,IF('01 Cover &amp; Control'!$C$19="Upside",R129,R130))</f>
        <v/>
      </c>
      <c r="S131" s="347">
        <f>AVERAGE(O131:R131)</f>
        <v/>
      </c>
      <c r="T131" s="361">
        <f>IF('01 Cover &amp; Control'!$C$19="Base",T128,IF('01 Cover &amp; Control'!$C$19="Upside",T129,T130))</f>
        <v/>
      </c>
      <c r="U131" s="361">
        <f>IF('01 Cover &amp; Control'!$C$19="Base",U128,IF('01 Cover &amp; Control'!$C$19="Upside",U129,U130))</f>
        <v/>
      </c>
      <c r="V131" s="361">
        <f>IF('01 Cover &amp; Control'!$C$19="Base",V128,IF('01 Cover &amp; Control'!$C$19="Upside",V129,V130))</f>
        <v/>
      </c>
      <c r="W131" s="361">
        <f>IF('01 Cover &amp; Control'!$C$19="Base",W128,IF('01 Cover &amp; Control'!$C$19="Upside",W129,W130))</f>
        <v/>
      </c>
      <c r="X131" s="347">
        <f>AVERAGE(T131:W131)</f>
        <v/>
      </c>
      <c r="Y131" s="361">
        <f>IF('01 Cover &amp; Control'!$C$19="Base",Y128,IF('01 Cover &amp; Control'!$C$19="Upside",Y129,Y130))</f>
        <v/>
      </c>
      <c r="Z131" s="361">
        <f>IF('01 Cover &amp; Control'!$C$19="Base",Z128,IF('01 Cover &amp; Control'!$C$19="Upside",Z129,Z130))</f>
        <v/>
      </c>
      <c r="AA131" s="361">
        <f>IF('01 Cover &amp; Control'!$C$19="Base",AA128,IF('01 Cover &amp; Control'!$C$19="Upside",AA129,AA130))</f>
        <v/>
      </c>
      <c r="AB131" s="361">
        <f>IF('01 Cover &amp; Control'!$C$19="Base",AB128,IF('01 Cover &amp; Control'!$C$19="Upside",AB129,AB130))</f>
        <v/>
      </c>
      <c r="AC131" s="347">
        <f>AVERAGE(Y131:AB131)</f>
        <v/>
      </c>
      <c r="AD131" s="361">
        <f>IF('01 Cover &amp; Control'!$C$19="Base",AD128,IF('01 Cover &amp; Control'!$C$19="Upside",AD129,AD130))</f>
        <v/>
      </c>
      <c r="AE131" s="361">
        <f>IF('01 Cover &amp; Control'!$C$19="Base",AE128,IF('01 Cover &amp; Control'!$C$19="Upside",AE129,AE130))</f>
        <v/>
      </c>
      <c r="AF131" s="361">
        <f>IF('01 Cover &amp; Control'!$C$19="Base",AF128,IF('01 Cover &amp; Control'!$C$19="Upside",AF129,AF130))</f>
        <v/>
      </c>
      <c r="AG131" s="361">
        <f>IF('01 Cover &amp; Control'!$C$19="Base",AG128,IF('01 Cover &amp; Control'!$C$19="Upside",AG129,AG130))</f>
        <v/>
      </c>
      <c r="AH131" s="347">
        <f>AVERAGE(AD131:AG131)</f>
        <v/>
      </c>
      <c r="AI131" s="361">
        <f>IF('01 Cover &amp; Control'!$C$19="Base",AI128,IF('01 Cover &amp; Control'!$C$19="Upside",AI129,AI130))</f>
        <v/>
      </c>
      <c r="AJ131" s="361">
        <f>IF('01 Cover &amp; Control'!$C$19="Base",AJ128,IF('01 Cover &amp; Control'!$C$19="Upside",AJ129,AJ130))</f>
        <v/>
      </c>
      <c r="AK131" s="361">
        <f>IF('01 Cover &amp; Control'!$C$19="Base",AK128,IF('01 Cover &amp; Control'!$C$19="Upside",AK129,AK130))</f>
        <v/>
      </c>
      <c r="AL131" s="361">
        <f>IF('01 Cover &amp; Control'!$C$19="Base",AL128,IF('01 Cover &amp; Control'!$C$19="Upside",AL129,AL130))</f>
        <v/>
      </c>
      <c r="AM131" s="347">
        <f>AVERAGE(AI131:AL131)</f>
        <v/>
      </c>
      <c r="AN131" s="361">
        <f>IF('01 Cover &amp; Control'!$C$19="Base",AN128,IF('01 Cover &amp; Control'!$C$19="Upside",AN129,AN130))</f>
        <v/>
      </c>
      <c r="AO131" s="361">
        <f>IF('01 Cover &amp; Control'!$C$19="Base",AO128,IF('01 Cover &amp; Control'!$C$19="Upside",AO129,AO130))</f>
        <v/>
      </c>
      <c r="AP131" s="361">
        <f>IF('01 Cover &amp; Control'!$C$19="Base",AP128,IF('01 Cover &amp; Control'!$C$19="Upside",AP129,AP130))</f>
        <v/>
      </c>
      <c r="AQ131" s="361">
        <f>IF('01 Cover &amp; Control'!$C$19="Base",AQ128,IF('01 Cover &amp; Control'!$C$19="Upside",AQ129,AQ130))</f>
        <v/>
      </c>
      <c r="AR131" s="347">
        <f>AVERAGE(AN131:AQ131)</f>
        <v/>
      </c>
    </row>
    <row r="132" ht="3.75" customHeight="1" s="290"/>
    <row r="133" ht="13.5" customHeight="1" s="290">
      <c r="A133" s="339" t="n"/>
      <c r="B133" s="357" t="inlineStr">
        <is>
          <t xml:space="preserve">  Beginning HC — Analyst</t>
        </is>
      </c>
      <c r="C133" s="341" t="inlineStr">
        <is>
          <t>#</t>
        </is>
      </c>
      <c r="D133" s="342" t="inlineStr">
        <is>
          <t>Input: actuals for hist period; forecast = prior yr ending HC. Used directly in EPE formula.</t>
        </is>
      </c>
      <c r="E133" s="343" t="n">
        <v>7</v>
      </c>
      <c r="F133" s="343" t="n"/>
      <c r="G133" s="343" t="n"/>
      <c r="H133" s="343" t="n"/>
      <c r="I133" s="344">
        <f>SUM(E133:H133)</f>
        <v/>
      </c>
      <c r="J133" s="343" t="n"/>
      <c r="K133" s="343" t="n"/>
      <c r="L133" s="343" t="n"/>
      <c r="M133" s="343" t="n"/>
      <c r="N133" s="344">
        <f>SUM(J133:M133)</f>
        <v/>
      </c>
      <c r="O133" s="343" t="n"/>
      <c r="P133" s="343" t="n"/>
      <c r="Q133" s="343" t="n"/>
      <c r="R133" s="343" t="n"/>
      <c r="S133" s="344">
        <f>SUM(O133:R133)</f>
        <v/>
      </c>
      <c r="T133" s="343" t="n"/>
      <c r="U133" s="343" t="n"/>
      <c r="V133" s="343" t="n"/>
      <c r="W133" s="343" t="n"/>
      <c r="X133" s="344">
        <f>SUM(T133:W133)</f>
        <v/>
      </c>
      <c r="Y133" s="343" t="n"/>
      <c r="Z133" s="343" t="n"/>
      <c r="AA133" s="343" t="n"/>
      <c r="AB133" s="343" t="n"/>
      <c r="AC133" s="344">
        <f>SUM(Y133:AB133)</f>
        <v/>
      </c>
      <c r="AD133" s="343" t="n"/>
      <c r="AE133" s="343" t="n"/>
      <c r="AF133" s="343" t="n"/>
      <c r="AG133" s="343" t="n"/>
      <c r="AH133" s="344">
        <f>SUM(AD133:AG133)</f>
        <v/>
      </c>
      <c r="AI133" s="343" t="n"/>
      <c r="AJ133" s="343" t="n"/>
      <c r="AK133" s="343" t="n"/>
      <c r="AL133" s="343" t="n"/>
      <c r="AM133" s="344">
        <f>SUM(AI133:AL133)</f>
        <v/>
      </c>
      <c r="AN133" s="343" t="n"/>
      <c r="AO133" s="343" t="n"/>
      <c r="AP133" s="343" t="n"/>
      <c r="AQ133" s="343" t="n"/>
      <c r="AR133" s="344">
        <f>SUM(AN133:AQ133)</f>
        <v/>
      </c>
    </row>
    <row r="134" ht="13.5" customHeight="1" s="290">
      <c r="A134" s="339" t="n"/>
      <c r="B134" s="340" t="inlineStr">
        <is>
          <t xml:space="preserve">  Gross Hires / Qtr — Analyst  — Base</t>
        </is>
      </c>
      <c r="C134" s="341" t="inlineStr">
        <is>
          <t>#/qtr</t>
        </is>
      </c>
      <c r="D134" s="342" t="inlineStr">
        <is>
          <t>Scenario-keyed. Upside = faster hiring. Downside = slower/failed hiring.</t>
        </is>
      </c>
      <c r="E134" s="343" t="n">
        <v>1</v>
      </c>
      <c r="F134" s="343" t="n">
        <v>1</v>
      </c>
      <c r="G134" s="343" t="n">
        <v>1</v>
      </c>
      <c r="H134" s="343" t="n">
        <v>1</v>
      </c>
      <c r="I134" s="344">
        <f>SUM(E134:H134)</f>
        <v/>
      </c>
      <c r="J134" s="343" t="n">
        <v>1</v>
      </c>
      <c r="K134" s="343" t="n">
        <v>1</v>
      </c>
      <c r="L134" s="343" t="n">
        <v>1</v>
      </c>
      <c r="M134" s="343" t="n">
        <v>1</v>
      </c>
      <c r="N134" s="344">
        <f>SUM(J134:M134)</f>
        <v/>
      </c>
      <c r="O134" s="343" t="n">
        <v>1</v>
      </c>
      <c r="P134" s="343" t="n">
        <v>1</v>
      </c>
      <c r="Q134" s="343" t="n">
        <v>1</v>
      </c>
      <c r="R134" s="343" t="n">
        <v>1</v>
      </c>
      <c r="S134" s="344">
        <f>SUM(O134:R134)</f>
        <v/>
      </c>
      <c r="T134" s="343" t="n">
        <v>1</v>
      </c>
      <c r="U134" s="343" t="n">
        <v>1</v>
      </c>
      <c r="V134" s="343" t="n">
        <v>1</v>
      </c>
      <c r="W134" s="343" t="n">
        <v>1</v>
      </c>
      <c r="X134" s="344">
        <f>SUM(T134:W134)</f>
        <v/>
      </c>
      <c r="Y134" s="343" t="n">
        <v>1</v>
      </c>
      <c r="Z134" s="343" t="n">
        <v>1</v>
      </c>
      <c r="AA134" s="343" t="n">
        <v>1</v>
      </c>
      <c r="AB134" s="343" t="n">
        <v>1</v>
      </c>
      <c r="AC134" s="344">
        <f>SUM(Y134:AB134)</f>
        <v/>
      </c>
      <c r="AD134" s="343" t="n">
        <v>1</v>
      </c>
      <c r="AE134" s="343" t="n">
        <v>1</v>
      </c>
      <c r="AF134" s="343" t="n">
        <v>1</v>
      </c>
      <c r="AG134" s="343" t="n">
        <v>1</v>
      </c>
      <c r="AH134" s="344">
        <f>SUM(AD134:AG134)</f>
        <v/>
      </c>
      <c r="AI134" s="343" t="n">
        <v>1</v>
      </c>
      <c r="AJ134" s="343" t="n">
        <v>1</v>
      </c>
      <c r="AK134" s="343" t="n">
        <v>1</v>
      </c>
      <c r="AL134" s="343" t="n">
        <v>1</v>
      </c>
      <c r="AM134" s="344">
        <f>SUM(AI134:AL134)</f>
        <v/>
      </c>
      <c r="AN134" s="343" t="n">
        <v>1</v>
      </c>
      <c r="AO134" s="343" t="n">
        <v>1</v>
      </c>
      <c r="AP134" s="343" t="n">
        <v>1</v>
      </c>
      <c r="AQ134" s="343" t="n">
        <v>1</v>
      </c>
      <c r="AR134" s="344">
        <f>SUM(AN134:AQ134)</f>
        <v/>
      </c>
    </row>
    <row r="135" ht="13.5" customHeight="1" s="290">
      <c r="A135" s="339" t="n"/>
      <c r="B135" s="340" t="inlineStr">
        <is>
          <t xml:space="preserve">  Gross Hires / Qtr — Analyst  — Upside</t>
        </is>
      </c>
      <c r="E135" s="343" t="n">
        <v>1.1</v>
      </c>
      <c r="F135" s="343" t="n">
        <v>1.1</v>
      </c>
      <c r="G135" s="343" t="n">
        <v>1.1</v>
      </c>
      <c r="H135" s="343" t="n">
        <v>1.1</v>
      </c>
      <c r="I135" s="344">
        <f>SUM(E135:H135)</f>
        <v/>
      </c>
      <c r="J135" s="343" t="n">
        <v>1.1</v>
      </c>
      <c r="K135" s="343" t="n">
        <v>1.1</v>
      </c>
      <c r="L135" s="343" t="n">
        <v>1.1</v>
      </c>
      <c r="M135" s="343" t="n">
        <v>1.1</v>
      </c>
      <c r="N135" s="344">
        <f>SUM(J135:M135)</f>
        <v/>
      </c>
      <c r="O135" s="343" t="n">
        <v>1.1</v>
      </c>
      <c r="P135" s="343" t="n">
        <v>1.1</v>
      </c>
      <c r="Q135" s="343" t="n">
        <v>1.1</v>
      </c>
      <c r="R135" s="343" t="n">
        <v>1.1</v>
      </c>
      <c r="S135" s="344">
        <f>SUM(O135:R135)</f>
        <v/>
      </c>
      <c r="T135" s="343" t="n">
        <v>1.1</v>
      </c>
      <c r="U135" s="343" t="n">
        <v>1.1</v>
      </c>
      <c r="V135" s="343" t="n">
        <v>1.1</v>
      </c>
      <c r="W135" s="343" t="n">
        <v>1.1</v>
      </c>
      <c r="X135" s="344">
        <f>SUM(T135:W135)</f>
        <v/>
      </c>
      <c r="Y135" s="343" t="n">
        <v>1.1</v>
      </c>
      <c r="Z135" s="343" t="n">
        <v>1.1</v>
      </c>
      <c r="AA135" s="343" t="n">
        <v>1.1</v>
      </c>
      <c r="AB135" s="343" t="n">
        <v>1.1</v>
      </c>
      <c r="AC135" s="344">
        <f>SUM(Y135:AB135)</f>
        <v/>
      </c>
      <c r="AD135" s="343" t="n">
        <v>1.1</v>
      </c>
      <c r="AE135" s="343" t="n">
        <v>1.1</v>
      </c>
      <c r="AF135" s="343" t="n">
        <v>1.1</v>
      </c>
      <c r="AG135" s="343" t="n">
        <v>1.1</v>
      </c>
      <c r="AH135" s="344">
        <f>SUM(AD135:AG135)</f>
        <v/>
      </c>
      <c r="AI135" s="343" t="n">
        <v>1.1</v>
      </c>
      <c r="AJ135" s="343" t="n">
        <v>1.1</v>
      </c>
      <c r="AK135" s="343" t="n">
        <v>1.1</v>
      </c>
      <c r="AL135" s="343" t="n">
        <v>1.1</v>
      </c>
      <c r="AM135" s="344">
        <f>SUM(AI135:AL135)</f>
        <v/>
      </c>
      <c r="AN135" s="343" t="n">
        <v>1.1</v>
      </c>
      <c r="AO135" s="343" t="n">
        <v>1.1</v>
      </c>
      <c r="AP135" s="343" t="n">
        <v>1.1</v>
      </c>
      <c r="AQ135" s="343" t="n">
        <v>1.1</v>
      </c>
      <c r="AR135" s="344">
        <f>SUM(AN135:AQ135)</f>
        <v/>
      </c>
    </row>
    <row r="136" ht="13.5" customHeight="1" s="290">
      <c r="A136" s="339" t="n"/>
      <c r="B136" s="340" t="inlineStr">
        <is>
          <t xml:space="preserve">  Gross Hires / Qtr — Analyst  — Downside</t>
        </is>
      </c>
      <c r="E136" s="343" t="n">
        <v>0.85</v>
      </c>
      <c r="F136" s="343" t="n">
        <v>0.85</v>
      </c>
      <c r="G136" s="343" t="n">
        <v>0.85</v>
      </c>
      <c r="H136" s="343" t="n">
        <v>0.85</v>
      </c>
      <c r="I136" s="344">
        <f>SUM(E136:H136)</f>
        <v/>
      </c>
      <c r="J136" s="343" t="n">
        <v>0.85</v>
      </c>
      <c r="K136" s="343" t="n">
        <v>0.85</v>
      </c>
      <c r="L136" s="343" t="n">
        <v>0.85</v>
      </c>
      <c r="M136" s="343" t="n">
        <v>0.85</v>
      </c>
      <c r="N136" s="344">
        <f>SUM(J136:M136)</f>
        <v/>
      </c>
      <c r="O136" s="343" t="n">
        <v>0.85</v>
      </c>
      <c r="P136" s="343" t="n">
        <v>0.85</v>
      </c>
      <c r="Q136" s="343" t="n">
        <v>0.85</v>
      </c>
      <c r="R136" s="343" t="n">
        <v>0.85</v>
      </c>
      <c r="S136" s="344">
        <f>SUM(O136:R136)</f>
        <v/>
      </c>
      <c r="T136" s="343" t="n">
        <v>0.85</v>
      </c>
      <c r="U136" s="343" t="n">
        <v>0.85</v>
      </c>
      <c r="V136" s="343" t="n">
        <v>0.85</v>
      </c>
      <c r="W136" s="343" t="n">
        <v>0.85</v>
      </c>
      <c r="X136" s="344">
        <f>SUM(T136:W136)</f>
        <v/>
      </c>
      <c r="Y136" s="343" t="n">
        <v>0.85</v>
      </c>
      <c r="Z136" s="343" t="n">
        <v>0.85</v>
      </c>
      <c r="AA136" s="343" t="n">
        <v>0.85</v>
      </c>
      <c r="AB136" s="343" t="n">
        <v>0.85</v>
      </c>
      <c r="AC136" s="344">
        <f>SUM(Y136:AB136)</f>
        <v/>
      </c>
      <c r="AD136" s="343" t="n">
        <v>0.85</v>
      </c>
      <c r="AE136" s="343" t="n">
        <v>0.85</v>
      </c>
      <c r="AF136" s="343" t="n">
        <v>0.85</v>
      </c>
      <c r="AG136" s="343" t="n">
        <v>0.85</v>
      </c>
      <c r="AH136" s="344">
        <f>SUM(AD136:AG136)</f>
        <v/>
      </c>
      <c r="AI136" s="343" t="n">
        <v>0.85</v>
      </c>
      <c r="AJ136" s="343" t="n">
        <v>0.85</v>
      </c>
      <c r="AK136" s="343" t="n">
        <v>0.85</v>
      </c>
      <c r="AL136" s="343" t="n">
        <v>0.85</v>
      </c>
      <c r="AM136" s="344">
        <f>SUM(AI136:AL136)</f>
        <v/>
      </c>
      <c r="AN136" s="343" t="n">
        <v>0.85</v>
      </c>
      <c r="AO136" s="343" t="n">
        <v>0.85</v>
      </c>
      <c r="AP136" s="343" t="n">
        <v>0.85</v>
      </c>
      <c r="AQ136" s="343" t="n">
        <v>0.85</v>
      </c>
      <c r="AR136" s="344">
        <f>SUM(AN136:AQ136)</f>
        <v/>
      </c>
    </row>
    <row r="137" ht="13.5" customHeight="1" s="290">
      <c r="A137" s="345" t="n"/>
      <c r="B137" s="346" t="inlineStr">
        <is>
          <t xml:space="preserve">  Gross Hires / Qtr — Analyst  — ★ ACTIVE</t>
        </is>
      </c>
      <c r="E137" s="361">
        <f>IF('01 Cover &amp; Control'!$C$19="Base",E134,IF('01 Cover &amp; Control'!$C$19="Upside",E135,E136))</f>
        <v/>
      </c>
      <c r="F137" s="361">
        <f>IF('01 Cover &amp; Control'!$C$19="Base",F134,IF('01 Cover &amp; Control'!$C$19="Upside",F135,F136))</f>
        <v/>
      </c>
      <c r="G137" s="361">
        <f>IF('01 Cover &amp; Control'!$C$19="Base",G134,IF('01 Cover &amp; Control'!$C$19="Upside",G135,G136))</f>
        <v/>
      </c>
      <c r="H137" s="361">
        <f>IF('01 Cover &amp; Control'!$C$19="Base",H134,IF('01 Cover &amp; Control'!$C$19="Upside",H135,H136))</f>
        <v/>
      </c>
      <c r="I137" s="347">
        <f>SUM(E137:H137)</f>
        <v/>
      </c>
      <c r="J137" s="361">
        <f>IF('01 Cover &amp; Control'!$C$19="Base",J134,IF('01 Cover &amp; Control'!$C$19="Upside",J135,J136))</f>
        <v/>
      </c>
      <c r="K137" s="361">
        <f>IF('01 Cover &amp; Control'!$C$19="Base",K134,IF('01 Cover &amp; Control'!$C$19="Upside",K135,K136))</f>
        <v/>
      </c>
      <c r="L137" s="361">
        <f>IF('01 Cover &amp; Control'!$C$19="Base",L134,IF('01 Cover &amp; Control'!$C$19="Upside",L135,L136))</f>
        <v/>
      </c>
      <c r="M137" s="361">
        <f>IF('01 Cover &amp; Control'!$C$19="Base",M134,IF('01 Cover &amp; Control'!$C$19="Upside",M135,M136))</f>
        <v/>
      </c>
      <c r="N137" s="347">
        <f>SUM(J137:M137)</f>
        <v/>
      </c>
      <c r="O137" s="361">
        <f>IF('01 Cover &amp; Control'!$C$19="Base",O134,IF('01 Cover &amp; Control'!$C$19="Upside",O135,O136))</f>
        <v/>
      </c>
      <c r="P137" s="361">
        <f>IF('01 Cover &amp; Control'!$C$19="Base",P134,IF('01 Cover &amp; Control'!$C$19="Upside",P135,P136))</f>
        <v/>
      </c>
      <c r="Q137" s="361">
        <f>IF('01 Cover &amp; Control'!$C$19="Base",Q134,IF('01 Cover &amp; Control'!$C$19="Upside",Q135,Q136))</f>
        <v/>
      </c>
      <c r="R137" s="361">
        <f>IF('01 Cover &amp; Control'!$C$19="Base",R134,IF('01 Cover &amp; Control'!$C$19="Upside",R135,R136))</f>
        <v/>
      </c>
      <c r="S137" s="347">
        <f>SUM(O137:R137)</f>
        <v/>
      </c>
      <c r="T137" s="361">
        <f>IF('01 Cover &amp; Control'!$C$19="Base",T134,IF('01 Cover &amp; Control'!$C$19="Upside",T135,T136))</f>
        <v/>
      </c>
      <c r="U137" s="361">
        <f>IF('01 Cover &amp; Control'!$C$19="Base",U134,IF('01 Cover &amp; Control'!$C$19="Upside",U135,U136))</f>
        <v/>
      </c>
      <c r="V137" s="361">
        <f>IF('01 Cover &amp; Control'!$C$19="Base",V134,IF('01 Cover &amp; Control'!$C$19="Upside",V135,V136))</f>
        <v/>
      </c>
      <c r="W137" s="361">
        <f>IF('01 Cover &amp; Control'!$C$19="Base",W134,IF('01 Cover &amp; Control'!$C$19="Upside",W135,W136))</f>
        <v/>
      </c>
      <c r="X137" s="347">
        <f>SUM(T137:W137)</f>
        <v/>
      </c>
      <c r="Y137" s="361">
        <f>IF('01 Cover &amp; Control'!$C$19="Base",Y134,IF('01 Cover &amp; Control'!$C$19="Upside",Y135,Y136))</f>
        <v/>
      </c>
      <c r="Z137" s="361">
        <f>IF('01 Cover &amp; Control'!$C$19="Base",Z134,IF('01 Cover &amp; Control'!$C$19="Upside",Z135,Z136))</f>
        <v/>
      </c>
      <c r="AA137" s="361">
        <f>IF('01 Cover &amp; Control'!$C$19="Base",AA134,IF('01 Cover &amp; Control'!$C$19="Upside",AA135,AA136))</f>
        <v/>
      </c>
      <c r="AB137" s="361">
        <f>IF('01 Cover &amp; Control'!$C$19="Base",AB134,IF('01 Cover &amp; Control'!$C$19="Upside",AB135,AB136))</f>
        <v/>
      </c>
      <c r="AC137" s="347">
        <f>SUM(Y137:AB137)</f>
        <v/>
      </c>
      <c r="AD137" s="361">
        <f>IF('01 Cover &amp; Control'!$C$19="Base",AD134,IF('01 Cover &amp; Control'!$C$19="Upside",AD135,AD136))</f>
        <v/>
      </c>
      <c r="AE137" s="361">
        <f>IF('01 Cover &amp; Control'!$C$19="Base",AE134,IF('01 Cover &amp; Control'!$C$19="Upside",AE135,AE136))</f>
        <v/>
      </c>
      <c r="AF137" s="361">
        <f>IF('01 Cover &amp; Control'!$C$19="Base",AF134,IF('01 Cover &amp; Control'!$C$19="Upside",AF135,AF136))</f>
        <v/>
      </c>
      <c r="AG137" s="361">
        <f>IF('01 Cover &amp; Control'!$C$19="Base",AG134,IF('01 Cover &amp; Control'!$C$19="Upside",AG135,AG136))</f>
        <v/>
      </c>
      <c r="AH137" s="347">
        <f>SUM(AD137:AG137)</f>
        <v/>
      </c>
      <c r="AI137" s="361">
        <f>IF('01 Cover &amp; Control'!$C$19="Base",AI134,IF('01 Cover &amp; Control'!$C$19="Upside",AI135,AI136))</f>
        <v/>
      </c>
      <c r="AJ137" s="361">
        <f>IF('01 Cover &amp; Control'!$C$19="Base",AJ134,IF('01 Cover &amp; Control'!$C$19="Upside",AJ135,AJ136))</f>
        <v/>
      </c>
      <c r="AK137" s="361">
        <f>IF('01 Cover &amp; Control'!$C$19="Base",AK134,IF('01 Cover &amp; Control'!$C$19="Upside",AK135,AK136))</f>
        <v/>
      </c>
      <c r="AL137" s="361">
        <f>IF('01 Cover &amp; Control'!$C$19="Base",AL134,IF('01 Cover &amp; Control'!$C$19="Upside",AL135,AL136))</f>
        <v/>
      </c>
      <c r="AM137" s="347">
        <f>SUM(AI137:AL137)</f>
        <v/>
      </c>
      <c r="AN137" s="361">
        <f>IF('01 Cover &amp; Control'!$C$19="Base",AN134,IF('01 Cover &amp; Control'!$C$19="Upside",AN135,AN136))</f>
        <v/>
      </c>
      <c r="AO137" s="361">
        <f>IF('01 Cover &amp; Control'!$C$19="Base",AO134,IF('01 Cover &amp; Control'!$C$19="Upside",AO135,AO136))</f>
        <v/>
      </c>
      <c r="AP137" s="361">
        <f>IF('01 Cover &amp; Control'!$C$19="Base",AP134,IF('01 Cover &amp; Control'!$C$19="Upside",AP135,AP136))</f>
        <v/>
      </c>
      <c r="AQ137" s="361">
        <f>IF('01 Cover &amp; Control'!$C$19="Base",AQ134,IF('01 Cover &amp; Control'!$C$19="Upside",AQ135,AQ136))</f>
        <v/>
      </c>
      <c r="AR137" s="347">
        <f>SUM(AN137:AQ137)</f>
        <v/>
      </c>
    </row>
    <row r="138" ht="13.5" customHeight="1" s="290">
      <c r="A138" s="339" t="n"/>
      <c r="B138" s="340" t="inlineStr">
        <is>
          <t xml:space="preserve">  Attrition Rate — Analyst  — Base</t>
        </is>
      </c>
      <c r="C138" s="341" t="inlineStr">
        <is>
          <t>%/qtr</t>
        </is>
      </c>
      <c r="D138" s="342" t="inlineStr">
        <is>
          <t>Quarterly attrition rate applied to Beginning HC. Upside = lower attrition (strong market). Downside = higher (competitors poach).</t>
        </is>
      </c>
      <c r="E138" s="343" t="n">
        <v>0.055</v>
      </c>
      <c r="F138" s="343" t="n">
        <v>0.055</v>
      </c>
      <c r="G138" s="343" t="n">
        <v>0.055</v>
      </c>
      <c r="H138" s="343" t="n">
        <v>0.055</v>
      </c>
      <c r="I138" s="344">
        <f>SUM(E138:H138)</f>
        <v/>
      </c>
      <c r="J138" s="343" t="n">
        <v>0.055</v>
      </c>
      <c r="K138" s="343" t="n">
        <v>0.055</v>
      </c>
      <c r="L138" s="343" t="n">
        <v>0.055</v>
      </c>
      <c r="M138" s="343" t="n">
        <v>0.055</v>
      </c>
      <c r="N138" s="344">
        <f>SUM(J138:M138)</f>
        <v/>
      </c>
      <c r="O138" s="343" t="n">
        <v>0.055</v>
      </c>
      <c r="P138" s="343" t="n">
        <v>0.055</v>
      </c>
      <c r="Q138" s="343" t="n">
        <v>0.055</v>
      </c>
      <c r="R138" s="343" t="n">
        <v>0.055</v>
      </c>
      <c r="S138" s="344">
        <f>SUM(O138:R138)</f>
        <v/>
      </c>
      <c r="T138" s="343" t="n">
        <v>0.055</v>
      </c>
      <c r="U138" s="343" t="n">
        <v>0.055</v>
      </c>
      <c r="V138" s="343" t="n">
        <v>0.055</v>
      </c>
      <c r="W138" s="343" t="n">
        <v>0.055</v>
      </c>
      <c r="X138" s="344">
        <f>SUM(T138:W138)</f>
        <v/>
      </c>
      <c r="Y138" s="343" t="n">
        <v>0.055</v>
      </c>
      <c r="Z138" s="343" t="n">
        <v>0.055</v>
      </c>
      <c r="AA138" s="343" t="n">
        <v>0.055</v>
      </c>
      <c r="AB138" s="343" t="n">
        <v>0.055</v>
      </c>
      <c r="AC138" s="344">
        <f>SUM(Y138:AB138)</f>
        <v/>
      </c>
      <c r="AD138" s="343" t="n">
        <v>0.055</v>
      </c>
      <c r="AE138" s="343" t="n">
        <v>0.055</v>
      </c>
      <c r="AF138" s="343" t="n">
        <v>0.055</v>
      </c>
      <c r="AG138" s="343" t="n">
        <v>0.055</v>
      </c>
      <c r="AH138" s="344">
        <f>SUM(AD138:AG138)</f>
        <v/>
      </c>
      <c r="AI138" s="343" t="n">
        <v>0.055</v>
      </c>
      <c r="AJ138" s="343" t="n">
        <v>0.055</v>
      </c>
      <c r="AK138" s="343" t="n">
        <v>0.055</v>
      </c>
      <c r="AL138" s="343" t="n">
        <v>0.055</v>
      </c>
      <c r="AM138" s="344">
        <f>SUM(AI138:AL138)</f>
        <v/>
      </c>
      <c r="AN138" s="343" t="n">
        <v>0.055</v>
      </c>
      <c r="AO138" s="343" t="n">
        <v>0.055</v>
      </c>
      <c r="AP138" s="343" t="n">
        <v>0.055</v>
      </c>
      <c r="AQ138" s="343" t="n">
        <v>0.055</v>
      </c>
      <c r="AR138" s="344">
        <f>SUM(AN138:AQ138)</f>
        <v/>
      </c>
    </row>
    <row r="139" ht="13.5" customHeight="1" s="290">
      <c r="A139" s="339" t="n"/>
      <c r="B139" s="340" t="inlineStr">
        <is>
          <t xml:space="preserve">  Attrition Rate — Analyst  — Upside</t>
        </is>
      </c>
      <c r="E139" s="343" t="n">
        <v>0.048</v>
      </c>
      <c r="F139" s="343" t="n">
        <v>0.048</v>
      </c>
      <c r="G139" s="343" t="n">
        <v>0.048</v>
      </c>
      <c r="H139" s="343" t="n">
        <v>0.048</v>
      </c>
      <c r="I139" s="344">
        <f>SUM(E139:H139)</f>
        <v/>
      </c>
      <c r="J139" s="343" t="n">
        <v>0.048</v>
      </c>
      <c r="K139" s="343" t="n">
        <v>0.048</v>
      </c>
      <c r="L139" s="343" t="n">
        <v>0.048</v>
      </c>
      <c r="M139" s="343" t="n">
        <v>0.048</v>
      </c>
      <c r="N139" s="344">
        <f>SUM(J139:M139)</f>
        <v/>
      </c>
      <c r="O139" s="343" t="n">
        <v>0.048</v>
      </c>
      <c r="P139" s="343" t="n">
        <v>0.048</v>
      </c>
      <c r="Q139" s="343" t="n">
        <v>0.048</v>
      </c>
      <c r="R139" s="343" t="n">
        <v>0.048</v>
      </c>
      <c r="S139" s="344">
        <f>SUM(O139:R139)</f>
        <v/>
      </c>
      <c r="T139" s="343" t="n">
        <v>0.048</v>
      </c>
      <c r="U139" s="343" t="n">
        <v>0.048</v>
      </c>
      <c r="V139" s="343" t="n">
        <v>0.048</v>
      </c>
      <c r="W139" s="343" t="n">
        <v>0.048</v>
      </c>
      <c r="X139" s="344">
        <f>SUM(T139:W139)</f>
        <v/>
      </c>
      <c r="Y139" s="343" t="n">
        <v>0.048</v>
      </c>
      <c r="Z139" s="343" t="n">
        <v>0.048</v>
      </c>
      <c r="AA139" s="343" t="n">
        <v>0.048</v>
      </c>
      <c r="AB139" s="343" t="n">
        <v>0.048</v>
      </c>
      <c r="AC139" s="344">
        <f>SUM(Y139:AB139)</f>
        <v/>
      </c>
      <c r="AD139" s="343" t="n">
        <v>0.048</v>
      </c>
      <c r="AE139" s="343" t="n">
        <v>0.048</v>
      </c>
      <c r="AF139" s="343" t="n">
        <v>0.048</v>
      </c>
      <c r="AG139" s="343" t="n">
        <v>0.048</v>
      </c>
      <c r="AH139" s="344">
        <f>SUM(AD139:AG139)</f>
        <v/>
      </c>
      <c r="AI139" s="343" t="n">
        <v>0.048</v>
      </c>
      <c r="AJ139" s="343" t="n">
        <v>0.048</v>
      </c>
      <c r="AK139" s="343" t="n">
        <v>0.048</v>
      </c>
      <c r="AL139" s="343" t="n">
        <v>0.048</v>
      </c>
      <c r="AM139" s="344">
        <f>SUM(AI139:AL139)</f>
        <v/>
      </c>
      <c r="AN139" s="343" t="n">
        <v>0.048</v>
      </c>
      <c r="AO139" s="343" t="n">
        <v>0.048</v>
      </c>
      <c r="AP139" s="343" t="n">
        <v>0.048</v>
      </c>
      <c r="AQ139" s="343" t="n">
        <v>0.048</v>
      </c>
      <c r="AR139" s="344">
        <f>SUM(AN139:AQ139)</f>
        <v/>
      </c>
    </row>
    <row r="140" ht="13.5" customHeight="1" s="290">
      <c r="A140" s="339" t="n"/>
      <c r="B140" s="340" t="inlineStr">
        <is>
          <t xml:space="preserve">  Attrition Rate — Analyst  — Downside</t>
        </is>
      </c>
      <c r="E140" s="343" t="n">
        <v>0.075</v>
      </c>
      <c r="F140" s="343" t="n">
        <v>0.075</v>
      </c>
      <c r="G140" s="343" t="n">
        <v>0.075</v>
      </c>
      <c r="H140" s="343" t="n">
        <v>0.075</v>
      </c>
      <c r="I140" s="344">
        <f>SUM(E140:H140)</f>
        <v/>
      </c>
      <c r="J140" s="343" t="n">
        <v>0.075</v>
      </c>
      <c r="K140" s="343" t="n">
        <v>0.075</v>
      </c>
      <c r="L140" s="343" t="n">
        <v>0.075</v>
      </c>
      <c r="M140" s="343" t="n">
        <v>0.075</v>
      </c>
      <c r="N140" s="344">
        <f>SUM(J140:M140)</f>
        <v/>
      </c>
      <c r="O140" s="343" t="n">
        <v>0.075</v>
      </c>
      <c r="P140" s="343" t="n">
        <v>0.075</v>
      </c>
      <c r="Q140" s="343" t="n">
        <v>0.075</v>
      </c>
      <c r="R140" s="343" t="n">
        <v>0.075</v>
      </c>
      <c r="S140" s="344">
        <f>SUM(O140:R140)</f>
        <v/>
      </c>
      <c r="T140" s="343" t="n">
        <v>0.075</v>
      </c>
      <c r="U140" s="343" t="n">
        <v>0.075</v>
      </c>
      <c r="V140" s="343" t="n">
        <v>0.075</v>
      </c>
      <c r="W140" s="343" t="n">
        <v>0.075</v>
      </c>
      <c r="X140" s="344">
        <f>SUM(T140:W140)</f>
        <v/>
      </c>
      <c r="Y140" s="343" t="n">
        <v>0.075</v>
      </c>
      <c r="Z140" s="343" t="n">
        <v>0.075</v>
      </c>
      <c r="AA140" s="343" t="n">
        <v>0.075</v>
      </c>
      <c r="AB140" s="343" t="n">
        <v>0.075</v>
      </c>
      <c r="AC140" s="344">
        <f>SUM(Y140:AB140)</f>
        <v/>
      </c>
      <c r="AD140" s="343" t="n">
        <v>0.075</v>
      </c>
      <c r="AE140" s="343" t="n">
        <v>0.075</v>
      </c>
      <c r="AF140" s="343" t="n">
        <v>0.075</v>
      </c>
      <c r="AG140" s="343" t="n">
        <v>0.075</v>
      </c>
      <c r="AH140" s="344">
        <f>SUM(AD140:AG140)</f>
        <v/>
      </c>
      <c r="AI140" s="343" t="n">
        <v>0.075</v>
      </c>
      <c r="AJ140" s="343" t="n">
        <v>0.075</v>
      </c>
      <c r="AK140" s="343" t="n">
        <v>0.075</v>
      </c>
      <c r="AL140" s="343" t="n">
        <v>0.075</v>
      </c>
      <c r="AM140" s="344">
        <f>SUM(AI140:AL140)</f>
        <v/>
      </c>
      <c r="AN140" s="343" t="n">
        <v>0.075</v>
      </c>
      <c r="AO140" s="343" t="n">
        <v>0.075</v>
      </c>
      <c r="AP140" s="343" t="n">
        <v>0.075</v>
      </c>
      <c r="AQ140" s="343" t="n">
        <v>0.075</v>
      </c>
      <c r="AR140" s="344">
        <f>SUM(AN140:AQ140)</f>
        <v/>
      </c>
    </row>
    <row r="141" ht="13.5" customHeight="1" s="290">
      <c r="A141" s="345" t="n"/>
      <c r="B141" s="346" t="inlineStr">
        <is>
          <t xml:space="preserve">  Attrition Rate — Analyst  — ★ ACTIVE</t>
        </is>
      </c>
      <c r="E141" s="361">
        <f>IF('01 Cover &amp; Control'!$C$19="Base",E138,IF('01 Cover &amp; Control'!$C$19="Upside",E139,E140))</f>
        <v/>
      </c>
      <c r="F141" s="361">
        <f>IF('01 Cover &amp; Control'!$C$19="Base",F138,IF('01 Cover &amp; Control'!$C$19="Upside",F139,F140))</f>
        <v/>
      </c>
      <c r="G141" s="361">
        <f>IF('01 Cover &amp; Control'!$C$19="Base",G138,IF('01 Cover &amp; Control'!$C$19="Upside",G139,G140))</f>
        <v/>
      </c>
      <c r="H141" s="361">
        <f>IF('01 Cover &amp; Control'!$C$19="Base",H138,IF('01 Cover &amp; Control'!$C$19="Upside",H139,H140))</f>
        <v/>
      </c>
      <c r="I141" s="347">
        <f>AVERAGE(E141:H141)</f>
        <v/>
      </c>
      <c r="J141" s="361">
        <f>IF('01 Cover &amp; Control'!$C$19="Base",J138,IF('01 Cover &amp; Control'!$C$19="Upside",J139,J140))</f>
        <v/>
      </c>
      <c r="K141" s="361">
        <f>IF('01 Cover &amp; Control'!$C$19="Base",K138,IF('01 Cover &amp; Control'!$C$19="Upside",K139,K140))</f>
        <v/>
      </c>
      <c r="L141" s="361">
        <f>IF('01 Cover &amp; Control'!$C$19="Base",L138,IF('01 Cover &amp; Control'!$C$19="Upside",L139,L140))</f>
        <v/>
      </c>
      <c r="M141" s="361">
        <f>IF('01 Cover &amp; Control'!$C$19="Base",M138,IF('01 Cover &amp; Control'!$C$19="Upside",M139,M140))</f>
        <v/>
      </c>
      <c r="N141" s="347">
        <f>AVERAGE(J141:M141)</f>
        <v/>
      </c>
      <c r="O141" s="361">
        <f>IF('01 Cover &amp; Control'!$C$19="Base",O138,IF('01 Cover &amp; Control'!$C$19="Upside",O139,O140))</f>
        <v/>
      </c>
      <c r="P141" s="361">
        <f>IF('01 Cover &amp; Control'!$C$19="Base",P138,IF('01 Cover &amp; Control'!$C$19="Upside",P139,P140))</f>
        <v/>
      </c>
      <c r="Q141" s="361">
        <f>IF('01 Cover &amp; Control'!$C$19="Base",Q138,IF('01 Cover &amp; Control'!$C$19="Upside",Q139,Q140))</f>
        <v/>
      </c>
      <c r="R141" s="361">
        <f>IF('01 Cover &amp; Control'!$C$19="Base",R138,IF('01 Cover &amp; Control'!$C$19="Upside",R139,R140))</f>
        <v/>
      </c>
      <c r="S141" s="347">
        <f>AVERAGE(O141:R141)</f>
        <v/>
      </c>
      <c r="T141" s="361">
        <f>IF('01 Cover &amp; Control'!$C$19="Base",T138,IF('01 Cover &amp; Control'!$C$19="Upside",T139,T140))</f>
        <v/>
      </c>
      <c r="U141" s="361">
        <f>IF('01 Cover &amp; Control'!$C$19="Base",U138,IF('01 Cover &amp; Control'!$C$19="Upside",U139,U140))</f>
        <v/>
      </c>
      <c r="V141" s="361">
        <f>IF('01 Cover &amp; Control'!$C$19="Base",V138,IF('01 Cover &amp; Control'!$C$19="Upside",V139,V140))</f>
        <v/>
      </c>
      <c r="W141" s="361">
        <f>IF('01 Cover &amp; Control'!$C$19="Base",W138,IF('01 Cover &amp; Control'!$C$19="Upside",W139,W140))</f>
        <v/>
      </c>
      <c r="X141" s="347">
        <f>AVERAGE(T141:W141)</f>
        <v/>
      </c>
      <c r="Y141" s="361">
        <f>IF('01 Cover &amp; Control'!$C$19="Base",Y138,IF('01 Cover &amp; Control'!$C$19="Upside",Y139,Y140))</f>
        <v/>
      </c>
      <c r="Z141" s="361">
        <f>IF('01 Cover &amp; Control'!$C$19="Base",Z138,IF('01 Cover &amp; Control'!$C$19="Upside",Z139,Z140))</f>
        <v/>
      </c>
      <c r="AA141" s="361">
        <f>IF('01 Cover &amp; Control'!$C$19="Base",AA138,IF('01 Cover &amp; Control'!$C$19="Upside",AA139,AA140))</f>
        <v/>
      </c>
      <c r="AB141" s="361">
        <f>IF('01 Cover &amp; Control'!$C$19="Base",AB138,IF('01 Cover &amp; Control'!$C$19="Upside",AB139,AB140))</f>
        <v/>
      </c>
      <c r="AC141" s="347">
        <f>AVERAGE(Y141:AB141)</f>
        <v/>
      </c>
      <c r="AD141" s="361">
        <f>IF('01 Cover &amp; Control'!$C$19="Base",AD138,IF('01 Cover &amp; Control'!$C$19="Upside",AD139,AD140))</f>
        <v/>
      </c>
      <c r="AE141" s="361">
        <f>IF('01 Cover &amp; Control'!$C$19="Base",AE138,IF('01 Cover &amp; Control'!$C$19="Upside",AE139,AE140))</f>
        <v/>
      </c>
      <c r="AF141" s="361">
        <f>IF('01 Cover &amp; Control'!$C$19="Base",AF138,IF('01 Cover &amp; Control'!$C$19="Upside",AF139,AF140))</f>
        <v/>
      </c>
      <c r="AG141" s="361">
        <f>IF('01 Cover &amp; Control'!$C$19="Base",AG138,IF('01 Cover &amp; Control'!$C$19="Upside",AG139,AG140))</f>
        <v/>
      </c>
      <c r="AH141" s="347">
        <f>AVERAGE(AD141:AG141)</f>
        <v/>
      </c>
      <c r="AI141" s="361">
        <f>IF('01 Cover &amp; Control'!$C$19="Base",AI138,IF('01 Cover &amp; Control'!$C$19="Upside",AI139,AI140))</f>
        <v/>
      </c>
      <c r="AJ141" s="361">
        <f>IF('01 Cover &amp; Control'!$C$19="Base",AJ138,IF('01 Cover &amp; Control'!$C$19="Upside",AJ139,AJ140))</f>
        <v/>
      </c>
      <c r="AK141" s="361">
        <f>IF('01 Cover &amp; Control'!$C$19="Base",AK138,IF('01 Cover &amp; Control'!$C$19="Upside",AK139,AK140))</f>
        <v/>
      </c>
      <c r="AL141" s="361">
        <f>IF('01 Cover &amp; Control'!$C$19="Base",AL138,IF('01 Cover &amp; Control'!$C$19="Upside",AL139,AL140))</f>
        <v/>
      </c>
      <c r="AM141" s="347">
        <f>AVERAGE(AI141:AL141)</f>
        <v/>
      </c>
      <c r="AN141" s="361">
        <f>IF('01 Cover &amp; Control'!$C$19="Base",AN138,IF('01 Cover &amp; Control'!$C$19="Upside",AN139,AN140))</f>
        <v/>
      </c>
      <c r="AO141" s="361">
        <f>IF('01 Cover &amp; Control'!$C$19="Base",AO138,IF('01 Cover &amp; Control'!$C$19="Upside",AO139,AO140))</f>
        <v/>
      </c>
      <c r="AP141" s="361">
        <f>IF('01 Cover &amp; Control'!$C$19="Base",AP138,IF('01 Cover &amp; Control'!$C$19="Upside",AP139,AP140))</f>
        <v/>
      </c>
      <c r="AQ141" s="361">
        <f>IF('01 Cover &amp; Control'!$C$19="Base",AQ138,IF('01 Cover &amp; Control'!$C$19="Upside",AQ139,AQ140))</f>
        <v/>
      </c>
      <c r="AR141" s="347">
        <f>AVERAGE(AN141:AQ141)</f>
        <v/>
      </c>
    </row>
    <row r="142" ht="3.75" customHeight="1" s="290"/>
    <row r="143" ht="3" customHeight="1" s="290">
      <c r="A143" s="293" t="n"/>
    </row>
    <row r="144" ht="3.75" customHeight="1" s="290"/>
    <row r="145" ht="3.75" customHeight="1" s="290"/>
    <row r="146" ht="15.75" customHeight="1" s="290">
      <c r="A146" s="338" t="inlineStr">
        <is>
          <t xml:space="preserve">  SECTION B — RAMP FACTORS &amp; BOOK LOSS  (Static structural inputs — not scenario-keyed, not time-series)</t>
        </is>
      </c>
    </row>
    <row r="147" ht="3.75" customHeight="1" s="290"/>
    <row r="148" ht="13.5" customHeight="1" s="290">
      <c r="A148" s="348" t="inlineStr">
        <is>
          <t xml:space="preserve">  Ramp Factor: fraction of mature productivity delivered by a new hire in their first year (Yr 1) and second year (Yr 2). Applied in Producer Engine: EPE contribution of new hires = Hires × Ramp Factor. Rainmakers ramp faster (bring existing book). Book Loss Factor: fraction of a departing producer's LTM GCI assumed lost to the firm when they leave. Advisory has NO book loss (salaried/institutional relationships).</t>
        </is>
      </c>
    </row>
    <row r="149" ht="3.75" customHeight="1" s="290"/>
    <row r="150" ht="15" customHeight="1" s="290">
      <c r="A150" s="307" t="inlineStr">
        <is>
          <t xml:space="preserve">    B1 — RAMP FACTORS  (Static table — tiers in columns, not time-series)</t>
        </is>
      </c>
    </row>
    <row r="151" ht="3" customHeight="1" s="290"/>
    <row r="152" ht="15" customHeight="1" s="290">
      <c r="B152" s="307" t="inlineStr">
        <is>
          <t xml:space="preserve">  Ramp Period</t>
        </is>
      </c>
      <c r="C152" s="308" t="inlineStr">
        <is>
          <t>Units</t>
        </is>
      </c>
      <c r="D152" s="307" t="inlineStr">
        <is>
          <t>Note</t>
        </is>
      </c>
      <c r="E152" s="362" t="inlineStr">
        <is>
          <t>Rainmaker / Senior</t>
        </is>
      </c>
      <c r="F152" s="362" t="inlineStr">
        <is>
          <t>Core / Appraiser</t>
        </is>
      </c>
      <c r="G152" s="362" t="inlineStr">
        <is>
          <t>Junior / Analyst</t>
        </is>
      </c>
    </row>
    <row r="153" ht="15" customHeight="1" s="290">
      <c r="B153" s="357" t="inlineStr">
        <is>
          <t xml:space="preserve">  Yr 1 Ramp Factor (first 4 quarters)</t>
        </is>
      </c>
      <c r="C153" s="341" t="inlineStr">
        <is>
          <t>% of mature</t>
        </is>
      </c>
      <c r="D153" s="342" t="inlineStr">
        <is>
          <t>Applied to all hires in current &amp; prior 3 quarters.</t>
        </is>
      </c>
      <c r="E153" s="343" t="n">
        <v>0.7</v>
      </c>
      <c r="F153" s="343" t="n">
        <v>0.5</v>
      </c>
      <c r="G153" s="343" t="n">
        <v>0.3</v>
      </c>
    </row>
    <row r="154" ht="15" customHeight="1" s="290">
      <c r="B154" s="363" t="inlineStr">
        <is>
          <t xml:space="preserve">  [V2 Ref]  Yr 2 Ramp Factor (quarters 5–8)</t>
        </is>
      </c>
      <c r="C154" s="341" t="inlineStr">
        <is>
          <t>% of mature</t>
        </is>
      </c>
      <c r="D154" s="350" t="inlineStr">
        <is>
          <t>V2 REFERENCE ONLY: Yr2 ramp factor not applied in V1 simplified EPE formula. V1 uses Yr1 ramp for all periods.</t>
        </is>
      </c>
      <c r="E154" s="343" t="n">
        <v>0.9</v>
      </c>
      <c r="F154" s="343" t="n">
        <v>0.8</v>
      </c>
      <c r="G154" s="343" t="n">
        <v>0.65</v>
      </c>
    </row>
    <row r="155" ht="15" customHeight="1" s="290">
      <c r="B155" s="357" t="inlineStr">
        <is>
          <t xml:space="preserve">  Yr 3+ At Full Productivity</t>
        </is>
      </c>
      <c r="C155" s="341" t="inlineStr">
        <is>
          <t>% of mature</t>
        </is>
      </c>
      <c r="D155" s="342" t="inlineStr">
        <is>
          <t>Fixed at 100% — no input needed (formula = 1.0).</t>
        </is>
      </c>
      <c r="E155" s="344" t="n">
        <v>1</v>
      </c>
      <c r="F155" s="344" t="n">
        <v>1</v>
      </c>
      <c r="G155" s="344" t="n">
        <v>1</v>
      </c>
    </row>
    <row r="156" ht="4.5" customHeight="1" s="290"/>
    <row r="157" ht="15" customHeight="1" s="290">
      <c r="A157" s="307" t="inlineStr">
        <is>
          <t xml:space="preserve">    B2 — BOOK LOSS FACTORS  (Static table — lines in rows, tiers in columns)</t>
        </is>
      </c>
    </row>
    <row r="158" ht="3" customHeight="1" s="290"/>
    <row r="159" ht="13.5" customHeight="1" s="290">
      <c r="A159" s="348" t="inlineStr">
        <is>
          <t xml:space="preserve">  Book Loss Factor: when a producer departs, this % of their estimated LTM GCI is assumed lost to the firm (book walks with them). Applied in Revenue Engine as a quarterly drag. Advisory = 0% (institutional relationships — client stays with firm, not individual).</t>
        </is>
      </c>
    </row>
    <row r="160" ht="3" customHeight="1" s="290"/>
    <row r="161" ht="15" customHeight="1" s="290">
      <c r="B161" s="307" t="inlineStr">
        <is>
          <t xml:space="preserve">  Business Line</t>
        </is>
      </c>
      <c r="C161" s="308" t="inlineStr">
        <is>
          <t>Units</t>
        </is>
      </c>
      <c r="E161" s="362" t="inlineStr">
        <is>
          <t>Rainmaker / Senior</t>
        </is>
      </c>
      <c r="F161" s="362" t="inlineStr">
        <is>
          <t>Core / Appraiser</t>
        </is>
      </c>
      <c r="G161" s="362" t="inlineStr">
        <is>
          <t>Junior / Analyst</t>
        </is>
      </c>
    </row>
    <row r="162" ht="15" customHeight="1" s="290">
      <c r="B162" s="357" t="inlineStr">
        <is>
          <t xml:space="preserve">  Book Loss — Leasing</t>
        </is>
      </c>
      <c r="C162" s="341" t="inlineStr">
        <is>
          <t>%</t>
        </is>
      </c>
      <c r="E162" s="343" t="n">
        <v>0.25</v>
      </c>
      <c r="F162" s="343" t="n">
        <v>0.25</v>
      </c>
      <c r="G162" s="343" t="n">
        <v>0.25</v>
      </c>
    </row>
    <row r="163" ht="15" customHeight="1" s="290">
      <c r="B163" s="364" t="inlineStr">
        <is>
          <t xml:space="preserve">  Book Loss — Investment Sales</t>
        </is>
      </c>
      <c r="C163" s="341" t="inlineStr">
        <is>
          <t>%</t>
        </is>
      </c>
      <c r="E163" s="343" t="n">
        <v>0.25</v>
      </c>
      <c r="F163" s="343" t="n">
        <v>0.25</v>
      </c>
      <c r="G163" s="343" t="n">
        <v>0.25</v>
      </c>
    </row>
    <row r="164" ht="15" customHeight="1" s="290">
      <c r="B164" s="357" t="inlineStr">
        <is>
          <t xml:space="preserve">  Book Loss — Debt &amp; Equity</t>
        </is>
      </c>
      <c r="C164" s="341" t="inlineStr">
        <is>
          <t>%</t>
        </is>
      </c>
      <c r="E164" s="343" t="n">
        <v>0.25</v>
      </c>
      <c r="F164" s="343" t="n">
        <v>0.25</v>
      </c>
      <c r="G164" s="343" t="n">
        <v>0.25</v>
      </c>
    </row>
    <row r="165" ht="15" customHeight="1" s="290">
      <c r="B165" s="364" t="inlineStr">
        <is>
          <t xml:space="preserve">  Book Loss — Val &amp; Advisory (= 0% — no book loss)</t>
        </is>
      </c>
      <c r="C165" s="341" t="inlineStr">
        <is>
          <t>%</t>
        </is>
      </c>
      <c r="E165" s="365" t="n">
        <v>0</v>
      </c>
      <c r="F165" s="365" t="n">
        <v>0</v>
      </c>
      <c r="G165" s="365" t="n">
        <v>0</v>
      </c>
    </row>
    <row r="166" ht="4.5" customHeight="1" s="290"/>
    <row r="167" ht="3" customHeight="1" s="290">
      <c r="A167" s="293" t="n"/>
    </row>
    <row r="168" ht="4.5" customHeight="1" s="290"/>
    <row r="169" ht="15.75" customHeight="1" s="290">
      <c r="A169" s="338" t="inlineStr">
        <is>
          <t xml:space="preserve">  SECTION C — PRODUCER PRODUCTIVITY  (Mature productivity = fully-ramped output per EPE)</t>
        </is>
      </c>
    </row>
    <row r="170" ht="3.75" customHeight="1" s="290"/>
    <row r="171" ht="15" customHeight="1" s="290">
      <c r="A171" s="307" t="inlineStr">
        <is>
          <t xml:space="preserve">    C1 — LEASING PRODUCTIVITY</t>
        </is>
      </c>
    </row>
    <row r="172" ht="3" customHeight="1" s="290"/>
    <row r="173" ht="13.5" customHeight="1" s="290">
      <c r="A173" s="339" t="n"/>
      <c r="B173" s="340" t="inlineStr">
        <is>
          <t xml:space="preserve">  Deals / EPE / Qtr — Rainmaker  — Base</t>
        </is>
      </c>
      <c r="C173" s="341" t="inlineStr">
        <is>
          <t>#/qtr</t>
        </is>
      </c>
      <c r="D173" s="342" t="inlineStr">
        <is>
          <t>Scenario-keyed. Downside = fewer deals per producer (slower market).</t>
        </is>
      </c>
      <c r="E173" s="343" t="n">
        <v>6</v>
      </c>
      <c r="F173" s="343" t="n">
        <v>6</v>
      </c>
      <c r="G173" s="343" t="n">
        <v>6</v>
      </c>
      <c r="H173" s="343" t="n">
        <v>6</v>
      </c>
      <c r="I173" s="344">
        <f>SUM(E173:H173)</f>
        <v/>
      </c>
      <c r="J173" s="343" t="n">
        <v>6</v>
      </c>
      <c r="K173" s="343" t="n">
        <v>6</v>
      </c>
      <c r="L173" s="343" t="n">
        <v>6</v>
      </c>
      <c r="M173" s="343" t="n">
        <v>6</v>
      </c>
      <c r="N173" s="344">
        <f>SUM(J173:M173)</f>
        <v/>
      </c>
      <c r="O173" s="343" t="n">
        <v>6</v>
      </c>
      <c r="P173" s="343" t="n">
        <v>6</v>
      </c>
      <c r="Q173" s="343" t="n">
        <v>6</v>
      </c>
      <c r="R173" s="343" t="n">
        <v>6</v>
      </c>
      <c r="S173" s="344">
        <f>SUM(O173:R173)</f>
        <v/>
      </c>
      <c r="T173" s="343" t="n">
        <v>6</v>
      </c>
      <c r="U173" s="343" t="n">
        <v>6</v>
      </c>
      <c r="V173" s="343" t="n">
        <v>6</v>
      </c>
      <c r="W173" s="343" t="n">
        <v>6</v>
      </c>
      <c r="X173" s="344">
        <f>SUM(T173:W173)</f>
        <v/>
      </c>
      <c r="Y173" s="343" t="n">
        <v>6</v>
      </c>
      <c r="Z173" s="343" t="n">
        <v>6</v>
      </c>
      <c r="AA173" s="343" t="n">
        <v>6</v>
      </c>
      <c r="AB173" s="343" t="n">
        <v>6</v>
      </c>
      <c r="AC173" s="344">
        <f>SUM(Y173:AB173)</f>
        <v/>
      </c>
      <c r="AD173" s="343" t="n">
        <v>6</v>
      </c>
      <c r="AE173" s="343" t="n">
        <v>6</v>
      </c>
      <c r="AF173" s="343" t="n">
        <v>6</v>
      </c>
      <c r="AG173" s="343" t="n">
        <v>6</v>
      </c>
      <c r="AH173" s="344">
        <f>SUM(AD173:AG173)</f>
        <v/>
      </c>
      <c r="AI173" s="343" t="n">
        <v>6</v>
      </c>
      <c r="AJ173" s="343" t="n">
        <v>6</v>
      </c>
      <c r="AK173" s="343" t="n">
        <v>6</v>
      </c>
      <c r="AL173" s="343" t="n">
        <v>6</v>
      </c>
      <c r="AM173" s="344">
        <f>SUM(AI173:AL173)</f>
        <v/>
      </c>
      <c r="AN173" s="343" t="n">
        <v>6</v>
      </c>
      <c r="AO173" s="343" t="n">
        <v>6</v>
      </c>
      <c r="AP173" s="343" t="n">
        <v>6</v>
      </c>
      <c r="AQ173" s="343" t="n">
        <v>6</v>
      </c>
      <c r="AR173" s="344">
        <f>SUM(AN173:AQ173)</f>
        <v/>
      </c>
    </row>
    <row r="174" ht="13.5" customHeight="1" s="290">
      <c r="A174" s="339" t="n"/>
      <c r="B174" s="340" t="inlineStr">
        <is>
          <t xml:space="preserve">  Deals / EPE / Qtr — Rainmaker  — Upside</t>
        </is>
      </c>
      <c r="E174" s="343" t="n">
        <v>6.6</v>
      </c>
      <c r="F174" s="343" t="n">
        <v>6.6</v>
      </c>
      <c r="G174" s="343" t="n">
        <v>6.6</v>
      </c>
      <c r="H174" s="343" t="n">
        <v>6.6</v>
      </c>
      <c r="I174" s="344">
        <f>SUM(E174:H174)</f>
        <v/>
      </c>
      <c r="J174" s="343" t="n">
        <v>6.6</v>
      </c>
      <c r="K174" s="343" t="n">
        <v>6.6</v>
      </c>
      <c r="L174" s="343" t="n">
        <v>6.6</v>
      </c>
      <c r="M174" s="343" t="n">
        <v>6.6</v>
      </c>
      <c r="N174" s="344">
        <f>SUM(J174:M174)</f>
        <v/>
      </c>
      <c r="O174" s="343" t="n">
        <v>6.6</v>
      </c>
      <c r="P174" s="343" t="n">
        <v>6.6</v>
      </c>
      <c r="Q174" s="343" t="n">
        <v>6.6</v>
      </c>
      <c r="R174" s="343" t="n">
        <v>6.6</v>
      </c>
      <c r="S174" s="344">
        <f>SUM(O174:R174)</f>
        <v/>
      </c>
      <c r="T174" s="343" t="n">
        <v>6.6</v>
      </c>
      <c r="U174" s="343" t="n">
        <v>6.6</v>
      </c>
      <c r="V174" s="343" t="n">
        <v>6.6</v>
      </c>
      <c r="W174" s="343" t="n">
        <v>6.6</v>
      </c>
      <c r="X174" s="344">
        <f>SUM(T174:W174)</f>
        <v/>
      </c>
      <c r="Y174" s="343" t="n">
        <v>6.6</v>
      </c>
      <c r="Z174" s="343" t="n">
        <v>6.6</v>
      </c>
      <c r="AA174" s="343" t="n">
        <v>6.6</v>
      </c>
      <c r="AB174" s="343" t="n">
        <v>6.6</v>
      </c>
      <c r="AC174" s="344">
        <f>SUM(Y174:AB174)</f>
        <v/>
      </c>
      <c r="AD174" s="343" t="n">
        <v>6.6</v>
      </c>
      <c r="AE174" s="343" t="n">
        <v>6.6</v>
      </c>
      <c r="AF174" s="343" t="n">
        <v>6.6</v>
      </c>
      <c r="AG174" s="343" t="n">
        <v>6.6</v>
      </c>
      <c r="AH174" s="344">
        <f>SUM(AD174:AG174)</f>
        <v/>
      </c>
      <c r="AI174" s="343" t="n">
        <v>6.6</v>
      </c>
      <c r="AJ174" s="343" t="n">
        <v>6.6</v>
      </c>
      <c r="AK174" s="343" t="n">
        <v>6.6</v>
      </c>
      <c r="AL174" s="343" t="n">
        <v>6.6</v>
      </c>
      <c r="AM174" s="344">
        <f>SUM(AI174:AL174)</f>
        <v/>
      </c>
      <c r="AN174" s="343" t="n">
        <v>6.6</v>
      </c>
      <c r="AO174" s="343" t="n">
        <v>6.6</v>
      </c>
      <c r="AP174" s="343" t="n">
        <v>6.6</v>
      </c>
      <c r="AQ174" s="343" t="n">
        <v>6.6</v>
      </c>
      <c r="AR174" s="344">
        <f>SUM(AN174:AQ174)</f>
        <v/>
      </c>
    </row>
    <row r="175" ht="13.5" customHeight="1" s="290">
      <c r="A175" s="339" t="n"/>
      <c r="B175" s="340" t="inlineStr">
        <is>
          <t xml:space="preserve">  Deals / EPE / Qtr — Rainmaker  — Downside</t>
        </is>
      </c>
      <c r="E175" s="343" t="n">
        <v>5.4</v>
      </c>
      <c r="F175" s="343" t="n">
        <v>5.4</v>
      </c>
      <c r="G175" s="343" t="n">
        <v>5.4</v>
      </c>
      <c r="H175" s="343" t="n">
        <v>5.4</v>
      </c>
      <c r="I175" s="344">
        <f>SUM(E175:H175)</f>
        <v/>
      </c>
      <c r="J175" s="343" t="n">
        <v>5.4</v>
      </c>
      <c r="K175" s="343" t="n">
        <v>5.4</v>
      </c>
      <c r="L175" s="343" t="n">
        <v>5.4</v>
      </c>
      <c r="M175" s="343" t="n">
        <v>5.4</v>
      </c>
      <c r="N175" s="344">
        <f>SUM(J175:M175)</f>
        <v/>
      </c>
      <c r="O175" s="343" t="n">
        <v>5.4</v>
      </c>
      <c r="P175" s="343" t="n">
        <v>5.4</v>
      </c>
      <c r="Q175" s="343" t="n">
        <v>5.4</v>
      </c>
      <c r="R175" s="343" t="n">
        <v>5.4</v>
      </c>
      <c r="S175" s="344">
        <f>SUM(O175:R175)</f>
        <v/>
      </c>
      <c r="T175" s="343" t="n">
        <v>5.4</v>
      </c>
      <c r="U175" s="343" t="n">
        <v>5.4</v>
      </c>
      <c r="V175" s="343" t="n">
        <v>5.4</v>
      </c>
      <c r="W175" s="343" t="n">
        <v>5.4</v>
      </c>
      <c r="X175" s="344">
        <f>SUM(T175:W175)</f>
        <v/>
      </c>
      <c r="Y175" s="343" t="n">
        <v>5.4</v>
      </c>
      <c r="Z175" s="343" t="n">
        <v>5.4</v>
      </c>
      <c r="AA175" s="343" t="n">
        <v>5.4</v>
      </c>
      <c r="AB175" s="343" t="n">
        <v>5.4</v>
      </c>
      <c r="AC175" s="344">
        <f>SUM(Y175:AB175)</f>
        <v/>
      </c>
      <c r="AD175" s="343" t="n">
        <v>5.4</v>
      </c>
      <c r="AE175" s="343" t="n">
        <v>5.4</v>
      </c>
      <c r="AF175" s="343" t="n">
        <v>5.4</v>
      </c>
      <c r="AG175" s="343" t="n">
        <v>5.4</v>
      </c>
      <c r="AH175" s="344">
        <f>SUM(AD175:AG175)</f>
        <v/>
      </c>
      <c r="AI175" s="343" t="n">
        <v>5.4</v>
      </c>
      <c r="AJ175" s="343" t="n">
        <v>5.4</v>
      </c>
      <c r="AK175" s="343" t="n">
        <v>5.4</v>
      </c>
      <c r="AL175" s="343" t="n">
        <v>5.4</v>
      </c>
      <c r="AM175" s="344">
        <f>SUM(AI175:AL175)</f>
        <v/>
      </c>
      <c r="AN175" s="343" t="n">
        <v>5.4</v>
      </c>
      <c r="AO175" s="343" t="n">
        <v>5.4</v>
      </c>
      <c r="AP175" s="343" t="n">
        <v>5.4</v>
      </c>
      <c r="AQ175" s="343" t="n">
        <v>5.4</v>
      </c>
      <c r="AR175" s="344">
        <f>SUM(AN175:AQ175)</f>
        <v/>
      </c>
    </row>
    <row r="176" ht="13.5" customHeight="1" s="290">
      <c r="A176" s="345" t="n"/>
      <c r="B176" s="346" t="inlineStr">
        <is>
          <t xml:space="preserve">  Deals / EPE / Qtr — Rainmaker  — ★ ACTIVE</t>
        </is>
      </c>
      <c r="E176" s="361">
        <f>IF('01 Cover &amp; Control'!$C$19="Base",E173,IF('01 Cover &amp; Control'!$C$19="Upside",E174,E175))</f>
        <v/>
      </c>
      <c r="F176" s="361">
        <f>IF('01 Cover &amp; Control'!$C$19="Base",F173,IF('01 Cover &amp; Control'!$C$19="Upside",F174,F175))</f>
        <v/>
      </c>
      <c r="G176" s="361">
        <f>IF('01 Cover &amp; Control'!$C$19="Base",G173,IF('01 Cover &amp; Control'!$C$19="Upside",G174,G175))</f>
        <v/>
      </c>
      <c r="H176" s="361">
        <f>IF('01 Cover &amp; Control'!$C$19="Base",H173,IF('01 Cover &amp; Control'!$C$19="Upside",H174,H175))</f>
        <v/>
      </c>
      <c r="I176" s="347">
        <f>AVERAGE(E176:H176)</f>
        <v/>
      </c>
      <c r="J176" s="361">
        <f>IF('01 Cover &amp; Control'!$C$19="Base",J173,IF('01 Cover &amp; Control'!$C$19="Upside",J174,J175))</f>
        <v/>
      </c>
      <c r="K176" s="361">
        <f>IF('01 Cover &amp; Control'!$C$19="Base",K173,IF('01 Cover &amp; Control'!$C$19="Upside",K174,K175))</f>
        <v/>
      </c>
      <c r="L176" s="361">
        <f>IF('01 Cover &amp; Control'!$C$19="Base",L173,IF('01 Cover &amp; Control'!$C$19="Upside",L174,L175))</f>
        <v/>
      </c>
      <c r="M176" s="361">
        <f>IF('01 Cover &amp; Control'!$C$19="Base",M173,IF('01 Cover &amp; Control'!$C$19="Upside",M174,M175))</f>
        <v/>
      </c>
      <c r="N176" s="347">
        <f>AVERAGE(J176:M176)</f>
        <v/>
      </c>
      <c r="O176" s="361">
        <f>IF('01 Cover &amp; Control'!$C$19="Base",O173,IF('01 Cover &amp; Control'!$C$19="Upside",O174,O175))</f>
        <v/>
      </c>
      <c r="P176" s="361">
        <f>IF('01 Cover &amp; Control'!$C$19="Base",P173,IF('01 Cover &amp; Control'!$C$19="Upside",P174,P175))</f>
        <v/>
      </c>
      <c r="Q176" s="361">
        <f>IF('01 Cover &amp; Control'!$C$19="Base",Q173,IF('01 Cover &amp; Control'!$C$19="Upside",Q174,Q175))</f>
        <v/>
      </c>
      <c r="R176" s="361">
        <f>IF('01 Cover &amp; Control'!$C$19="Base",R173,IF('01 Cover &amp; Control'!$C$19="Upside",R174,R175))</f>
        <v/>
      </c>
      <c r="S176" s="347">
        <f>AVERAGE(O176:R176)</f>
        <v/>
      </c>
      <c r="T176" s="361">
        <f>IF('01 Cover &amp; Control'!$C$19="Base",T173,IF('01 Cover &amp; Control'!$C$19="Upside",T174,T175))</f>
        <v/>
      </c>
      <c r="U176" s="361">
        <f>IF('01 Cover &amp; Control'!$C$19="Base",U173,IF('01 Cover &amp; Control'!$C$19="Upside",U174,U175))</f>
        <v/>
      </c>
      <c r="V176" s="361">
        <f>IF('01 Cover &amp; Control'!$C$19="Base",V173,IF('01 Cover &amp; Control'!$C$19="Upside",V174,V175))</f>
        <v/>
      </c>
      <c r="W176" s="361">
        <f>IF('01 Cover &amp; Control'!$C$19="Base",W173,IF('01 Cover &amp; Control'!$C$19="Upside",W174,W175))</f>
        <v/>
      </c>
      <c r="X176" s="347">
        <f>AVERAGE(T176:W176)</f>
        <v/>
      </c>
      <c r="Y176" s="361">
        <f>IF('01 Cover &amp; Control'!$C$19="Base",Y173,IF('01 Cover &amp; Control'!$C$19="Upside",Y174,Y175))</f>
        <v/>
      </c>
      <c r="Z176" s="361">
        <f>IF('01 Cover &amp; Control'!$C$19="Base",Z173,IF('01 Cover &amp; Control'!$C$19="Upside",Z174,Z175))</f>
        <v/>
      </c>
      <c r="AA176" s="361">
        <f>IF('01 Cover &amp; Control'!$C$19="Base",AA173,IF('01 Cover &amp; Control'!$C$19="Upside",AA174,AA175))</f>
        <v/>
      </c>
      <c r="AB176" s="361">
        <f>IF('01 Cover &amp; Control'!$C$19="Base",AB173,IF('01 Cover &amp; Control'!$C$19="Upside",AB174,AB175))</f>
        <v/>
      </c>
      <c r="AC176" s="347">
        <f>AVERAGE(Y176:AB176)</f>
        <v/>
      </c>
      <c r="AD176" s="361">
        <f>IF('01 Cover &amp; Control'!$C$19="Base",AD173,IF('01 Cover &amp; Control'!$C$19="Upside",AD174,AD175))</f>
        <v/>
      </c>
      <c r="AE176" s="361">
        <f>IF('01 Cover &amp; Control'!$C$19="Base",AE173,IF('01 Cover &amp; Control'!$C$19="Upside",AE174,AE175))</f>
        <v/>
      </c>
      <c r="AF176" s="361">
        <f>IF('01 Cover &amp; Control'!$C$19="Base",AF173,IF('01 Cover &amp; Control'!$C$19="Upside",AF174,AF175))</f>
        <v/>
      </c>
      <c r="AG176" s="361">
        <f>IF('01 Cover &amp; Control'!$C$19="Base",AG173,IF('01 Cover &amp; Control'!$C$19="Upside",AG174,AG175))</f>
        <v/>
      </c>
      <c r="AH176" s="347">
        <f>AVERAGE(AD176:AG176)</f>
        <v/>
      </c>
      <c r="AI176" s="361">
        <f>IF('01 Cover &amp; Control'!$C$19="Base",AI173,IF('01 Cover &amp; Control'!$C$19="Upside",AI174,AI175))</f>
        <v/>
      </c>
      <c r="AJ176" s="361">
        <f>IF('01 Cover &amp; Control'!$C$19="Base",AJ173,IF('01 Cover &amp; Control'!$C$19="Upside",AJ174,AJ175))</f>
        <v/>
      </c>
      <c r="AK176" s="361">
        <f>IF('01 Cover &amp; Control'!$C$19="Base",AK173,IF('01 Cover &amp; Control'!$C$19="Upside",AK174,AK175))</f>
        <v/>
      </c>
      <c r="AL176" s="361">
        <f>IF('01 Cover &amp; Control'!$C$19="Base",AL173,IF('01 Cover &amp; Control'!$C$19="Upside",AL174,AL175))</f>
        <v/>
      </c>
      <c r="AM176" s="347">
        <f>AVERAGE(AI176:AL176)</f>
        <v/>
      </c>
      <c r="AN176" s="361">
        <f>IF('01 Cover &amp; Control'!$C$19="Base",AN173,IF('01 Cover &amp; Control'!$C$19="Upside",AN174,AN175))</f>
        <v/>
      </c>
      <c r="AO176" s="361">
        <f>IF('01 Cover &amp; Control'!$C$19="Base",AO173,IF('01 Cover &amp; Control'!$C$19="Upside",AO174,AO175))</f>
        <v/>
      </c>
      <c r="AP176" s="361">
        <f>IF('01 Cover &amp; Control'!$C$19="Base",AP173,IF('01 Cover &amp; Control'!$C$19="Upside",AP174,AP175))</f>
        <v/>
      </c>
      <c r="AQ176" s="361">
        <f>IF('01 Cover &amp; Control'!$C$19="Base",AQ173,IF('01 Cover &amp; Control'!$C$19="Upside",AQ174,AQ175))</f>
        <v/>
      </c>
      <c r="AR176" s="347">
        <f>AVERAGE(AN176:AQ176)</f>
        <v/>
      </c>
    </row>
    <row r="177" ht="3" customHeight="1" s="290"/>
    <row r="178" ht="13.5" customHeight="1" s="290">
      <c r="A178" s="339" t="n"/>
      <c r="B178" s="340" t="inlineStr">
        <is>
          <t xml:space="preserve">  Deals / EPE / Qtr — Core  — Base</t>
        </is>
      </c>
      <c r="C178" s="341" t="inlineStr">
        <is>
          <t>#/qtr</t>
        </is>
      </c>
      <c r="D178" s="342" t="inlineStr">
        <is>
          <t>Scenario-keyed. Downside = fewer deals per producer (slower market).</t>
        </is>
      </c>
      <c r="E178" s="343" t="n">
        <v>4</v>
      </c>
      <c r="F178" s="343" t="n">
        <v>4</v>
      </c>
      <c r="G178" s="343" t="n">
        <v>4</v>
      </c>
      <c r="H178" s="343" t="n">
        <v>4</v>
      </c>
      <c r="I178" s="344">
        <f>SUM(E178:H178)</f>
        <v/>
      </c>
      <c r="J178" s="343" t="n">
        <v>4</v>
      </c>
      <c r="K178" s="343" t="n">
        <v>4</v>
      </c>
      <c r="L178" s="343" t="n">
        <v>4</v>
      </c>
      <c r="M178" s="343" t="n">
        <v>4</v>
      </c>
      <c r="N178" s="344">
        <f>SUM(J178:M178)</f>
        <v/>
      </c>
      <c r="O178" s="343" t="n">
        <v>4</v>
      </c>
      <c r="P178" s="343" t="n">
        <v>4</v>
      </c>
      <c r="Q178" s="343" t="n">
        <v>4</v>
      </c>
      <c r="R178" s="343" t="n">
        <v>4</v>
      </c>
      <c r="S178" s="344">
        <f>SUM(O178:R178)</f>
        <v/>
      </c>
      <c r="T178" s="343" t="n">
        <v>4</v>
      </c>
      <c r="U178" s="343" t="n">
        <v>4</v>
      </c>
      <c r="V178" s="343" t="n">
        <v>4</v>
      </c>
      <c r="W178" s="343" t="n">
        <v>4</v>
      </c>
      <c r="X178" s="344">
        <f>SUM(T178:W178)</f>
        <v/>
      </c>
      <c r="Y178" s="343" t="n">
        <v>4</v>
      </c>
      <c r="Z178" s="343" t="n">
        <v>4</v>
      </c>
      <c r="AA178" s="343" t="n">
        <v>4</v>
      </c>
      <c r="AB178" s="343" t="n">
        <v>4</v>
      </c>
      <c r="AC178" s="344">
        <f>SUM(Y178:AB178)</f>
        <v/>
      </c>
      <c r="AD178" s="343" t="n">
        <v>4</v>
      </c>
      <c r="AE178" s="343" t="n">
        <v>4</v>
      </c>
      <c r="AF178" s="343" t="n">
        <v>4</v>
      </c>
      <c r="AG178" s="343" t="n">
        <v>4</v>
      </c>
      <c r="AH178" s="344">
        <f>SUM(AD178:AG178)</f>
        <v/>
      </c>
      <c r="AI178" s="343" t="n">
        <v>4</v>
      </c>
      <c r="AJ178" s="343" t="n">
        <v>4</v>
      </c>
      <c r="AK178" s="343" t="n">
        <v>4</v>
      </c>
      <c r="AL178" s="343" t="n">
        <v>4</v>
      </c>
      <c r="AM178" s="344">
        <f>SUM(AI178:AL178)</f>
        <v/>
      </c>
      <c r="AN178" s="343" t="n">
        <v>4</v>
      </c>
      <c r="AO178" s="343" t="n">
        <v>4</v>
      </c>
      <c r="AP178" s="343" t="n">
        <v>4</v>
      </c>
      <c r="AQ178" s="343" t="n">
        <v>4</v>
      </c>
      <c r="AR178" s="344">
        <f>SUM(AN178:AQ178)</f>
        <v/>
      </c>
    </row>
    <row r="179" ht="13.5" customHeight="1" s="290">
      <c r="A179" s="339" t="n"/>
      <c r="B179" s="340" t="inlineStr">
        <is>
          <t xml:space="preserve">  Deals / EPE / Qtr — Core  — Upside</t>
        </is>
      </c>
      <c r="E179" s="343" t="n">
        <v>4.4</v>
      </c>
      <c r="F179" s="343" t="n">
        <v>4.4</v>
      </c>
      <c r="G179" s="343" t="n">
        <v>4.4</v>
      </c>
      <c r="H179" s="343" t="n">
        <v>4.4</v>
      </c>
      <c r="I179" s="344">
        <f>SUM(E179:H179)</f>
        <v/>
      </c>
      <c r="J179" s="343" t="n">
        <v>4.4</v>
      </c>
      <c r="K179" s="343" t="n">
        <v>4.4</v>
      </c>
      <c r="L179" s="343" t="n">
        <v>4.4</v>
      </c>
      <c r="M179" s="343" t="n">
        <v>4.4</v>
      </c>
      <c r="N179" s="344">
        <f>SUM(J179:M179)</f>
        <v/>
      </c>
      <c r="O179" s="343" t="n">
        <v>4.4</v>
      </c>
      <c r="P179" s="343" t="n">
        <v>4.4</v>
      </c>
      <c r="Q179" s="343" t="n">
        <v>4.4</v>
      </c>
      <c r="R179" s="343" t="n">
        <v>4.4</v>
      </c>
      <c r="S179" s="344">
        <f>SUM(O179:R179)</f>
        <v/>
      </c>
      <c r="T179" s="343" t="n">
        <v>4.4</v>
      </c>
      <c r="U179" s="343" t="n">
        <v>4.4</v>
      </c>
      <c r="V179" s="343" t="n">
        <v>4.4</v>
      </c>
      <c r="W179" s="343" t="n">
        <v>4.4</v>
      </c>
      <c r="X179" s="344">
        <f>SUM(T179:W179)</f>
        <v/>
      </c>
      <c r="Y179" s="343" t="n">
        <v>4.4</v>
      </c>
      <c r="Z179" s="343" t="n">
        <v>4.4</v>
      </c>
      <c r="AA179" s="343" t="n">
        <v>4.4</v>
      </c>
      <c r="AB179" s="343" t="n">
        <v>4.4</v>
      </c>
      <c r="AC179" s="344">
        <f>SUM(Y179:AB179)</f>
        <v/>
      </c>
      <c r="AD179" s="343" t="n">
        <v>4.4</v>
      </c>
      <c r="AE179" s="343" t="n">
        <v>4.4</v>
      </c>
      <c r="AF179" s="343" t="n">
        <v>4.4</v>
      </c>
      <c r="AG179" s="343" t="n">
        <v>4.4</v>
      </c>
      <c r="AH179" s="344">
        <f>SUM(AD179:AG179)</f>
        <v/>
      </c>
      <c r="AI179" s="343" t="n">
        <v>4.4</v>
      </c>
      <c r="AJ179" s="343" t="n">
        <v>4.4</v>
      </c>
      <c r="AK179" s="343" t="n">
        <v>4.4</v>
      </c>
      <c r="AL179" s="343" t="n">
        <v>4.4</v>
      </c>
      <c r="AM179" s="344">
        <f>SUM(AI179:AL179)</f>
        <v/>
      </c>
      <c r="AN179" s="343" t="n">
        <v>4.4</v>
      </c>
      <c r="AO179" s="343" t="n">
        <v>4.4</v>
      </c>
      <c r="AP179" s="343" t="n">
        <v>4.4</v>
      </c>
      <c r="AQ179" s="343" t="n">
        <v>4.4</v>
      </c>
      <c r="AR179" s="344">
        <f>SUM(AN179:AQ179)</f>
        <v/>
      </c>
    </row>
    <row r="180" ht="13.5" customHeight="1" s="290">
      <c r="A180" s="339" t="n"/>
      <c r="B180" s="340" t="inlineStr">
        <is>
          <t xml:space="preserve">  Deals / EPE / Qtr — Core  — Downside</t>
        </is>
      </c>
      <c r="E180" s="343" t="n">
        <v>3.6</v>
      </c>
      <c r="F180" s="343" t="n">
        <v>3.6</v>
      </c>
      <c r="G180" s="343" t="n">
        <v>3.6</v>
      </c>
      <c r="H180" s="343" t="n">
        <v>3.6</v>
      </c>
      <c r="I180" s="344">
        <f>SUM(E180:H180)</f>
        <v/>
      </c>
      <c r="J180" s="343" t="n">
        <v>3.6</v>
      </c>
      <c r="K180" s="343" t="n">
        <v>3.6</v>
      </c>
      <c r="L180" s="343" t="n">
        <v>3.6</v>
      </c>
      <c r="M180" s="343" t="n">
        <v>3.6</v>
      </c>
      <c r="N180" s="344">
        <f>SUM(J180:M180)</f>
        <v/>
      </c>
      <c r="O180" s="343" t="n">
        <v>3.6</v>
      </c>
      <c r="P180" s="343" t="n">
        <v>3.6</v>
      </c>
      <c r="Q180" s="343" t="n">
        <v>3.6</v>
      </c>
      <c r="R180" s="343" t="n">
        <v>3.6</v>
      </c>
      <c r="S180" s="344">
        <f>SUM(O180:R180)</f>
        <v/>
      </c>
      <c r="T180" s="343" t="n">
        <v>3.6</v>
      </c>
      <c r="U180" s="343" t="n">
        <v>3.6</v>
      </c>
      <c r="V180" s="343" t="n">
        <v>3.6</v>
      </c>
      <c r="W180" s="343" t="n">
        <v>3.6</v>
      </c>
      <c r="X180" s="344">
        <f>SUM(T180:W180)</f>
        <v/>
      </c>
      <c r="Y180" s="343" t="n">
        <v>3.6</v>
      </c>
      <c r="Z180" s="343" t="n">
        <v>3.6</v>
      </c>
      <c r="AA180" s="343" t="n">
        <v>3.6</v>
      </c>
      <c r="AB180" s="343" t="n">
        <v>3.6</v>
      </c>
      <c r="AC180" s="344">
        <f>SUM(Y180:AB180)</f>
        <v/>
      </c>
      <c r="AD180" s="343" t="n">
        <v>3.6</v>
      </c>
      <c r="AE180" s="343" t="n">
        <v>3.6</v>
      </c>
      <c r="AF180" s="343" t="n">
        <v>3.6</v>
      </c>
      <c r="AG180" s="343" t="n">
        <v>3.6</v>
      </c>
      <c r="AH180" s="344">
        <f>SUM(AD180:AG180)</f>
        <v/>
      </c>
      <c r="AI180" s="343" t="n">
        <v>3.6</v>
      </c>
      <c r="AJ180" s="343" t="n">
        <v>3.6</v>
      </c>
      <c r="AK180" s="343" t="n">
        <v>3.6</v>
      </c>
      <c r="AL180" s="343" t="n">
        <v>3.6</v>
      </c>
      <c r="AM180" s="344">
        <f>SUM(AI180:AL180)</f>
        <v/>
      </c>
      <c r="AN180" s="343" t="n">
        <v>3.6</v>
      </c>
      <c r="AO180" s="343" t="n">
        <v>3.6</v>
      </c>
      <c r="AP180" s="343" t="n">
        <v>3.6</v>
      </c>
      <c r="AQ180" s="343" t="n">
        <v>3.6</v>
      </c>
      <c r="AR180" s="344">
        <f>SUM(AN180:AQ180)</f>
        <v/>
      </c>
    </row>
    <row r="181" ht="13.5" customHeight="1" s="290">
      <c r="A181" s="345" t="n"/>
      <c r="B181" s="346" t="inlineStr">
        <is>
          <t xml:space="preserve">  Deals / EPE / Qtr — Core  — ★ ACTIVE</t>
        </is>
      </c>
      <c r="E181" s="361">
        <f>IF('01 Cover &amp; Control'!$C$19="Base",E178,IF('01 Cover &amp; Control'!$C$19="Upside",E179,E180))</f>
        <v/>
      </c>
      <c r="F181" s="361">
        <f>IF('01 Cover &amp; Control'!$C$19="Base",F178,IF('01 Cover &amp; Control'!$C$19="Upside",F179,F180))</f>
        <v/>
      </c>
      <c r="G181" s="361">
        <f>IF('01 Cover &amp; Control'!$C$19="Base",G178,IF('01 Cover &amp; Control'!$C$19="Upside",G179,G180))</f>
        <v/>
      </c>
      <c r="H181" s="361">
        <f>IF('01 Cover &amp; Control'!$C$19="Base",H178,IF('01 Cover &amp; Control'!$C$19="Upside",H179,H180))</f>
        <v/>
      </c>
      <c r="I181" s="347">
        <f>AVERAGE(E181:H181)</f>
        <v/>
      </c>
      <c r="J181" s="361">
        <f>IF('01 Cover &amp; Control'!$C$19="Base",J178,IF('01 Cover &amp; Control'!$C$19="Upside",J179,J180))</f>
        <v/>
      </c>
      <c r="K181" s="361">
        <f>IF('01 Cover &amp; Control'!$C$19="Base",K178,IF('01 Cover &amp; Control'!$C$19="Upside",K179,K180))</f>
        <v/>
      </c>
      <c r="L181" s="361">
        <f>IF('01 Cover &amp; Control'!$C$19="Base",L178,IF('01 Cover &amp; Control'!$C$19="Upside",L179,L180))</f>
        <v/>
      </c>
      <c r="M181" s="361">
        <f>IF('01 Cover &amp; Control'!$C$19="Base",M178,IF('01 Cover &amp; Control'!$C$19="Upside",M179,M180))</f>
        <v/>
      </c>
      <c r="N181" s="347">
        <f>AVERAGE(J181:M181)</f>
        <v/>
      </c>
      <c r="O181" s="361">
        <f>IF('01 Cover &amp; Control'!$C$19="Base",O178,IF('01 Cover &amp; Control'!$C$19="Upside",O179,O180))</f>
        <v/>
      </c>
      <c r="P181" s="361">
        <f>IF('01 Cover &amp; Control'!$C$19="Base",P178,IF('01 Cover &amp; Control'!$C$19="Upside",P179,P180))</f>
        <v/>
      </c>
      <c r="Q181" s="361">
        <f>IF('01 Cover &amp; Control'!$C$19="Base",Q178,IF('01 Cover &amp; Control'!$C$19="Upside",Q179,Q180))</f>
        <v/>
      </c>
      <c r="R181" s="361">
        <f>IF('01 Cover &amp; Control'!$C$19="Base",R178,IF('01 Cover &amp; Control'!$C$19="Upside",R179,R180))</f>
        <v/>
      </c>
      <c r="S181" s="347">
        <f>AVERAGE(O181:R181)</f>
        <v/>
      </c>
      <c r="T181" s="361">
        <f>IF('01 Cover &amp; Control'!$C$19="Base",T178,IF('01 Cover &amp; Control'!$C$19="Upside",T179,T180))</f>
        <v/>
      </c>
      <c r="U181" s="361">
        <f>IF('01 Cover &amp; Control'!$C$19="Base",U178,IF('01 Cover &amp; Control'!$C$19="Upside",U179,U180))</f>
        <v/>
      </c>
      <c r="V181" s="361">
        <f>IF('01 Cover &amp; Control'!$C$19="Base",V178,IF('01 Cover &amp; Control'!$C$19="Upside",V179,V180))</f>
        <v/>
      </c>
      <c r="W181" s="361">
        <f>IF('01 Cover &amp; Control'!$C$19="Base",W178,IF('01 Cover &amp; Control'!$C$19="Upside",W179,W180))</f>
        <v/>
      </c>
      <c r="X181" s="347">
        <f>AVERAGE(T181:W181)</f>
        <v/>
      </c>
      <c r="Y181" s="361">
        <f>IF('01 Cover &amp; Control'!$C$19="Base",Y178,IF('01 Cover &amp; Control'!$C$19="Upside",Y179,Y180))</f>
        <v/>
      </c>
      <c r="Z181" s="361">
        <f>IF('01 Cover &amp; Control'!$C$19="Base",Z178,IF('01 Cover &amp; Control'!$C$19="Upside",Z179,Z180))</f>
        <v/>
      </c>
      <c r="AA181" s="361">
        <f>IF('01 Cover &amp; Control'!$C$19="Base",AA178,IF('01 Cover &amp; Control'!$C$19="Upside",AA179,AA180))</f>
        <v/>
      </c>
      <c r="AB181" s="361">
        <f>IF('01 Cover &amp; Control'!$C$19="Base",AB178,IF('01 Cover &amp; Control'!$C$19="Upside",AB179,AB180))</f>
        <v/>
      </c>
      <c r="AC181" s="347">
        <f>AVERAGE(Y181:AB181)</f>
        <v/>
      </c>
      <c r="AD181" s="361">
        <f>IF('01 Cover &amp; Control'!$C$19="Base",AD178,IF('01 Cover &amp; Control'!$C$19="Upside",AD179,AD180))</f>
        <v/>
      </c>
      <c r="AE181" s="361">
        <f>IF('01 Cover &amp; Control'!$C$19="Base",AE178,IF('01 Cover &amp; Control'!$C$19="Upside",AE179,AE180))</f>
        <v/>
      </c>
      <c r="AF181" s="361">
        <f>IF('01 Cover &amp; Control'!$C$19="Base",AF178,IF('01 Cover &amp; Control'!$C$19="Upside",AF179,AF180))</f>
        <v/>
      </c>
      <c r="AG181" s="361">
        <f>IF('01 Cover &amp; Control'!$C$19="Base",AG178,IF('01 Cover &amp; Control'!$C$19="Upside",AG179,AG180))</f>
        <v/>
      </c>
      <c r="AH181" s="347">
        <f>AVERAGE(AD181:AG181)</f>
        <v/>
      </c>
      <c r="AI181" s="361">
        <f>IF('01 Cover &amp; Control'!$C$19="Base",AI178,IF('01 Cover &amp; Control'!$C$19="Upside",AI179,AI180))</f>
        <v/>
      </c>
      <c r="AJ181" s="361">
        <f>IF('01 Cover &amp; Control'!$C$19="Base",AJ178,IF('01 Cover &amp; Control'!$C$19="Upside",AJ179,AJ180))</f>
        <v/>
      </c>
      <c r="AK181" s="361">
        <f>IF('01 Cover &amp; Control'!$C$19="Base",AK178,IF('01 Cover &amp; Control'!$C$19="Upside",AK179,AK180))</f>
        <v/>
      </c>
      <c r="AL181" s="361">
        <f>IF('01 Cover &amp; Control'!$C$19="Base",AL178,IF('01 Cover &amp; Control'!$C$19="Upside",AL179,AL180))</f>
        <v/>
      </c>
      <c r="AM181" s="347">
        <f>AVERAGE(AI181:AL181)</f>
        <v/>
      </c>
      <c r="AN181" s="361">
        <f>IF('01 Cover &amp; Control'!$C$19="Base",AN178,IF('01 Cover &amp; Control'!$C$19="Upside",AN179,AN180))</f>
        <v/>
      </c>
      <c r="AO181" s="361">
        <f>IF('01 Cover &amp; Control'!$C$19="Base",AO178,IF('01 Cover &amp; Control'!$C$19="Upside",AO179,AO180))</f>
        <v/>
      </c>
      <c r="AP181" s="361">
        <f>IF('01 Cover &amp; Control'!$C$19="Base",AP178,IF('01 Cover &amp; Control'!$C$19="Upside",AP179,AP180))</f>
        <v/>
      </c>
      <c r="AQ181" s="361">
        <f>IF('01 Cover &amp; Control'!$C$19="Base",AQ178,IF('01 Cover &amp; Control'!$C$19="Upside",AQ179,AQ180))</f>
        <v/>
      </c>
      <c r="AR181" s="347">
        <f>AVERAGE(AN181:AQ181)</f>
        <v/>
      </c>
    </row>
    <row r="182" ht="3" customHeight="1" s="290"/>
    <row r="183" ht="13.5" customHeight="1" s="290">
      <c r="A183" s="339" t="n"/>
      <c r="B183" s="340" t="inlineStr">
        <is>
          <t xml:space="preserve">  Deals / EPE / Qtr — Junior  — Base</t>
        </is>
      </c>
      <c r="C183" s="341" t="inlineStr">
        <is>
          <t>#/qtr</t>
        </is>
      </c>
      <c r="D183" s="342" t="inlineStr">
        <is>
          <t>Scenario-keyed. Downside = fewer deals per producer (slower market).</t>
        </is>
      </c>
      <c r="E183" s="343" t="n">
        <v>2.5</v>
      </c>
      <c r="F183" s="343" t="n">
        <v>2.5</v>
      </c>
      <c r="G183" s="343" t="n">
        <v>2.5</v>
      </c>
      <c r="H183" s="343" t="n">
        <v>2.5</v>
      </c>
      <c r="I183" s="344">
        <f>SUM(E183:H183)</f>
        <v/>
      </c>
      <c r="J183" s="343" t="n">
        <v>2.5</v>
      </c>
      <c r="K183" s="343" t="n">
        <v>2.5</v>
      </c>
      <c r="L183" s="343" t="n">
        <v>2.5</v>
      </c>
      <c r="M183" s="343" t="n">
        <v>2.5</v>
      </c>
      <c r="N183" s="344">
        <f>SUM(J183:M183)</f>
        <v/>
      </c>
      <c r="O183" s="343" t="n">
        <v>2.5</v>
      </c>
      <c r="P183" s="343" t="n">
        <v>2.5</v>
      </c>
      <c r="Q183" s="343" t="n">
        <v>2.5</v>
      </c>
      <c r="R183" s="343" t="n">
        <v>2.5</v>
      </c>
      <c r="S183" s="344">
        <f>SUM(O183:R183)</f>
        <v/>
      </c>
      <c r="T183" s="343" t="n">
        <v>2.5</v>
      </c>
      <c r="U183" s="343" t="n">
        <v>2.5</v>
      </c>
      <c r="V183" s="343" t="n">
        <v>2.5</v>
      </c>
      <c r="W183" s="343" t="n">
        <v>2.5</v>
      </c>
      <c r="X183" s="344">
        <f>SUM(T183:W183)</f>
        <v/>
      </c>
      <c r="Y183" s="343" t="n">
        <v>2.5</v>
      </c>
      <c r="Z183" s="343" t="n">
        <v>2.5</v>
      </c>
      <c r="AA183" s="343" t="n">
        <v>2.5</v>
      </c>
      <c r="AB183" s="343" t="n">
        <v>2.5</v>
      </c>
      <c r="AC183" s="344">
        <f>SUM(Y183:AB183)</f>
        <v/>
      </c>
      <c r="AD183" s="343" t="n">
        <v>2.5</v>
      </c>
      <c r="AE183" s="343" t="n">
        <v>2.5</v>
      </c>
      <c r="AF183" s="343" t="n">
        <v>2.5</v>
      </c>
      <c r="AG183" s="343" t="n">
        <v>2.5</v>
      </c>
      <c r="AH183" s="344">
        <f>SUM(AD183:AG183)</f>
        <v/>
      </c>
      <c r="AI183" s="343" t="n">
        <v>2.5</v>
      </c>
      <c r="AJ183" s="343" t="n">
        <v>2.5</v>
      </c>
      <c r="AK183" s="343" t="n">
        <v>2.5</v>
      </c>
      <c r="AL183" s="343" t="n">
        <v>2.5</v>
      </c>
      <c r="AM183" s="344">
        <f>SUM(AI183:AL183)</f>
        <v/>
      </c>
      <c r="AN183" s="343" t="n">
        <v>2.5</v>
      </c>
      <c r="AO183" s="343" t="n">
        <v>2.5</v>
      </c>
      <c r="AP183" s="343" t="n">
        <v>2.5</v>
      </c>
      <c r="AQ183" s="343" t="n">
        <v>2.5</v>
      </c>
      <c r="AR183" s="344">
        <f>SUM(AN183:AQ183)</f>
        <v/>
      </c>
    </row>
    <row r="184" ht="13.5" customHeight="1" s="290">
      <c r="A184" s="339" t="n"/>
      <c r="B184" s="340" t="inlineStr">
        <is>
          <t xml:space="preserve">  Deals / EPE / Qtr — Junior  — Upside</t>
        </is>
      </c>
      <c r="E184" s="343" t="n">
        <v>2.8</v>
      </c>
      <c r="F184" s="343" t="n">
        <v>2.8</v>
      </c>
      <c r="G184" s="343" t="n">
        <v>2.8</v>
      </c>
      <c r="H184" s="343" t="n">
        <v>2.8</v>
      </c>
      <c r="I184" s="344">
        <f>SUM(E184:H184)</f>
        <v/>
      </c>
      <c r="J184" s="343" t="n">
        <v>2.8</v>
      </c>
      <c r="K184" s="343" t="n">
        <v>2.8</v>
      </c>
      <c r="L184" s="343" t="n">
        <v>2.8</v>
      </c>
      <c r="M184" s="343" t="n">
        <v>2.8</v>
      </c>
      <c r="N184" s="344">
        <f>SUM(J184:M184)</f>
        <v/>
      </c>
      <c r="O184" s="343" t="n">
        <v>2.8</v>
      </c>
      <c r="P184" s="343" t="n">
        <v>2.8</v>
      </c>
      <c r="Q184" s="343" t="n">
        <v>2.8</v>
      </c>
      <c r="R184" s="343" t="n">
        <v>2.8</v>
      </c>
      <c r="S184" s="344">
        <f>SUM(O184:R184)</f>
        <v/>
      </c>
      <c r="T184" s="343" t="n">
        <v>2.8</v>
      </c>
      <c r="U184" s="343" t="n">
        <v>2.8</v>
      </c>
      <c r="V184" s="343" t="n">
        <v>2.8</v>
      </c>
      <c r="W184" s="343" t="n">
        <v>2.8</v>
      </c>
      <c r="X184" s="344">
        <f>SUM(T184:W184)</f>
        <v/>
      </c>
      <c r="Y184" s="343" t="n">
        <v>2.8</v>
      </c>
      <c r="Z184" s="343" t="n">
        <v>2.8</v>
      </c>
      <c r="AA184" s="343" t="n">
        <v>2.8</v>
      </c>
      <c r="AB184" s="343" t="n">
        <v>2.8</v>
      </c>
      <c r="AC184" s="344">
        <f>SUM(Y184:AB184)</f>
        <v/>
      </c>
      <c r="AD184" s="343" t="n">
        <v>2.8</v>
      </c>
      <c r="AE184" s="343" t="n">
        <v>2.8</v>
      </c>
      <c r="AF184" s="343" t="n">
        <v>2.8</v>
      </c>
      <c r="AG184" s="343" t="n">
        <v>2.8</v>
      </c>
      <c r="AH184" s="344">
        <f>SUM(AD184:AG184)</f>
        <v/>
      </c>
      <c r="AI184" s="343" t="n">
        <v>2.8</v>
      </c>
      <c r="AJ184" s="343" t="n">
        <v>2.8</v>
      </c>
      <c r="AK184" s="343" t="n">
        <v>2.8</v>
      </c>
      <c r="AL184" s="343" t="n">
        <v>2.8</v>
      </c>
      <c r="AM184" s="344">
        <f>SUM(AI184:AL184)</f>
        <v/>
      </c>
      <c r="AN184" s="343" t="n">
        <v>2.8</v>
      </c>
      <c r="AO184" s="343" t="n">
        <v>2.8</v>
      </c>
      <c r="AP184" s="343" t="n">
        <v>2.8</v>
      </c>
      <c r="AQ184" s="343" t="n">
        <v>2.8</v>
      </c>
      <c r="AR184" s="344">
        <f>SUM(AN184:AQ184)</f>
        <v/>
      </c>
    </row>
    <row r="185" ht="13.5" customHeight="1" s="290">
      <c r="A185" s="339" t="n"/>
      <c r="B185" s="340" t="inlineStr">
        <is>
          <t xml:space="preserve">  Deals / EPE / Qtr — Junior  — Downside</t>
        </is>
      </c>
      <c r="E185" s="343" t="n">
        <v>2.2</v>
      </c>
      <c r="F185" s="343" t="n">
        <v>2.2</v>
      </c>
      <c r="G185" s="343" t="n">
        <v>2.2</v>
      </c>
      <c r="H185" s="343" t="n">
        <v>2.2</v>
      </c>
      <c r="I185" s="344">
        <f>SUM(E185:H185)</f>
        <v/>
      </c>
      <c r="J185" s="343" t="n">
        <v>2.2</v>
      </c>
      <c r="K185" s="343" t="n">
        <v>2.2</v>
      </c>
      <c r="L185" s="343" t="n">
        <v>2.2</v>
      </c>
      <c r="M185" s="343" t="n">
        <v>2.2</v>
      </c>
      <c r="N185" s="344">
        <f>SUM(J185:M185)</f>
        <v/>
      </c>
      <c r="O185" s="343" t="n">
        <v>2.2</v>
      </c>
      <c r="P185" s="343" t="n">
        <v>2.2</v>
      </c>
      <c r="Q185" s="343" t="n">
        <v>2.2</v>
      </c>
      <c r="R185" s="343" t="n">
        <v>2.2</v>
      </c>
      <c r="S185" s="344">
        <f>SUM(O185:R185)</f>
        <v/>
      </c>
      <c r="T185" s="343" t="n">
        <v>2.2</v>
      </c>
      <c r="U185" s="343" t="n">
        <v>2.2</v>
      </c>
      <c r="V185" s="343" t="n">
        <v>2.2</v>
      </c>
      <c r="W185" s="343" t="n">
        <v>2.2</v>
      </c>
      <c r="X185" s="344">
        <f>SUM(T185:W185)</f>
        <v/>
      </c>
      <c r="Y185" s="343" t="n">
        <v>2.2</v>
      </c>
      <c r="Z185" s="343" t="n">
        <v>2.2</v>
      </c>
      <c r="AA185" s="343" t="n">
        <v>2.2</v>
      </c>
      <c r="AB185" s="343" t="n">
        <v>2.2</v>
      </c>
      <c r="AC185" s="344">
        <f>SUM(Y185:AB185)</f>
        <v/>
      </c>
      <c r="AD185" s="343" t="n">
        <v>2.2</v>
      </c>
      <c r="AE185" s="343" t="n">
        <v>2.2</v>
      </c>
      <c r="AF185" s="343" t="n">
        <v>2.2</v>
      </c>
      <c r="AG185" s="343" t="n">
        <v>2.2</v>
      </c>
      <c r="AH185" s="344">
        <f>SUM(AD185:AG185)</f>
        <v/>
      </c>
      <c r="AI185" s="343" t="n">
        <v>2.2</v>
      </c>
      <c r="AJ185" s="343" t="n">
        <v>2.2</v>
      </c>
      <c r="AK185" s="343" t="n">
        <v>2.2</v>
      </c>
      <c r="AL185" s="343" t="n">
        <v>2.2</v>
      </c>
      <c r="AM185" s="344">
        <f>SUM(AI185:AL185)</f>
        <v/>
      </c>
      <c r="AN185" s="343" t="n">
        <v>2.2</v>
      </c>
      <c r="AO185" s="343" t="n">
        <v>2.2</v>
      </c>
      <c r="AP185" s="343" t="n">
        <v>2.2</v>
      </c>
      <c r="AQ185" s="343" t="n">
        <v>2.2</v>
      </c>
      <c r="AR185" s="344">
        <f>SUM(AN185:AQ185)</f>
        <v/>
      </c>
    </row>
    <row r="186" ht="13.5" customHeight="1" s="290">
      <c r="A186" s="345" t="n"/>
      <c r="B186" s="346" t="inlineStr">
        <is>
          <t xml:space="preserve">  Deals / EPE / Qtr — Junior  — ★ ACTIVE</t>
        </is>
      </c>
      <c r="E186" s="361">
        <f>IF('01 Cover &amp; Control'!$C$19="Base",E183,IF('01 Cover &amp; Control'!$C$19="Upside",E184,E185))</f>
        <v/>
      </c>
      <c r="F186" s="361">
        <f>IF('01 Cover &amp; Control'!$C$19="Base",F183,IF('01 Cover &amp; Control'!$C$19="Upside",F184,F185))</f>
        <v/>
      </c>
      <c r="G186" s="361">
        <f>IF('01 Cover &amp; Control'!$C$19="Base",G183,IF('01 Cover &amp; Control'!$C$19="Upside",G184,G185))</f>
        <v/>
      </c>
      <c r="H186" s="361">
        <f>IF('01 Cover &amp; Control'!$C$19="Base",H183,IF('01 Cover &amp; Control'!$C$19="Upside",H184,H185))</f>
        <v/>
      </c>
      <c r="I186" s="347">
        <f>AVERAGE(E186:H186)</f>
        <v/>
      </c>
      <c r="J186" s="361">
        <f>IF('01 Cover &amp; Control'!$C$19="Base",J183,IF('01 Cover &amp; Control'!$C$19="Upside",J184,J185))</f>
        <v/>
      </c>
      <c r="K186" s="361">
        <f>IF('01 Cover &amp; Control'!$C$19="Base",K183,IF('01 Cover &amp; Control'!$C$19="Upside",K184,K185))</f>
        <v/>
      </c>
      <c r="L186" s="361">
        <f>IF('01 Cover &amp; Control'!$C$19="Base",L183,IF('01 Cover &amp; Control'!$C$19="Upside",L184,L185))</f>
        <v/>
      </c>
      <c r="M186" s="361">
        <f>IF('01 Cover &amp; Control'!$C$19="Base",M183,IF('01 Cover &amp; Control'!$C$19="Upside",M184,M185))</f>
        <v/>
      </c>
      <c r="N186" s="347">
        <f>AVERAGE(J186:M186)</f>
        <v/>
      </c>
      <c r="O186" s="361">
        <f>IF('01 Cover &amp; Control'!$C$19="Base",O183,IF('01 Cover &amp; Control'!$C$19="Upside",O184,O185))</f>
        <v/>
      </c>
      <c r="P186" s="361">
        <f>IF('01 Cover &amp; Control'!$C$19="Base",P183,IF('01 Cover &amp; Control'!$C$19="Upside",P184,P185))</f>
        <v/>
      </c>
      <c r="Q186" s="361">
        <f>IF('01 Cover &amp; Control'!$C$19="Base",Q183,IF('01 Cover &amp; Control'!$C$19="Upside",Q184,Q185))</f>
        <v/>
      </c>
      <c r="R186" s="361">
        <f>IF('01 Cover &amp; Control'!$C$19="Base",R183,IF('01 Cover &amp; Control'!$C$19="Upside",R184,R185))</f>
        <v/>
      </c>
      <c r="S186" s="347">
        <f>AVERAGE(O186:R186)</f>
        <v/>
      </c>
      <c r="T186" s="361">
        <f>IF('01 Cover &amp; Control'!$C$19="Base",T183,IF('01 Cover &amp; Control'!$C$19="Upside",T184,T185))</f>
        <v/>
      </c>
      <c r="U186" s="361">
        <f>IF('01 Cover &amp; Control'!$C$19="Base",U183,IF('01 Cover &amp; Control'!$C$19="Upside",U184,U185))</f>
        <v/>
      </c>
      <c r="V186" s="361">
        <f>IF('01 Cover &amp; Control'!$C$19="Base",V183,IF('01 Cover &amp; Control'!$C$19="Upside",V184,V185))</f>
        <v/>
      </c>
      <c r="W186" s="361">
        <f>IF('01 Cover &amp; Control'!$C$19="Base",W183,IF('01 Cover &amp; Control'!$C$19="Upside",W184,W185))</f>
        <v/>
      </c>
      <c r="X186" s="347">
        <f>AVERAGE(T186:W186)</f>
        <v/>
      </c>
      <c r="Y186" s="361">
        <f>IF('01 Cover &amp; Control'!$C$19="Base",Y183,IF('01 Cover &amp; Control'!$C$19="Upside",Y184,Y185))</f>
        <v/>
      </c>
      <c r="Z186" s="361">
        <f>IF('01 Cover &amp; Control'!$C$19="Base",Z183,IF('01 Cover &amp; Control'!$C$19="Upside",Z184,Z185))</f>
        <v/>
      </c>
      <c r="AA186" s="361">
        <f>IF('01 Cover &amp; Control'!$C$19="Base",AA183,IF('01 Cover &amp; Control'!$C$19="Upside",AA184,AA185))</f>
        <v/>
      </c>
      <c r="AB186" s="361">
        <f>IF('01 Cover &amp; Control'!$C$19="Base",AB183,IF('01 Cover &amp; Control'!$C$19="Upside",AB184,AB185))</f>
        <v/>
      </c>
      <c r="AC186" s="347">
        <f>AVERAGE(Y186:AB186)</f>
        <v/>
      </c>
      <c r="AD186" s="361">
        <f>IF('01 Cover &amp; Control'!$C$19="Base",AD183,IF('01 Cover &amp; Control'!$C$19="Upside",AD184,AD185))</f>
        <v/>
      </c>
      <c r="AE186" s="361">
        <f>IF('01 Cover &amp; Control'!$C$19="Base",AE183,IF('01 Cover &amp; Control'!$C$19="Upside",AE184,AE185))</f>
        <v/>
      </c>
      <c r="AF186" s="361">
        <f>IF('01 Cover &amp; Control'!$C$19="Base",AF183,IF('01 Cover &amp; Control'!$C$19="Upside",AF184,AF185))</f>
        <v/>
      </c>
      <c r="AG186" s="361">
        <f>IF('01 Cover &amp; Control'!$C$19="Base",AG183,IF('01 Cover &amp; Control'!$C$19="Upside",AG184,AG185))</f>
        <v/>
      </c>
      <c r="AH186" s="347">
        <f>AVERAGE(AD186:AG186)</f>
        <v/>
      </c>
      <c r="AI186" s="361">
        <f>IF('01 Cover &amp; Control'!$C$19="Base",AI183,IF('01 Cover &amp; Control'!$C$19="Upside",AI184,AI185))</f>
        <v/>
      </c>
      <c r="AJ186" s="361">
        <f>IF('01 Cover &amp; Control'!$C$19="Base",AJ183,IF('01 Cover &amp; Control'!$C$19="Upside",AJ184,AJ185))</f>
        <v/>
      </c>
      <c r="AK186" s="361">
        <f>IF('01 Cover &amp; Control'!$C$19="Base",AK183,IF('01 Cover &amp; Control'!$C$19="Upside",AK184,AK185))</f>
        <v/>
      </c>
      <c r="AL186" s="361">
        <f>IF('01 Cover &amp; Control'!$C$19="Base",AL183,IF('01 Cover &amp; Control'!$C$19="Upside",AL184,AL185))</f>
        <v/>
      </c>
      <c r="AM186" s="347">
        <f>AVERAGE(AI186:AL186)</f>
        <v/>
      </c>
      <c r="AN186" s="361">
        <f>IF('01 Cover &amp; Control'!$C$19="Base",AN183,IF('01 Cover &amp; Control'!$C$19="Upside",AN184,AN185))</f>
        <v/>
      </c>
      <c r="AO186" s="361">
        <f>IF('01 Cover &amp; Control'!$C$19="Base",AO183,IF('01 Cover &amp; Control'!$C$19="Upside",AO184,AO185))</f>
        <v/>
      </c>
      <c r="AP186" s="361">
        <f>IF('01 Cover &amp; Control'!$C$19="Base",AP183,IF('01 Cover &amp; Control'!$C$19="Upside",AP184,AP185))</f>
        <v/>
      </c>
      <c r="AQ186" s="361">
        <f>IF('01 Cover &amp; Control'!$C$19="Base",AQ183,IF('01 Cover &amp; Control'!$C$19="Upside",AQ184,AQ185))</f>
        <v/>
      </c>
      <c r="AR186" s="347">
        <f>AVERAGE(AN186:AQ186)</f>
        <v/>
      </c>
    </row>
    <row r="187" ht="3" customHeight="1" s="290"/>
    <row r="188" ht="13.5" customHeight="1" s="290">
      <c r="A188" s="339" t="n"/>
      <c r="B188" s="357" t="inlineStr">
        <is>
          <t xml:space="preserve">  Avg SF per Leasing Deal</t>
        </is>
      </c>
      <c r="C188" s="341" t="inlineStr">
        <is>
          <t>SF/deal</t>
        </is>
      </c>
      <c r="D188" s="342" t="inlineStr">
        <is>
          <t>Structural input. Tab 02 row 95 (market avg rent) used for revenue calc.</t>
        </is>
      </c>
      <c r="E188" s="343" t="n">
        <v>18000</v>
      </c>
      <c r="F188" s="343" t="n">
        <v>18000</v>
      </c>
      <c r="G188" s="343" t="n">
        <v>18000</v>
      </c>
      <c r="H188" s="343" t="n">
        <v>18000</v>
      </c>
      <c r="I188" s="344">
        <f>SUM(E188:H188)</f>
        <v/>
      </c>
      <c r="J188" s="343" t="n">
        <v>18000</v>
      </c>
      <c r="K188" s="343" t="n">
        <v>18000</v>
      </c>
      <c r="L188" s="343" t="n">
        <v>18000</v>
      </c>
      <c r="M188" s="343" t="n">
        <v>18000</v>
      </c>
      <c r="N188" s="344">
        <f>SUM(J188:M188)</f>
        <v/>
      </c>
      <c r="O188" s="343" t="n">
        <v>18000</v>
      </c>
      <c r="P188" s="343" t="n">
        <v>18000</v>
      </c>
      <c r="Q188" s="343" t="n">
        <v>18000</v>
      </c>
      <c r="R188" s="343" t="n">
        <v>18000</v>
      </c>
      <c r="S188" s="344">
        <f>SUM(O188:R188)</f>
        <v/>
      </c>
      <c r="T188" s="343" t="n">
        <v>18000</v>
      </c>
      <c r="U188" s="343" t="n">
        <v>18000</v>
      </c>
      <c r="V188" s="343" t="n">
        <v>18000</v>
      </c>
      <c r="W188" s="343" t="n">
        <v>18000</v>
      </c>
      <c r="X188" s="344">
        <f>SUM(T188:W188)</f>
        <v/>
      </c>
      <c r="Y188" s="343" t="n">
        <v>18000</v>
      </c>
      <c r="Z188" s="343" t="n">
        <v>18000</v>
      </c>
      <c r="AA188" s="343" t="n">
        <v>18000</v>
      </c>
      <c r="AB188" s="343" t="n">
        <v>18000</v>
      </c>
      <c r="AC188" s="344">
        <f>SUM(Y188:AB188)</f>
        <v/>
      </c>
      <c r="AD188" s="343" t="n">
        <v>18000</v>
      </c>
      <c r="AE188" s="343" t="n">
        <v>18000</v>
      </c>
      <c r="AF188" s="343" t="n">
        <v>18000</v>
      </c>
      <c r="AG188" s="343" t="n">
        <v>18000</v>
      </c>
      <c r="AH188" s="344">
        <f>SUM(AD188:AG188)</f>
        <v/>
      </c>
      <c r="AI188" s="343" t="n">
        <v>18000</v>
      </c>
      <c r="AJ188" s="343" t="n">
        <v>18000</v>
      </c>
      <c r="AK188" s="343" t="n">
        <v>18000</v>
      </c>
      <c r="AL188" s="343" t="n">
        <v>18000</v>
      </c>
      <c r="AM188" s="344">
        <f>SUM(AI188:AL188)</f>
        <v/>
      </c>
      <c r="AN188" s="343" t="n">
        <v>18000</v>
      </c>
      <c r="AO188" s="343" t="n">
        <v>18000</v>
      </c>
      <c r="AP188" s="343" t="n">
        <v>18000</v>
      </c>
      <c r="AQ188" s="343" t="n">
        <v>18000</v>
      </c>
      <c r="AR188" s="344">
        <f>SUM(AN188:AQ188)</f>
        <v/>
      </c>
    </row>
    <row r="189" ht="13.5" customHeight="1" s="290">
      <c r="A189" s="339" t="n"/>
      <c r="B189" s="357" t="inlineStr">
        <is>
          <t xml:space="preserve">  Avg Lease Term</t>
        </is>
      </c>
      <c r="C189" s="341" t="inlineStr">
        <is>
          <t>years</t>
        </is>
      </c>
      <c r="D189" s="342" t="inlineStr">
        <is>
          <t>Structural input. Applied in Revenue Engine: ALC = SF × rent × term.</t>
        </is>
      </c>
      <c r="E189" s="343" t="n">
        <v>6</v>
      </c>
      <c r="F189" s="343" t="n">
        <v>6</v>
      </c>
      <c r="G189" s="343" t="n">
        <v>6</v>
      </c>
      <c r="H189" s="343" t="n">
        <v>6</v>
      </c>
      <c r="I189" s="344">
        <f>SUM(E189:H189)</f>
        <v/>
      </c>
      <c r="J189" s="343" t="n">
        <v>6</v>
      </c>
      <c r="K189" s="343" t="n">
        <v>6</v>
      </c>
      <c r="L189" s="343" t="n">
        <v>6</v>
      </c>
      <c r="M189" s="343" t="n">
        <v>6</v>
      </c>
      <c r="N189" s="344">
        <f>SUM(J189:M189)</f>
        <v/>
      </c>
      <c r="O189" s="343" t="n">
        <v>6</v>
      </c>
      <c r="P189" s="343" t="n">
        <v>6</v>
      </c>
      <c r="Q189" s="343" t="n">
        <v>6</v>
      </c>
      <c r="R189" s="343" t="n">
        <v>6</v>
      </c>
      <c r="S189" s="344">
        <f>SUM(O189:R189)</f>
        <v/>
      </c>
      <c r="T189" s="343" t="n">
        <v>6</v>
      </c>
      <c r="U189" s="343" t="n">
        <v>6</v>
      </c>
      <c r="V189" s="343" t="n">
        <v>6</v>
      </c>
      <c r="W189" s="343" t="n">
        <v>6</v>
      </c>
      <c r="X189" s="344">
        <f>SUM(T189:W189)</f>
        <v/>
      </c>
      <c r="Y189" s="343" t="n">
        <v>6</v>
      </c>
      <c r="Z189" s="343" t="n">
        <v>6</v>
      </c>
      <c r="AA189" s="343" t="n">
        <v>6</v>
      </c>
      <c r="AB189" s="343" t="n">
        <v>6</v>
      </c>
      <c r="AC189" s="344">
        <f>SUM(Y189:AB189)</f>
        <v/>
      </c>
      <c r="AD189" s="343" t="n">
        <v>6</v>
      </c>
      <c r="AE189" s="343" t="n">
        <v>6</v>
      </c>
      <c r="AF189" s="343" t="n">
        <v>6</v>
      </c>
      <c r="AG189" s="343" t="n">
        <v>6</v>
      </c>
      <c r="AH189" s="344">
        <f>SUM(AD189:AG189)</f>
        <v/>
      </c>
      <c r="AI189" s="343" t="n">
        <v>6</v>
      </c>
      <c r="AJ189" s="343" t="n">
        <v>6</v>
      </c>
      <c r="AK189" s="343" t="n">
        <v>6</v>
      </c>
      <c r="AL189" s="343" t="n">
        <v>6</v>
      </c>
      <c r="AM189" s="344">
        <f>SUM(AI189:AL189)</f>
        <v/>
      </c>
      <c r="AN189" s="343" t="n">
        <v>6</v>
      </c>
      <c r="AO189" s="343" t="n">
        <v>6</v>
      </c>
      <c r="AP189" s="343" t="n">
        <v>6</v>
      </c>
      <c r="AQ189" s="343" t="n">
        <v>6</v>
      </c>
      <c r="AR189" s="344">
        <f>SUM(AN189:AQ189)</f>
        <v/>
      </c>
    </row>
    <row r="190" ht="13.5" customHeight="1" s="290">
      <c r="A190" s="339" t="n"/>
      <c r="B190" s="357" t="inlineStr">
        <is>
          <t xml:space="preserve">  Tenant Rep / Landlord Rep Mix (% Tenant Rep)</t>
        </is>
      </c>
      <c r="C190" s="341" t="inlineStr">
        <is>
          <t>%</t>
        </is>
      </c>
      <c r="D190" s="342" t="inlineStr">
        <is>
          <t>% of total leasing deals that are tenant representation. Affects commission rate applied.</t>
        </is>
      </c>
      <c r="E190" s="343" t="n">
        <v>0.55</v>
      </c>
      <c r="F190" s="343" t="n">
        <v>0.55</v>
      </c>
      <c r="G190" s="343" t="n">
        <v>0.55</v>
      </c>
      <c r="H190" s="343" t="n">
        <v>0.55</v>
      </c>
      <c r="I190" s="344">
        <f>AVERAGE(E190:H190)</f>
        <v/>
      </c>
      <c r="J190" s="343" t="n">
        <v>0.55</v>
      </c>
      <c r="K190" s="343" t="n">
        <v>0.55</v>
      </c>
      <c r="L190" s="343" t="n">
        <v>0.55</v>
      </c>
      <c r="M190" s="343" t="n">
        <v>0.55</v>
      </c>
      <c r="N190" s="344">
        <f>AVERAGE(J190:M190)</f>
        <v/>
      </c>
      <c r="O190" s="343" t="n">
        <v>0.55</v>
      </c>
      <c r="P190" s="343" t="n">
        <v>0.55</v>
      </c>
      <c r="Q190" s="343" t="n">
        <v>0.55</v>
      </c>
      <c r="R190" s="343" t="n">
        <v>0.55</v>
      </c>
      <c r="S190" s="344">
        <f>AVERAGE(O190:R190)</f>
        <v/>
      </c>
      <c r="T190" s="343" t="n">
        <v>0.55</v>
      </c>
      <c r="U190" s="343" t="n">
        <v>0.55</v>
      </c>
      <c r="V190" s="343" t="n">
        <v>0.55</v>
      </c>
      <c r="W190" s="343" t="n">
        <v>0.55</v>
      </c>
      <c r="X190" s="344">
        <f>AVERAGE(T190:W190)</f>
        <v/>
      </c>
      <c r="Y190" s="343" t="n">
        <v>0.55</v>
      </c>
      <c r="Z190" s="343" t="n">
        <v>0.55</v>
      </c>
      <c r="AA190" s="343" t="n">
        <v>0.55</v>
      </c>
      <c r="AB190" s="343" t="n">
        <v>0.55</v>
      </c>
      <c r="AC190" s="344">
        <f>AVERAGE(Y190:AB190)</f>
        <v/>
      </c>
      <c r="AD190" s="343" t="n">
        <v>0.55</v>
      </c>
      <c r="AE190" s="343" t="n">
        <v>0.55</v>
      </c>
      <c r="AF190" s="343" t="n">
        <v>0.55</v>
      </c>
      <c r="AG190" s="343" t="n">
        <v>0.55</v>
      </c>
      <c r="AH190" s="344">
        <f>AVERAGE(AD190:AG190)</f>
        <v/>
      </c>
      <c r="AI190" s="343" t="n">
        <v>0.55</v>
      </c>
      <c r="AJ190" s="343" t="n">
        <v>0.55</v>
      </c>
      <c r="AK190" s="343" t="n">
        <v>0.55</v>
      </c>
      <c r="AL190" s="343" t="n">
        <v>0.55</v>
      </c>
      <c r="AM190" s="344">
        <f>AVERAGE(AI190:AL190)</f>
        <v/>
      </c>
      <c r="AN190" s="343" t="n">
        <v>0.55</v>
      </c>
      <c r="AO190" s="343" t="n">
        <v>0.55</v>
      </c>
      <c r="AP190" s="343" t="n">
        <v>0.55</v>
      </c>
      <c r="AQ190" s="343" t="n">
        <v>0.55</v>
      </c>
      <c r="AR190" s="344">
        <f>AVERAGE(AN190:AQ190)</f>
        <v/>
      </c>
    </row>
    <row r="191" ht="13.5" customHeight="1" s="290">
      <c r="A191" s="339" t="n"/>
      <c r="B191" s="352" t="inlineStr">
        <is>
          <t xml:space="preserve">  [V2 Ref]  New Lease vs Renewal Mix (% New)</t>
        </is>
      </c>
      <c r="C191" s="341" t="inlineStr">
        <is>
          <t>%</t>
        </is>
      </c>
      <c r="D191" s="350" t="inlineStr">
        <is>
          <t>V2 REFERENCE ONLY: New vs Renewal lease mix not used in V1 commission calculation. Reserved for V2 lease-type-specific commission rates.</t>
        </is>
      </c>
      <c r="E191" s="343" t="n">
        <v>0.6</v>
      </c>
      <c r="F191" s="343" t="n">
        <v>0.6</v>
      </c>
      <c r="G191" s="343" t="n">
        <v>0.6</v>
      </c>
      <c r="H191" s="343" t="n">
        <v>0.6</v>
      </c>
      <c r="I191" s="344">
        <f>AVERAGE(E191:H191)</f>
        <v/>
      </c>
      <c r="J191" s="343" t="n">
        <v>0.6</v>
      </c>
      <c r="K191" s="343" t="n">
        <v>0.6</v>
      </c>
      <c r="L191" s="343" t="n">
        <v>0.6</v>
      </c>
      <c r="M191" s="343" t="n">
        <v>0.6</v>
      </c>
      <c r="N191" s="344">
        <f>AVERAGE(J191:M191)</f>
        <v/>
      </c>
      <c r="O191" s="343" t="n">
        <v>0.6</v>
      </c>
      <c r="P191" s="343" t="n">
        <v>0.6</v>
      </c>
      <c r="Q191" s="343" t="n">
        <v>0.6</v>
      </c>
      <c r="R191" s="343" t="n">
        <v>0.6</v>
      </c>
      <c r="S191" s="344">
        <f>AVERAGE(O191:R191)</f>
        <v/>
      </c>
      <c r="T191" s="343" t="n">
        <v>0.6</v>
      </c>
      <c r="U191" s="343" t="n">
        <v>0.6</v>
      </c>
      <c r="V191" s="343" t="n">
        <v>0.6</v>
      </c>
      <c r="W191" s="343" t="n">
        <v>0.6</v>
      </c>
      <c r="X191" s="344">
        <f>AVERAGE(T191:W191)</f>
        <v/>
      </c>
      <c r="Y191" s="343" t="n">
        <v>0.6</v>
      </c>
      <c r="Z191" s="343" t="n">
        <v>0.6</v>
      </c>
      <c r="AA191" s="343" t="n">
        <v>0.6</v>
      </c>
      <c r="AB191" s="343" t="n">
        <v>0.6</v>
      </c>
      <c r="AC191" s="344">
        <f>AVERAGE(Y191:AB191)</f>
        <v/>
      </c>
      <c r="AD191" s="343" t="n">
        <v>0.6</v>
      </c>
      <c r="AE191" s="343" t="n">
        <v>0.6</v>
      </c>
      <c r="AF191" s="343" t="n">
        <v>0.6</v>
      </c>
      <c r="AG191" s="343" t="n">
        <v>0.6</v>
      </c>
      <c r="AH191" s="344">
        <f>AVERAGE(AD191:AG191)</f>
        <v/>
      </c>
      <c r="AI191" s="343" t="n">
        <v>0.6</v>
      </c>
      <c r="AJ191" s="343" t="n">
        <v>0.6</v>
      </c>
      <c r="AK191" s="343" t="n">
        <v>0.6</v>
      </c>
      <c r="AL191" s="343" t="n">
        <v>0.6</v>
      </c>
      <c r="AM191" s="344">
        <f>AVERAGE(AI191:AL191)</f>
        <v/>
      </c>
      <c r="AN191" s="343" t="n">
        <v>0.6</v>
      </c>
      <c r="AO191" s="343" t="n">
        <v>0.6</v>
      </c>
      <c r="AP191" s="343" t="n">
        <v>0.6</v>
      </c>
      <c r="AQ191" s="343" t="n">
        <v>0.6</v>
      </c>
      <c r="AR191" s="344">
        <f>AVERAGE(AN191:AQ191)</f>
        <v/>
      </c>
    </row>
    <row r="192" ht="4.5" customHeight="1" s="290"/>
    <row r="193" ht="15" customHeight="1" s="290">
      <c r="A193" s="307" t="inlineStr">
        <is>
          <t xml:space="preserve">    C2 — INVESTMENT SALES PRODUCTIVITY</t>
        </is>
      </c>
    </row>
    <row r="194" ht="3" customHeight="1" s="290"/>
    <row r="195" ht="13.5" customHeight="1" s="290">
      <c r="A195" s="339" t="n"/>
      <c r="B195" s="340" t="inlineStr">
        <is>
          <t xml:space="preserve">  Deals / EPE / Qtr — Rainmaker  — Base</t>
        </is>
      </c>
      <c r="C195" s="341" t="inlineStr">
        <is>
          <t>#/qtr</t>
        </is>
      </c>
      <c r="D195" s="342" t="inlineStr">
        <is>
          <t>Scenario-keyed. Note: IS deals are lumpy — Rainmakers: ~1–2/qtr, Core: ~1/qtr, Junior: &lt;1/qtr.</t>
        </is>
      </c>
      <c r="E195" s="343" t="n">
        <v>2.5</v>
      </c>
      <c r="F195" s="343" t="n">
        <v>2.5</v>
      </c>
      <c r="G195" s="343" t="n">
        <v>2.5</v>
      </c>
      <c r="H195" s="343" t="n">
        <v>2.5</v>
      </c>
      <c r="I195" s="344">
        <f>SUM(E195:H195)</f>
        <v/>
      </c>
      <c r="J195" s="343" t="n">
        <v>2.5</v>
      </c>
      <c r="K195" s="343" t="n">
        <v>2.5</v>
      </c>
      <c r="L195" s="343" t="n">
        <v>2.5</v>
      </c>
      <c r="M195" s="343" t="n">
        <v>2.5</v>
      </c>
      <c r="N195" s="344">
        <f>SUM(J195:M195)</f>
        <v/>
      </c>
      <c r="O195" s="343" t="n">
        <v>2.5</v>
      </c>
      <c r="P195" s="343" t="n">
        <v>2.5</v>
      </c>
      <c r="Q195" s="343" t="n">
        <v>2.5</v>
      </c>
      <c r="R195" s="343" t="n">
        <v>2.5</v>
      </c>
      <c r="S195" s="344">
        <f>SUM(O195:R195)</f>
        <v/>
      </c>
      <c r="T195" s="343" t="n">
        <v>2.5</v>
      </c>
      <c r="U195" s="343" t="n">
        <v>2.5</v>
      </c>
      <c r="V195" s="343" t="n">
        <v>2.5</v>
      </c>
      <c r="W195" s="343" t="n">
        <v>2.5</v>
      </c>
      <c r="X195" s="344">
        <f>SUM(T195:W195)</f>
        <v/>
      </c>
      <c r="Y195" s="343" t="n">
        <v>2.5</v>
      </c>
      <c r="Z195" s="343" t="n">
        <v>2.5</v>
      </c>
      <c r="AA195" s="343" t="n">
        <v>2.5</v>
      </c>
      <c r="AB195" s="343" t="n">
        <v>2.5</v>
      </c>
      <c r="AC195" s="344">
        <f>SUM(Y195:AB195)</f>
        <v/>
      </c>
      <c r="AD195" s="343" t="n">
        <v>2.5</v>
      </c>
      <c r="AE195" s="343" t="n">
        <v>2.5</v>
      </c>
      <c r="AF195" s="343" t="n">
        <v>2.5</v>
      </c>
      <c r="AG195" s="343" t="n">
        <v>2.5</v>
      </c>
      <c r="AH195" s="344">
        <f>SUM(AD195:AG195)</f>
        <v/>
      </c>
      <c r="AI195" s="343" t="n">
        <v>2.5</v>
      </c>
      <c r="AJ195" s="343" t="n">
        <v>2.5</v>
      </c>
      <c r="AK195" s="343" t="n">
        <v>2.5</v>
      </c>
      <c r="AL195" s="343" t="n">
        <v>2.5</v>
      </c>
      <c r="AM195" s="344">
        <f>SUM(AI195:AL195)</f>
        <v/>
      </c>
      <c r="AN195" s="343" t="n">
        <v>2.5</v>
      </c>
      <c r="AO195" s="343" t="n">
        <v>2.5</v>
      </c>
      <c r="AP195" s="343" t="n">
        <v>2.5</v>
      </c>
      <c r="AQ195" s="343" t="n">
        <v>2.5</v>
      </c>
      <c r="AR195" s="344">
        <f>SUM(AN195:AQ195)</f>
        <v/>
      </c>
    </row>
    <row r="196" ht="13.5" customHeight="1" s="290">
      <c r="A196" s="339" t="n"/>
      <c r="B196" s="340" t="inlineStr">
        <is>
          <t xml:space="preserve">  Deals / EPE / Qtr — Rainmaker  — Upside</t>
        </is>
      </c>
      <c r="E196" s="343" t="n">
        <v>2.75</v>
      </c>
      <c r="F196" s="343" t="n">
        <v>2.75</v>
      </c>
      <c r="G196" s="343" t="n">
        <v>2.75</v>
      </c>
      <c r="H196" s="343" t="n">
        <v>2.75</v>
      </c>
      <c r="I196" s="344">
        <f>SUM(E196:H196)</f>
        <v/>
      </c>
      <c r="J196" s="343" t="n">
        <v>2.75</v>
      </c>
      <c r="K196" s="343" t="n">
        <v>2.75</v>
      </c>
      <c r="L196" s="343" t="n">
        <v>2.75</v>
      </c>
      <c r="M196" s="343" t="n">
        <v>2.75</v>
      </c>
      <c r="N196" s="344">
        <f>SUM(J196:M196)</f>
        <v/>
      </c>
      <c r="O196" s="343" t="n">
        <v>2.75</v>
      </c>
      <c r="P196" s="343" t="n">
        <v>2.75</v>
      </c>
      <c r="Q196" s="343" t="n">
        <v>2.75</v>
      </c>
      <c r="R196" s="343" t="n">
        <v>2.75</v>
      </c>
      <c r="S196" s="344">
        <f>SUM(O196:R196)</f>
        <v/>
      </c>
      <c r="T196" s="343" t="n">
        <v>2.75</v>
      </c>
      <c r="U196" s="343" t="n">
        <v>2.75</v>
      </c>
      <c r="V196" s="343" t="n">
        <v>2.75</v>
      </c>
      <c r="W196" s="343" t="n">
        <v>2.75</v>
      </c>
      <c r="X196" s="344">
        <f>SUM(T196:W196)</f>
        <v/>
      </c>
      <c r="Y196" s="343" t="n">
        <v>2.75</v>
      </c>
      <c r="Z196" s="343" t="n">
        <v>2.75</v>
      </c>
      <c r="AA196" s="343" t="n">
        <v>2.75</v>
      </c>
      <c r="AB196" s="343" t="n">
        <v>2.75</v>
      </c>
      <c r="AC196" s="344">
        <f>SUM(Y196:AB196)</f>
        <v/>
      </c>
      <c r="AD196" s="343" t="n">
        <v>2.75</v>
      </c>
      <c r="AE196" s="343" t="n">
        <v>2.75</v>
      </c>
      <c r="AF196" s="343" t="n">
        <v>2.75</v>
      </c>
      <c r="AG196" s="343" t="n">
        <v>2.75</v>
      </c>
      <c r="AH196" s="344">
        <f>SUM(AD196:AG196)</f>
        <v/>
      </c>
      <c r="AI196" s="343" t="n">
        <v>2.75</v>
      </c>
      <c r="AJ196" s="343" t="n">
        <v>2.75</v>
      </c>
      <c r="AK196" s="343" t="n">
        <v>2.75</v>
      </c>
      <c r="AL196" s="343" t="n">
        <v>2.75</v>
      </c>
      <c r="AM196" s="344">
        <f>SUM(AI196:AL196)</f>
        <v/>
      </c>
      <c r="AN196" s="343" t="n">
        <v>2.75</v>
      </c>
      <c r="AO196" s="343" t="n">
        <v>2.75</v>
      </c>
      <c r="AP196" s="343" t="n">
        <v>2.75</v>
      </c>
      <c r="AQ196" s="343" t="n">
        <v>2.75</v>
      </c>
      <c r="AR196" s="344">
        <f>SUM(AN196:AQ196)</f>
        <v/>
      </c>
    </row>
    <row r="197" ht="13.5" customHeight="1" s="290">
      <c r="A197" s="339" t="n"/>
      <c r="B197" s="340" t="inlineStr">
        <is>
          <t xml:space="preserve">  Deals / EPE / Qtr — Rainmaker  — Downside</t>
        </is>
      </c>
      <c r="E197" s="343" t="n">
        <v>2.25</v>
      </c>
      <c r="F197" s="343" t="n">
        <v>2.25</v>
      </c>
      <c r="G197" s="343" t="n">
        <v>2.25</v>
      </c>
      <c r="H197" s="343" t="n">
        <v>2.25</v>
      </c>
      <c r="I197" s="344">
        <f>SUM(E197:H197)</f>
        <v/>
      </c>
      <c r="J197" s="343" t="n">
        <v>2.25</v>
      </c>
      <c r="K197" s="343" t="n">
        <v>2.25</v>
      </c>
      <c r="L197" s="343" t="n">
        <v>2.25</v>
      </c>
      <c r="M197" s="343" t="n">
        <v>2.25</v>
      </c>
      <c r="N197" s="344">
        <f>SUM(J197:M197)</f>
        <v/>
      </c>
      <c r="O197" s="343" t="n">
        <v>2.25</v>
      </c>
      <c r="P197" s="343" t="n">
        <v>2.25</v>
      </c>
      <c r="Q197" s="343" t="n">
        <v>2.25</v>
      </c>
      <c r="R197" s="343" t="n">
        <v>2.25</v>
      </c>
      <c r="S197" s="344">
        <f>SUM(O197:R197)</f>
        <v/>
      </c>
      <c r="T197" s="343" t="n">
        <v>2.25</v>
      </c>
      <c r="U197" s="343" t="n">
        <v>2.25</v>
      </c>
      <c r="V197" s="343" t="n">
        <v>2.25</v>
      </c>
      <c r="W197" s="343" t="n">
        <v>2.25</v>
      </c>
      <c r="X197" s="344">
        <f>SUM(T197:W197)</f>
        <v/>
      </c>
      <c r="Y197" s="343" t="n">
        <v>2.25</v>
      </c>
      <c r="Z197" s="343" t="n">
        <v>2.25</v>
      </c>
      <c r="AA197" s="343" t="n">
        <v>2.25</v>
      </c>
      <c r="AB197" s="343" t="n">
        <v>2.25</v>
      </c>
      <c r="AC197" s="344">
        <f>SUM(Y197:AB197)</f>
        <v/>
      </c>
      <c r="AD197" s="343" t="n">
        <v>2.25</v>
      </c>
      <c r="AE197" s="343" t="n">
        <v>2.25</v>
      </c>
      <c r="AF197" s="343" t="n">
        <v>2.25</v>
      </c>
      <c r="AG197" s="343" t="n">
        <v>2.25</v>
      </c>
      <c r="AH197" s="344">
        <f>SUM(AD197:AG197)</f>
        <v/>
      </c>
      <c r="AI197" s="343" t="n">
        <v>2.25</v>
      </c>
      <c r="AJ197" s="343" t="n">
        <v>2.25</v>
      </c>
      <c r="AK197" s="343" t="n">
        <v>2.25</v>
      </c>
      <c r="AL197" s="343" t="n">
        <v>2.25</v>
      </c>
      <c r="AM197" s="344">
        <f>SUM(AI197:AL197)</f>
        <v/>
      </c>
      <c r="AN197" s="343" t="n">
        <v>2.25</v>
      </c>
      <c r="AO197" s="343" t="n">
        <v>2.25</v>
      </c>
      <c r="AP197" s="343" t="n">
        <v>2.25</v>
      </c>
      <c r="AQ197" s="343" t="n">
        <v>2.25</v>
      </c>
      <c r="AR197" s="344">
        <f>SUM(AN197:AQ197)</f>
        <v/>
      </c>
    </row>
    <row r="198" ht="13.5" customHeight="1" s="290">
      <c r="A198" s="345" t="n"/>
      <c r="B198" s="346" t="inlineStr">
        <is>
          <t xml:space="preserve">  Deals / EPE / Qtr — Rainmaker  — ★ ACTIVE</t>
        </is>
      </c>
      <c r="E198" s="361">
        <f>IF('01 Cover &amp; Control'!$C$19="Base",E195,IF('01 Cover &amp; Control'!$C$19="Upside",E196,E197))</f>
        <v/>
      </c>
      <c r="F198" s="361">
        <f>IF('01 Cover &amp; Control'!$C$19="Base",F195,IF('01 Cover &amp; Control'!$C$19="Upside",F196,F197))</f>
        <v/>
      </c>
      <c r="G198" s="361">
        <f>IF('01 Cover &amp; Control'!$C$19="Base",G195,IF('01 Cover &amp; Control'!$C$19="Upside",G196,G197))</f>
        <v/>
      </c>
      <c r="H198" s="361">
        <f>IF('01 Cover &amp; Control'!$C$19="Base",H195,IF('01 Cover &amp; Control'!$C$19="Upside",H196,H197))</f>
        <v/>
      </c>
      <c r="I198" s="347">
        <f>AVERAGE(E198:H198)</f>
        <v/>
      </c>
      <c r="J198" s="361">
        <f>IF('01 Cover &amp; Control'!$C$19="Base",J195,IF('01 Cover &amp; Control'!$C$19="Upside",J196,J197))</f>
        <v/>
      </c>
      <c r="K198" s="361">
        <f>IF('01 Cover &amp; Control'!$C$19="Base",K195,IF('01 Cover &amp; Control'!$C$19="Upside",K196,K197))</f>
        <v/>
      </c>
      <c r="L198" s="361">
        <f>IF('01 Cover &amp; Control'!$C$19="Base",L195,IF('01 Cover &amp; Control'!$C$19="Upside",L196,L197))</f>
        <v/>
      </c>
      <c r="M198" s="361">
        <f>IF('01 Cover &amp; Control'!$C$19="Base",M195,IF('01 Cover &amp; Control'!$C$19="Upside",M196,M197))</f>
        <v/>
      </c>
      <c r="N198" s="347">
        <f>AVERAGE(J198:M198)</f>
        <v/>
      </c>
      <c r="O198" s="361">
        <f>IF('01 Cover &amp; Control'!$C$19="Base",O195,IF('01 Cover &amp; Control'!$C$19="Upside",O196,O197))</f>
        <v/>
      </c>
      <c r="P198" s="361">
        <f>IF('01 Cover &amp; Control'!$C$19="Base",P195,IF('01 Cover &amp; Control'!$C$19="Upside",P196,P197))</f>
        <v/>
      </c>
      <c r="Q198" s="361">
        <f>IF('01 Cover &amp; Control'!$C$19="Base",Q195,IF('01 Cover &amp; Control'!$C$19="Upside",Q196,Q197))</f>
        <v/>
      </c>
      <c r="R198" s="361">
        <f>IF('01 Cover &amp; Control'!$C$19="Base",R195,IF('01 Cover &amp; Control'!$C$19="Upside",R196,R197))</f>
        <v/>
      </c>
      <c r="S198" s="347">
        <f>AVERAGE(O198:R198)</f>
        <v/>
      </c>
      <c r="T198" s="361">
        <f>IF('01 Cover &amp; Control'!$C$19="Base",T195,IF('01 Cover &amp; Control'!$C$19="Upside",T196,T197))</f>
        <v/>
      </c>
      <c r="U198" s="361">
        <f>IF('01 Cover &amp; Control'!$C$19="Base",U195,IF('01 Cover &amp; Control'!$C$19="Upside",U196,U197))</f>
        <v/>
      </c>
      <c r="V198" s="361">
        <f>IF('01 Cover &amp; Control'!$C$19="Base",V195,IF('01 Cover &amp; Control'!$C$19="Upside",V196,V197))</f>
        <v/>
      </c>
      <c r="W198" s="361">
        <f>IF('01 Cover &amp; Control'!$C$19="Base",W195,IF('01 Cover &amp; Control'!$C$19="Upside",W196,W197))</f>
        <v/>
      </c>
      <c r="X198" s="347">
        <f>AVERAGE(T198:W198)</f>
        <v/>
      </c>
      <c r="Y198" s="361">
        <f>IF('01 Cover &amp; Control'!$C$19="Base",Y195,IF('01 Cover &amp; Control'!$C$19="Upside",Y196,Y197))</f>
        <v/>
      </c>
      <c r="Z198" s="361">
        <f>IF('01 Cover &amp; Control'!$C$19="Base",Z195,IF('01 Cover &amp; Control'!$C$19="Upside",Z196,Z197))</f>
        <v/>
      </c>
      <c r="AA198" s="361">
        <f>IF('01 Cover &amp; Control'!$C$19="Base",AA195,IF('01 Cover &amp; Control'!$C$19="Upside",AA196,AA197))</f>
        <v/>
      </c>
      <c r="AB198" s="361">
        <f>IF('01 Cover &amp; Control'!$C$19="Base",AB195,IF('01 Cover &amp; Control'!$C$19="Upside",AB196,AB197))</f>
        <v/>
      </c>
      <c r="AC198" s="347">
        <f>AVERAGE(Y198:AB198)</f>
        <v/>
      </c>
      <c r="AD198" s="361">
        <f>IF('01 Cover &amp; Control'!$C$19="Base",AD195,IF('01 Cover &amp; Control'!$C$19="Upside",AD196,AD197))</f>
        <v/>
      </c>
      <c r="AE198" s="361">
        <f>IF('01 Cover &amp; Control'!$C$19="Base",AE195,IF('01 Cover &amp; Control'!$C$19="Upside",AE196,AE197))</f>
        <v/>
      </c>
      <c r="AF198" s="361">
        <f>IF('01 Cover &amp; Control'!$C$19="Base",AF195,IF('01 Cover &amp; Control'!$C$19="Upside",AF196,AF197))</f>
        <v/>
      </c>
      <c r="AG198" s="361">
        <f>IF('01 Cover &amp; Control'!$C$19="Base",AG195,IF('01 Cover &amp; Control'!$C$19="Upside",AG196,AG197))</f>
        <v/>
      </c>
      <c r="AH198" s="347">
        <f>AVERAGE(AD198:AG198)</f>
        <v/>
      </c>
      <c r="AI198" s="361">
        <f>IF('01 Cover &amp; Control'!$C$19="Base",AI195,IF('01 Cover &amp; Control'!$C$19="Upside",AI196,AI197))</f>
        <v/>
      </c>
      <c r="AJ198" s="361">
        <f>IF('01 Cover &amp; Control'!$C$19="Base",AJ195,IF('01 Cover &amp; Control'!$C$19="Upside",AJ196,AJ197))</f>
        <v/>
      </c>
      <c r="AK198" s="361">
        <f>IF('01 Cover &amp; Control'!$C$19="Base",AK195,IF('01 Cover &amp; Control'!$C$19="Upside",AK196,AK197))</f>
        <v/>
      </c>
      <c r="AL198" s="361">
        <f>IF('01 Cover &amp; Control'!$C$19="Base",AL195,IF('01 Cover &amp; Control'!$C$19="Upside",AL196,AL197))</f>
        <v/>
      </c>
      <c r="AM198" s="347">
        <f>AVERAGE(AI198:AL198)</f>
        <v/>
      </c>
      <c r="AN198" s="361">
        <f>IF('01 Cover &amp; Control'!$C$19="Base",AN195,IF('01 Cover &amp; Control'!$C$19="Upside",AN196,AN197))</f>
        <v/>
      </c>
      <c r="AO198" s="361">
        <f>IF('01 Cover &amp; Control'!$C$19="Base",AO195,IF('01 Cover &amp; Control'!$C$19="Upside",AO196,AO197))</f>
        <v/>
      </c>
      <c r="AP198" s="361">
        <f>IF('01 Cover &amp; Control'!$C$19="Base",AP195,IF('01 Cover &amp; Control'!$C$19="Upside",AP196,AP197))</f>
        <v/>
      </c>
      <c r="AQ198" s="361">
        <f>IF('01 Cover &amp; Control'!$C$19="Base",AQ195,IF('01 Cover &amp; Control'!$C$19="Upside",AQ196,AQ197))</f>
        <v/>
      </c>
      <c r="AR198" s="347">
        <f>AVERAGE(AN198:AQ198)</f>
        <v/>
      </c>
    </row>
    <row r="199" ht="3" customHeight="1" s="290"/>
    <row r="200" ht="13.5" customHeight="1" s="290">
      <c r="A200" s="339" t="n"/>
      <c r="B200" s="340" t="inlineStr">
        <is>
          <t xml:space="preserve">  Deals / EPE / Qtr — Core  — Base</t>
        </is>
      </c>
      <c r="C200" s="341" t="inlineStr">
        <is>
          <t>#/qtr</t>
        </is>
      </c>
      <c r="D200" s="342" t="inlineStr">
        <is>
          <t>Scenario-keyed. Note: IS deals are lumpy — Rainmakers: ~1–2/qtr, Core: ~1/qtr, Junior: &lt;1/qtr.</t>
        </is>
      </c>
      <c r="E200" s="343" t="n">
        <v>2</v>
      </c>
      <c r="F200" s="343" t="n">
        <v>2</v>
      </c>
      <c r="G200" s="343" t="n">
        <v>2</v>
      </c>
      <c r="H200" s="343" t="n">
        <v>2</v>
      </c>
      <c r="I200" s="344">
        <f>SUM(E200:H200)</f>
        <v/>
      </c>
      <c r="J200" s="343" t="n">
        <v>2</v>
      </c>
      <c r="K200" s="343" t="n">
        <v>2</v>
      </c>
      <c r="L200" s="343" t="n">
        <v>2</v>
      </c>
      <c r="M200" s="343" t="n">
        <v>2</v>
      </c>
      <c r="N200" s="344">
        <f>SUM(J200:M200)</f>
        <v/>
      </c>
      <c r="O200" s="343" t="n">
        <v>2</v>
      </c>
      <c r="P200" s="343" t="n">
        <v>2</v>
      </c>
      <c r="Q200" s="343" t="n">
        <v>2</v>
      </c>
      <c r="R200" s="343" t="n">
        <v>2</v>
      </c>
      <c r="S200" s="344">
        <f>SUM(O200:R200)</f>
        <v/>
      </c>
      <c r="T200" s="343" t="n">
        <v>2</v>
      </c>
      <c r="U200" s="343" t="n">
        <v>2</v>
      </c>
      <c r="V200" s="343" t="n">
        <v>2</v>
      </c>
      <c r="W200" s="343" t="n">
        <v>2</v>
      </c>
      <c r="X200" s="344">
        <f>SUM(T200:W200)</f>
        <v/>
      </c>
      <c r="Y200" s="343" t="n">
        <v>2</v>
      </c>
      <c r="Z200" s="343" t="n">
        <v>2</v>
      </c>
      <c r="AA200" s="343" t="n">
        <v>2</v>
      </c>
      <c r="AB200" s="343" t="n">
        <v>2</v>
      </c>
      <c r="AC200" s="344">
        <f>SUM(Y200:AB200)</f>
        <v/>
      </c>
      <c r="AD200" s="343" t="n">
        <v>2</v>
      </c>
      <c r="AE200" s="343" t="n">
        <v>2</v>
      </c>
      <c r="AF200" s="343" t="n">
        <v>2</v>
      </c>
      <c r="AG200" s="343" t="n">
        <v>2</v>
      </c>
      <c r="AH200" s="344">
        <f>SUM(AD200:AG200)</f>
        <v/>
      </c>
      <c r="AI200" s="343" t="n">
        <v>2</v>
      </c>
      <c r="AJ200" s="343" t="n">
        <v>2</v>
      </c>
      <c r="AK200" s="343" t="n">
        <v>2</v>
      </c>
      <c r="AL200" s="343" t="n">
        <v>2</v>
      </c>
      <c r="AM200" s="344">
        <f>SUM(AI200:AL200)</f>
        <v/>
      </c>
      <c r="AN200" s="343" t="n">
        <v>2</v>
      </c>
      <c r="AO200" s="343" t="n">
        <v>2</v>
      </c>
      <c r="AP200" s="343" t="n">
        <v>2</v>
      </c>
      <c r="AQ200" s="343" t="n">
        <v>2</v>
      </c>
      <c r="AR200" s="344">
        <f>SUM(AN200:AQ200)</f>
        <v/>
      </c>
    </row>
    <row r="201" ht="13.5" customHeight="1" s="290">
      <c r="A201" s="339" t="n"/>
      <c r="B201" s="340" t="inlineStr">
        <is>
          <t xml:space="preserve">  Deals / EPE / Qtr — Core  — Upside</t>
        </is>
      </c>
      <c r="E201" s="343" t="n">
        <v>2.2</v>
      </c>
      <c r="F201" s="343" t="n">
        <v>2.2</v>
      </c>
      <c r="G201" s="343" t="n">
        <v>2.2</v>
      </c>
      <c r="H201" s="343" t="n">
        <v>2.2</v>
      </c>
      <c r="I201" s="344">
        <f>SUM(E201:H201)</f>
        <v/>
      </c>
      <c r="J201" s="343" t="n">
        <v>2.2</v>
      </c>
      <c r="K201" s="343" t="n">
        <v>2.2</v>
      </c>
      <c r="L201" s="343" t="n">
        <v>2.2</v>
      </c>
      <c r="M201" s="343" t="n">
        <v>2.2</v>
      </c>
      <c r="N201" s="344">
        <f>SUM(J201:M201)</f>
        <v/>
      </c>
      <c r="O201" s="343" t="n">
        <v>2.2</v>
      </c>
      <c r="P201" s="343" t="n">
        <v>2.2</v>
      </c>
      <c r="Q201" s="343" t="n">
        <v>2.2</v>
      </c>
      <c r="R201" s="343" t="n">
        <v>2.2</v>
      </c>
      <c r="S201" s="344">
        <f>SUM(O201:R201)</f>
        <v/>
      </c>
      <c r="T201" s="343" t="n">
        <v>2.2</v>
      </c>
      <c r="U201" s="343" t="n">
        <v>2.2</v>
      </c>
      <c r="V201" s="343" t="n">
        <v>2.2</v>
      </c>
      <c r="W201" s="343" t="n">
        <v>2.2</v>
      </c>
      <c r="X201" s="344">
        <f>SUM(T201:W201)</f>
        <v/>
      </c>
      <c r="Y201" s="343" t="n">
        <v>2.2</v>
      </c>
      <c r="Z201" s="343" t="n">
        <v>2.2</v>
      </c>
      <c r="AA201" s="343" t="n">
        <v>2.2</v>
      </c>
      <c r="AB201" s="343" t="n">
        <v>2.2</v>
      </c>
      <c r="AC201" s="344">
        <f>SUM(Y201:AB201)</f>
        <v/>
      </c>
      <c r="AD201" s="343" t="n">
        <v>2.2</v>
      </c>
      <c r="AE201" s="343" t="n">
        <v>2.2</v>
      </c>
      <c r="AF201" s="343" t="n">
        <v>2.2</v>
      </c>
      <c r="AG201" s="343" t="n">
        <v>2.2</v>
      </c>
      <c r="AH201" s="344">
        <f>SUM(AD201:AG201)</f>
        <v/>
      </c>
      <c r="AI201" s="343" t="n">
        <v>2.2</v>
      </c>
      <c r="AJ201" s="343" t="n">
        <v>2.2</v>
      </c>
      <c r="AK201" s="343" t="n">
        <v>2.2</v>
      </c>
      <c r="AL201" s="343" t="n">
        <v>2.2</v>
      </c>
      <c r="AM201" s="344">
        <f>SUM(AI201:AL201)</f>
        <v/>
      </c>
      <c r="AN201" s="343" t="n">
        <v>2.2</v>
      </c>
      <c r="AO201" s="343" t="n">
        <v>2.2</v>
      </c>
      <c r="AP201" s="343" t="n">
        <v>2.2</v>
      </c>
      <c r="AQ201" s="343" t="n">
        <v>2.2</v>
      </c>
      <c r="AR201" s="344">
        <f>SUM(AN201:AQ201)</f>
        <v/>
      </c>
    </row>
    <row r="202" ht="13.5" customHeight="1" s="290">
      <c r="A202" s="339" t="n"/>
      <c r="B202" s="340" t="inlineStr">
        <is>
          <t xml:space="preserve">  Deals / EPE / Qtr — Core  — Downside</t>
        </is>
      </c>
      <c r="E202" s="343" t="n">
        <v>1.8</v>
      </c>
      <c r="F202" s="343" t="n">
        <v>1.8</v>
      </c>
      <c r="G202" s="343" t="n">
        <v>1.8</v>
      </c>
      <c r="H202" s="343" t="n">
        <v>1.8</v>
      </c>
      <c r="I202" s="344">
        <f>SUM(E202:H202)</f>
        <v/>
      </c>
      <c r="J202" s="343" t="n">
        <v>1.8</v>
      </c>
      <c r="K202" s="343" t="n">
        <v>1.8</v>
      </c>
      <c r="L202" s="343" t="n">
        <v>1.8</v>
      </c>
      <c r="M202" s="343" t="n">
        <v>1.8</v>
      </c>
      <c r="N202" s="344">
        <f>SUM(J202:M202)</f>
        <v/>
      </c>
      <c r="O202" s="343" t="n">
        <v>1.8</v>
      </c>
      <c r="P202" s="343" t="n">
        <v>1.8</v>
      </c>
      <c r="Q202" s="343" t="n">
        <v>1.8</v>
      </c>
      <c r="R202" s="343" t="n">
        <v>1.8</v>
      </c>
      <c r="S202" s="344">
        <f>SUM(O202:R202)</f>
        <v/>
      </c>
      <c r="T202" s="343" t="n">
        <v>1.8</v>
      </c>
      <c r="U202" s="343" t="n">
        <v>1.8</v>
      </c>
      <c r="V202" s="343" t="n">
        <v>1.8</v>
      </c>
      <c r="W202" s="343" t="n">
        <v>1.8</v>
      </c>
      <c r="X202" s="344">
        <f>SUM(T202:W202)</f>
        <v/>
      </c>
      <c r="Y202" s="343" t="n">
        <v>1.8</v>
      </c>
      <c r="Z202" s="343" t="n">
        <v>1.8</v>
      </c>
      <c r="AA202" s="343" t="n">
        <v>1.8</v>
      </c>
      <c r="AB202" s="343" t="n">
        <v>1.8</v>
      </c>
      <c r="AC202" s="344">
        <f>SUM(Y202:AB202)</f>
        <v/>
      </c>
      <c r="AD202" s="343" t="n">
        <v>1.8</v>
      </c>
      <c r="AE202" s="343" t="n">
        <v>1.8</v>
      </c>
      <c r="AF202" s="343" t="n">
        <v>1.8</v>
      </c>
      <c r="AG202" s="343" t="n">
        <v>1.8</v>
      </c>
      <c r="AH202" s="344">
        <f>SUM(AD202:AG202)</f>
        <v/>
      </c>
      <c r="AI202" s="343" t="n">
        <v>1.8</v>
      </c>
      <c r="AJ202" s="343" t="n">
        <v>1.8</v>
      </c>
      <c r="AK202" s="343" t="n">
        <v>1.8</v>
      </c>
      <c r="AL202" s="343" t="n">
        <v>1.8</v>
      </c>
      <c r="AM202" s="344">
        <f>SUM(AI202:AL202)</f>
        <v/>
      </c>
      <c r="AN202" s="343" t="n">
        <v>1.8</v>
      </c>
      <c r="AO202" s="343" t="n">
        <v>1.8</v>
      </c>
      <c r="AP202" s="343" t="n">
        <v>1.8</v>
      </c>
      <c r="AQ202" s="343" t="n">
        <v>1.8</v>
      </c>
      <c r="AR202" s="344">
        <f>SUM(AN202:AQ202)</f>
        <v/>
      </c>
    </row>
    <row r="203" ht="13.5" customHeight="1" s="290">
      <c r="A203" s="345" t="n"/>
      <c r="B203" s="346" t="inlineStr">
        <is>
          <t xml:space="preserve">  Deals / EPE / Qtr — Core  — ★ ACTIVE</t>
        </is>
      </c>
      <c r="E203" s="361">
        <f>IF('01 Cover &amp; Control'!$C$19="Base",E200,IF('01 Cover &amp; Control'!$C$19="Upside",E201,E202))</f>
        <v/>
      </c>
      <c r="F203" s="361">
        <f>IF('01 Cover &amp; Control'!$C$19="Base",F200,IF('01 Cover &amp; Control'!$C$19="Upside",F201,F202))</f>
        <v/>
      </c>
      <c r="G203" s="361">
        <f>IF('01 Cover &amp; Control'!$C$19="Base",G200,IF('01 Cover &amp; Control'!$C$19="Upside",G201,G202))</f>
        <v/>
      </c>
      <c r="H203" s="361">
        <f>IF('01 Cover &amp; Control'!$C$19="Base",H200,IF('01 Cover &amp; Control'!$C$19="Upside",H201,H202))</f>
        <v/>
      </c>
      <c r="I203" s="347">
        <f>AVERAGE(E203:H203)</f>
        <v/>
      </c>
      <c r="J203" s="361">
        <f>IF('01 Cover &amp; Control'!$C$19="Base",J200,IF('01 Cover &amp; Control'!$C$19="Upside",J201,J202))</f>
        <v/>
      </c>
      <c r="K203" s="361">
        <f>IF('01 Cover &amp; Control'!$C$19="Base",K200,IF('01 Cover &amp; Control'!$C$19="Upside",K201,K202))</f>
        <v/>
      </c>
      <c r="L203" s="361">
        <f>IF('01 Cover &amp; Control'!$C$19="Base",L200,IF('01 Cover &amp; Control'!$C$19="Upside",L201,L202))</f>
        <v/>
      </c>
      <c r="M203" s="361">
        <f>IF('01 Cover &amp; Control'!$C$19="Base",M200,IF('01 Cover &amp; Control'!$C$19="Upside",M201,M202))</f>
        <v/>
      </c>
      <c r="N203" s="347">
        <f>AVERAGE(J203:M203)</f>
        <v/>
      </c>
      <c r="O203" s="361">
        <f>IF('01 Cover &amp; Control'!$C$19="Base",O200,IF('01 Cover &amp; Control'!$C$19="Upside",O201,O202))</f>
        <v/>
      </c>
      <c r="P203" s="361">
        <f>IF('01 Cover &amp; Control'!$C$19="Base",P200,IF('01 Cover &amp; Control'!$C$19="Upside",P201,P202))</f>
        <v/>
      </c>
      <c r="Q203" s="361">
        <f>IF('01 Cover &amp; Control'!$C$19="Base",Q200,IF('01 Cover &amp; Control'!$C$19="Upside",Q201,Q202))</f>
        <v/>
      </c>
      <c r="R203" s="361">
        <f>IF('01 Cover &amp; Control'!$C$19="Base",R200,IF('01 Cover &amp; Control'!$C$19="Upside",R201,R202))</f>
        <v/>
      </c>
      <c r="S203" s="347">
        <f>AVERAGE(O203:R203)</f>
        <v/>
      </c>
      <c r="T203" s="361">
        <f>IF('01 Cover &amp; Control'!$C$19="Base",T200,IF('01 Cover &amp; Control'!$C$19="Upside",T201,T202))</f>
        <v/>
      </c>
      <c r="U203" s="361">
        <f>IF('01 Cover &amp; Control'!$C$19="Base",U200,IF('01 Cover &amp; Control'!$C$19="Upside",U201,U202))</f>
        <v/>
      </c>
      <c r="V203" s="361">
        <f>IF('01 Cover &amp; Control'!$C$19="Base",V200,IF('01 Cover &amp; Control'!$C$19="Upside",V201,V202))</f>
        <v/>
      </c>
      <c r="W203" s="361">
        <f>IF('01 Cover &amp; Control'!$C$19="Base",W200,IF('01 Cover &amp; Control'!$C$19="Upside",W201,W202))</f>
        <v/>
      </c>
      <c r="X203" s="347">
        <f>AVERAGE(T203:W203)</f>
        <v/>
      </c>
      <c r="Y203" s="361">
        <f>IF('01 Cover &amp; Control'!$C$19="Base",Y200,IF('01 Cover &amp; Control'!$C$19="Upside",Y201,Y202))</f>
        <v/>
      </c>
      <c r="Z203" s="361">
        <f>IF('01 Cover &amp; Control'!$C$19="Base",Z200,IF('01 Cover &amp; Control'!$C$19="Upside",Z201,Z202))</f>
        <v/>
      </c>
      <c r="AA203" s="361">
        <f>IF('01 Cover &amp; Control'!$C$19="Base",AA200,IF('01 Cover &amp; Control'!$C$19="Upside",AA201,AA202))</f>
        <v/>
      </c>
      <c r="AB203" s="361">
        <f>IF('01 Cover &amp; Control'!$C$19="Base",AB200,IF('01 Cover &amp; Control'!$C$19="Upside",AB201,AB202))</f>
        <v/>
      </c>
      <c r="AC203" s="347">
        <f>AVERAGE(Y203:AB203)</f>
        <v/>
      </c>
      <c r="AD203" s="361">
        <f>IF('01 Cover &amp; Control'!$C$19="Base",AD200,IF('01 Cover &amp; Control'!$C$19="Upside",AD201,AD202))</f>
        <v/>
      </c>
      <c r="AE203" s="361">
        <f>IF('01 Cover &amp; Control'!$C$19="Base",AE200,IF('01 Cover &amp; Control'!$C$19="Upside",AE201,AE202))</f>
        <v/>
      </c>
      <c r="AF203" s="361">
        <f>IF('01 Cover &amp; Control'!$C$19="Base",AF200,IF('01 Cover &amp; Control'!$C$19="Upside",AF201,AF202))</f>
        <v/>
      </c>
      <c r="AG203" s="361">
        <f>IF('01 Cover &amp; Control'!$C$19="Base",AG200,IF('01 Cover &amp; Control'!$C$19="Upside",AG201,AG202))</f>
        <v/>
      </c>
      <c r="AH203" s="347">
        <f>AVERAGE(AD203:AG203)</f>
        <v/>
      </c>
      <c r="AI203" s="361">
        <f>IF('01 Cover &amp; Control'!$C$19="Base",AI200,IF('01 Cover &amp; Control'!$C$19="Upside",AI201,AI202))</f>
        <v/>
      </c>
      <c r="AJ203" s="361">
        <f>IF('01 Cover &amp; Control'!$C$19="Base",AJ200,IF('01 Cover &amp; Control'!$C$19="Upside",AJ201,AJ202))</f>
        <v/>
      </c>
      <c r="AK203" s="361">
        <f>IF('01 Cover &amp; Control'!$C$19="Base",AK200,IF('01 Cover &amp; Control'!$C$19="Upside",AK201,AK202))</f>
        <v/>
      </c>
      <c r="AL203" s="361">
        <f>IF('01 Cover &amp; Control'!$C$19="Base",AL200,IF('01 Cover &amp; Control'!$C$19="Upside",AL201,AL202))</f>
        <v/>
      </c>
      <c r="AM203" s="347">
        <f>AVERAGE(AI203:AL203)</f>
        <v/>
      </c>
      <c r="AN203" s="361">
        <f>IF('01 Cover &amp; Control'!$C$19="Base",AN200,IF('01 Cover &amp; Control'!$C$19="Upside",AN201,AN202))</f>
        <v/>
      </c>
      <c r="AO203" s="361">
        <f>IF('01 Cover &amp; Control'!$C$19="Base",AO200,IF('01 Cover &amp; Control'!$C$19="Upside",AO201,AO202))</f>
        <v/>
      </c>
      <c r="AP203" s="361">
        <f>IF('01 Cover &amp; Control'!$C$19="Base",AP200,IF('01 Cover &amp; Control'!$C$19="Upside",AP201,AP202))</f>
        <v/>
      </c>
      <c r="AQ203" s="361">
        <f>IF('01 Cover &amp; Control'!$C$19="Base",AQ200,IF('01 Cover &amp; Control'!$C$19="Upside",AQ201,AQ202))</f>
        <v/>
      </c>
      <c r="AR203" s="347">
        <f>AVERAGE(AN203:AQ203)</f>
        <v/>
      </c>
    </row>
    <row r="204" ht="3" customHeight="1" s="290"/>
    <row r="205" ht="13.5" customHeight="1" s="290">
      <c r="A205" s="339" t="n"/>
      <c r="B205" s="340" t="inlineStr">
        <is>
          <t xml:space="preserve">  Deals / EPE / Qtr — Junior  — Base</t>
        </is>
      </c>
      <c r="C205" s="341" t="inlineStr">
        <is>
          <t>#/qtr</t>
        </is>
      </c>
      <c r="D205" s="342" t="inlineStr">
        <is>
          <t>Scenario-keyed. Note: IS deals are lumpy — Rainmakers: ~1–2/qtr, Core: ~1/qtr, Junior: &lt;1/qtr.</t>
        </is>
      </c>
      <c r="E205" s="343" t="n">
        <v>1.5</v>
      </c>
      <c r="F205" s="343" t="n">
        <v>1.5</v>
      </c>
      <c r="G205" s="343" t="n">
        <v>1.5</v>
      </c>
      <c r="H205" s="343" t="n">
        <v>1.5</v>
      </c>
      <c r="I205" s="344">
        <f>SUM(E205:H205)</f>
        <v/>
      </c>
      <c r="J205" s="343" t="n">
        <v>1.5</v>
      </c>
      <c r="K205" s="343" t="n">
        <v>1.5</v>
      </c>
      <c r="L205" s="343" t="n">
        <v>1.5</v>
      </c>
      <c r="M205" s="343" t="n">
        <v>1.5</v>
      </c>
      <c r="N205" s="344">
        <f>SUM(J205:M205)</f>
        <v/>
      </c>
      <c r="O205" s="343" t="n">
        <v>1.5</v>
      </c>
      <c r="P205" s="343" t="n">
        <v>1.5</v>
      </c>
      <c r="Q205" s="343" t="n">
        <v>1.5</v>
      </c>
      <c r="R205" s="343" t="n">
        <v>1.5</v>
      </c>
      <c r="S205" s="344">
        <f>SUM(O205:R205)</f>
        <v/>
      </c>
      <c r="T205" s="343" t="n">
        <v>1.5</v>
      </c>
      <c r="U205" s="343" t="n">
        <v>1.5</v>
      </c>
      <c r="V205" s="343" t="n">
        <v>1.5</v>
      </c>
      <c r="W205" s="343" t="n">
        <v>1.5</v>
      </c>
      <c r="X205" s="344">
        <f>SUM(T205:W205)</f>
        <v/>
      </c>
      <c r="Y205" s="343" t="n">
        <v>1.5</v>
      </c>
      <c r="Z205" s="343" t="n">
        <v>1.5</v>
      </c>
      <c r="AA205" s="343" t="n">
        <v>1.5</v>
      </c>
      <c r="AB205" s="343" t="n">
        <v>1.5</v>
      </c>
      <c r="AC205" s="344">
        <f>SUM(Y205:AB205)</f>
        <v/>
      </c>
      <c r="AD205" s="343" t="n">
        <v>1.5</v>
      </c>
      <c r="AE205" s="343" t="n">
        <v>1.5</v>
      </c>
      <c r="AF205" s="343" t="n">
        <v>1.5</v>
      </c>
      <c r="AG205" s="343" t="n">
        <v>1.5</v>
      </c>
      <c r="AH205" s="344">
        <f>SUM(AD205:AG205)</f>
        <v/>
      </c>
      <c r="AI205" s="343" t="n">
        <v>1.5</v>
      </c>
      <c r="AJ205" s="343" t="n">
        <v>1.5</v>
      </c>
      <c r="AK205" s="343" t="n">
        <v>1.5</v>
      </c>
      <c r="AL205" s="343" t="n">
        <v>1.5</v>
      </c>
      <c r="AM205" s="344">
        <f>SUM(AI205:AL205)</f>
        <v/>
      </c>
      <c r="AN205" s="343" t="n">
        <v>1.5</v>
      </c>
      <c r="AO205" s="343" t="n">
        <v>1.5</v>
      </c>
      <c r="AP205" s="343" t="n">
        <v>1.5</v>
      </c>
      <c r="AQ205" s="343" t="n">
        <v>1.5</v>
      </c>
      <c r="AR205" s="344">
        <f>SUM(AN205:AQ205)</f>
        <v/>
      </c>
    </row>
    <row r="206" ht="13.5" customHeight="1" s="290">
      <c r="A206" s="339" t="n"/>
      <c r="B206" s="340" t="inlineStr">
        <is>
          <t xml:space="preserve">  Deals / EPE / Qtr — Junior  — Upside</t>
        </is>
      </c>
      <c r="E206" s="343" t="n">
        <v>1.65</v>
      </c>
      <c r="F206" s="343" t="n">
        <v>1.65</v>
      </c>
      <c r="G206" s="343" t="n">
        <v>1.65</v>
      </c>
      <c r="H206" s="343" t="n">
        <v>1.65</v>
      </c>
      <c r="I206" s="344">
        <f>SUM(E206:H206)</f>
        <v/>
      </c>
      <c r="J206" s="343" t="n">
        <v>1.65</v>
      </c>
      <c r="K206" s="343" t="n">
        <v>1.65</v>
      </c>
      <c r="L206" s="343" t="n">
        <v>1.65</v>
      </c>
      <c r="M206" s="343" t="n">
        <v>1.65</v>
      </c>
      <c r="N206" s="344">
        <f>SUM(J206:M206)</f>
        <v/>
      </c>
      <c r="O206" s="343" t="n">
        <v>1.65</v>
      </c>
      <c r="P206" s="343" t="n">
        <v>1.65</v>
      </c>
      <c r="Q206" s="343" t="n">
        <v>1.65</v>
      </c>
      <c r="R206" s="343" t="n">
        <v>1.65</v>
      </c>
      <c r="S206" s="344">
        <f>SUM(O206:R206)</f>
        <v/>
      </c>
      <c r="T206" s="343" t="n">
        <v>1.65</v>
      </c>
      <c r="U206" s="343" t="n">
        <v>1.65</v>
      </c>
      <c r="V206" s="343" t="n">
        <v>1.65</v>
      </c>
      <c r="W206" s="343" t="n">
        <v>1.65</v>
      </c>
      <c r="X206" s="344">
        <f>SUM(T206:W206)</f>
        <v/>
      </c>
      <c r="Y206" s="343" t="n">
        <v>1.65</v>
      </c>
      <c r="Z206" s="343" t="n">
        <v>1.65</v>
      </c>
      <c r="AA206" s="343" t="n">
        <v>1.65</v>
      </c>
      <c r="AB206" s="343" t="n">
        <v>1.65</v>
      </c>
      <c r="AC206" s="344">
        <f>SUM(Y206:AB206)</f>
        <v/>
      </c>
      <c r="AD206" s="343" t="n">
        <v>1.65</v>
      </c>
      <c r="AE206" s="343" t="n">
        <v>1.65</v>
      </c>
      <c r="AF206" s="343" t="n">
        <v>1.65</v>
      </c>
      <c r="AG206" s="343" t="n">
        <v>1.65</v>
      </c>
      <c r="AH206" s="344">
        <f>SUM(AD206:AG206)</f>
        <v/>
      </c>
      <c r="AI206" s="343" t="n">
        <v>1.65</v>
      </c>
      <c r="AJ206" s="343" t="n">
        <v>1.65</v>
      </c>
      <c r="AK206" s="343" t="n">
        <v>1.65</v>
      </c>
      <c r="AL206" s="343" t="n">
        <v>1.65</v>
      </c>
      <c r="AM206" s="344">
        <f>SUM(AI206:AL206)</f>
        <v/>
      </c>
      <c r="AN206" s="343" t="n">
        <v>1.65</v>
      </c>
      <c r="AO206" s="343" t="n">
        <v>1.65</v>
      </c>
      <c r="AP206" s="343" t="n">
        <v>1.65</v>
      </c>
      <c r="AQ206" s="343" t="n">
        <v>1.65</v>
      </c>
      <c r="AR206" s="344">
        <f>SUM(AN206:AQ206)</f>
        <v/>
      </c>
    </row>
    <row r="207" ht="13.5" customHeight="1" s="290">
      <c r="A207" s="339" t="n"/>
      <c r="B207" s="340" t="inlineStr">
        <is>
          <t xml:space="preserve">  Deals / EPE / Qtr — Junior  — Downside</t>
        </is>
      </c>
      <c r="E207" s="343" t="n">
        <v>1.35</v>
      </c>
      <c r="F207" s="343" t="n">
        <v>1.35</v>
      </c>
      <c r="G207" s="343" t="n">
        <v>1.35</v>
      </c>
      <c r="H207" s="343" t="n">
        <v>1.35</v>
      </c>
      <c r="I207" s="344">
        <f>SUM(E207:H207)</f>
        <v/>
      </c>
      <c r="J207" s="343" t="n">
        <v>1.35</v>
      </c>
      <c r="K207" s="343" t="n">
        <v>1.35</v>
      </c>
      <c r="L207" s="343" t="n">
        <v>1.35</v>
      </c>
      <c r="M207" s="343" t="n">
        <v>1.35</v>
      </c>
      <c r="N207" s="344">
        <f>SUM(J207:M207)</f>
        <v/>
      </c>
      <c r="O207" s="343" t="n">
        <v>1.35</v>
      </c>
      <c r="P207" s="343" t="n">
        <v>1.35</v>
      </c>
      <c r="Q207" s="343" t="n">
        <v>1.35</v>
      </c>
      <c r="R207" s="343" t="n">
        <v>1.35</v>
      </c>
      <c r="S207" s="344">
        <f>SUM(O207:R207)</f>
        <v/>
      </c>
      <c r="T207" s="343" t="n">
        <v>1.35</v>
      </c>
      <c r="U207" s="343" t="n">
        <v>1.35</v>
      </c>
      <c r="V207" s="343" t="n">
        <v>1.35</v>
      </c>
      <c r="W207" s="343" t="n">
        <v>1.35</v>
      </c>
      <c r="X207" s="344">
        <f>SUM(T207:W207)</f>
        <v/>
      </c>
      <c r="Y207" s="343" t="n">
        <v>1.35</v>
      </c>
      <c r="Z207" s="343" t="n">
        <v>1.35</v>
      </c>
      <c r="AA207" s="343" t="n">
        <v>1.35</v>
      </c>
      <c r="AB207" s="343" t="n">
        <v>1.35</v>
      </c>
      <c r="AC207" s="344">
        <f>SUM(Y207:AB207)</f>
        <v/>
      </c>
      <c r="AD207" s="343" t="n">
        <v>1.35</v>
      </c>
      <c r="AE207" s="343" t="n">
        <v>1.35</v>
      </c>
      <c r="AF207" s="343" t="n">
        <v>1.35</v>
      </c>
      <c r="AG207" s="343" t="n">
        <v>1.35</v>
      </c>
      <c r="AH207" s="344">
        <f>SUM(AD207:AG207)</f>
        <v/>
      </c>
      <c r="AI207" s="343" t="n">
        <v>1.35</v>
      </c>
      <c r="AJ207" s="343" t="n">
        <v>1.35</v>
      </c>
      <c r="AK207" s="343" t="n">
        <v>1.35</v>
      </c>
      <c r="AL207" s="343" t="n">
        <v>1.35</v>
      </c>
      <c r="AM207" s="344">
        <f>SUM(AI207:AL207)</f>
        <v/>
      </c>
      <c r="AN207" s="343" t="n">
        <v>1.35</v>
      </c>
      <c r="AO207" s="343" t="n">
        <v>1.35</v>
      </c>
      <c r="AP207" s="343" t="n">
        <v>1.35</v>
      </c>
      <c r="AQ207" s="343" t="n">
        <v>1.35</v>
      </c>
      <c r="AR207" s="344">
        <f>SUM(AN207:AQ207)</f>
        <v/>
      </c>
    </row>
    <row r="208" ht="13.5" customHeight="1" s="290">
      <c r="A208" s="345" t="n"/>
      <c r="B208" s="346" t="inlineStr">
        <is>
          <t xml:space="preserve">  Deals / EPE / Qtr — Junior  — ★ ACTIVE</t>
        </is>
      </c>
      <c r="E208" s="361">
        <f>IF('01 Cover &amp; Control'!$C$19="Base",E205,IF('01 Cover &amp; Control'!$C$19="Upside",E206,E207))</f>
        <v/>
      </c>
      <c r="F208" s="361">
        <f>IF('01 Cover &amp; Control'!$C$19="Base",F205,IF('01 Cover &amp; Control'!$C$19="Upside",F206,F207))</f>
        <v/>
      </c>
      <c r="G208" s="361">
        <f>IF('01 Cover &amp; Control'!$C$19="Base",G205,IF('01 Cover &amp; Control'!$C$19="Upside",G206,G207))</f>
        <v/>
      </c>
      <c r="H208" s="361">
        <f>IF('01 Cover &amp; Control'!$C$19="Base",H205,IF('01 Cover &amp; Control'!$C$19="Upside",H206,H207))</f>
        <v/>
      </c>
      <c r="I208" s="347">
        <f>AVERAGE(E208:H208)</f>
        <v/>
      </c>
      <c r="J208" s="361">
        <f>IF('01 Cover &amp; Control'!$C$19="Base",J205,IF('01 Cover &amp; Control'!$C$19="Upside",J206,J207))</f>
        <v/>
      </c>
      <c r="K208" s="361">
        <f>IF('01 Cover &amp; Control'!$C$19="Base",K205,IF('01 Cover &amp; Control'!$C$19="Upside",K206,K207))</f>
        <v/>
      </c>
      <c r="L208" s="361">
        <f>IF('01 Cover &amp; Control'!$C$19="Base",L205,IF('01 Cover &amp; Control'!$C$19="Upside",L206,L207))</f>
        <v/>
      </c>
      <c r="M208" s="361">
        <f>IF('01 Cover &amp; Control'!$C$19="Base",M205,IF('01 Cover &amp; Control'!$C$19="Upside",M206,M207))</f>
        <v/>
      </c>
      <c r="N208" s="347">
        <f>AVERAGE(J208:M208)</f>
        <v/>
      </c>
      <c r="O208" s="361">
        <f>IF('01 Cover &amp; Control'!$C$19="Base",O205,IF('01 Cover &amp; Control'!$C$19="Upside",O206,O207))</f>
        <v/>
      </c>
      <c r="P208" s="361">
        <f>IF('01 Cover &amp; Control'!$C$19="Base",P205,IF('01 Cover &amp; Control'!$C$19="Upside",P206,P207))</f>
        <v/>
      </c>
      <c r="Q208" s="361">
        <f>IF('01 Cover &amp; Control'!$C$19="Base",Q205,IF('01 Cover &amp; Control'!$C$19="Upside",Q206,Q207))</f>
        <v/>
      </c>
      <c r="R208" s="361">
        <f>IF('01 Cover &amp; Control'!$C$19="Base",R205,IF('01 Cover &amp; Control'!$C$19="Upside",R206,R207))</f>
        <v/>
      </c>
      <c r="S208" s="347">
        <f>AVERAGE(O208:R208)</f>
        <v/>
      </c>
      <c r="T208" s="361">
        <f>IF('01 Cover &amp; Control'!$C$19="Base",T205,IF('01 Cover &amp; Control'!$C$19="Upside",T206,T207))</f>
        <v/>
      </c>
      <c r="U208" s="361">
        <f>IF('01 Cover &amp; Control'!$C$19="Base",U205,IF('01 Cover &amp; Control'!$C$19="Upside",U206,U207))</f>
        <v/>
      </c>
      <c r="V208" s="361">
        <f>IF('01 Cover &amp; Control'!$C$19="Base",V205,IF('01 Cover &amp; Control'!$C$19="Upside",V206,V207))</f>
        <v/>
      </c>
      <c r="W208" s="361">
        <f>IF('01 Cover &amp; Control'!$C$19="Base",W205,IF('01 Cover &amp; Control'!$C$19="Upside",W206,W207))</f>
        <v/>
      </c>
      <c r="X208" s="347">
        <f>AVERAGE(T208:W208)</f>
        <v/>
      </c>
      <c r="Y208" s="361">
        <f>IF('01 Cover &amp; Control'!$C$19="Base",Y205,IF('01 Cover &amp; Control'!$C$19="Upside",Y206,Y207))</f>
        <v/>
      </c>
      <c r="Z208" s="361">
        <f>IF('01 Cover &amp; Control'!$C$19="Base",Z205,IF('01 Cover &amp; Control'!$C$19="Upside",Z206,Z207))</f>
        <v/>
      </c>
      <c r="AA208" s="361">
        <f>IF('01 Cover &amp; Control'!$C$19="Base",AA205,IF('01 Cover &amp; Control'!$C$19="Upside",AA206,AA207))</f>
        <v/>
      </c>
      <c r="AB208" s="361">
        <f>IF('01 Cover &amp; Control'!$C$19="Base",AB205,IF('01 Cover &amp; Control'!$C$19="Upside",AB206,AB207))</f>
        <v/>
      </c>
      <c r="AC208" s="347">
        <f>AVERAGE(Y208:AB208)</f>
        <v/>
      </c>
      <c r="AD208" s="361">
        <f>IF('01 Cover &amp; Control'!$C$19="Base",AD205,IF('01 Cover &amp; Control'!$C$19="Upside",AD206,AD207))</f>
        <v/>
      </c>
      <c r="AE208" s="361">
        <f>IF('01 Cover &amp; Control'!$C$19="Base",AE205,IF('01 Cover &amp; Control'!$C$19="Upside",AE206,AE207))</f>
        <v/>
      </c>
      <c r="AF208" s="361">
        <f>IF('01 Cover &amp; Control'!$C$19="Base",AF205,IF('01 Cover &amp; Control'!$C$19="Upside",AF206,AF207))</f>
        <v/>
      </c>
      <c r="AG208" s="361">
        <f>IF('01 Cover &amp; Control'!$C$19="Base",AG205,IF('01 Cover &amp; Control'!$C$19="Upside",AG206,AG207))</f>
        <v/>
      </c>
      <c r="AH208" s="347">
        <f>AVERAGE(AD208:AG208)</f>
        <v/>
      </c>
      <c r="AI208" s="361">
        <f>IF('01 Cover &amp; Control'!$C$19="Base",AI205,IF('01 Cover &amp; Control'!$C$19="Upside",AI206,AI207))</f>
        <v/>
      </c>
      <c r="AJ208" s="361">
        <f>IF('01 Cover &amp; Control'!$C$19="Base",AJ205,IF('01 Cover &amp; Control'!$C$19="Upside",AJ206,AJ207))</f>
        <v/>
      </c>
      <c r="AK208" s="361">
        <f>IF('01 Cover &amp; Control'!$C$19="Base",AK205,IF('01 Cover &amp; Control'!$C$19="Upside",AK206,AK207))</f>
        <v/>
      </c>
      <c r="AL208" s="361">
        <f>IF('01 Cover &amp; Control'!$C$19="Base",AL205,IF('01 Cover &amp; Control'!$C$19="Upside",AL206,AL207))</f>
        <v/>
      </c>
      <c r="AM208" s="347">
        <f>AVERAGE(AI208:AL208)</f>
        <v/>
      </c>
      <c r="AN208" s="361">
        <f>IF('01 Cover &amp; Control'!$C$19="Base",AN205,IF('01 Cover &amp; Control'!$C$19="Upside",AN206,AN207))</f>
        <v/>
      </c>
      <c r="AO208" s="361">
        <f>IF('01 Cover &amp; Control'!$C$19="Base",AO205,IF('01 Cover &amp; Control'!$C$19="Upside",AO206,AO207))</f>
        <v/>
      </c>
      <c r="AP208" s="361">
        <f>IF('01 Cover &amp; Control'!$C$19="Base",AP205,IF('01 Cover &amp; Control'!$C$19="Upside",AP206,AP207))</f>
        <v/>
      </c>
      <c r="AQ208" s="361">
        <f>IF('01 Cover &amp; Control'!$C$19="Base",AQ205,IF('01 Cover &amp; Control'!$C$19="Upside",AQ206,AQ207))</f>
        <v/>
      </c>
      <c r="AR208" s="347">
        <f>AVERAGE(AN208:AQ208)</f>
        <v/>
      </c>
    </row>
    <row r="209" ht="3" customHeight="1" s="290"/>
    <row r="210" ht="13.5" customHeight="1" s="290">
      <c r="A210" s="348" t="inlineStr">
        <is>
          <t xml:space="preserve">  Deal size inputs by tier (Institutional / Mid / Small) are sourced from Tab 02 Market Assumptions (rows 73, 78, 83 — Active rows). No separate deal size input required here. Property type mix by tier is also in Tab 02.</t>
        </is>
      </c>
    </row>
    <row r="211" ht="4.5" customHeight="1" s="290"/>
    <row r="212" ht="15" customHeight="1" s="290">
      <c r="A212" s="307" t="inlineStr">
        <is>
          <t xml:space="preserve">    C3 — DEBT &amp; EQUITY PRODUCTIVITY</t>
        </is>
      </c>
    </row>
    <row r="213" ht="3" customHeight="1" s="290"/>
    <row r="214" ht="13.5" customHeight="1" s="290">
      <c r="A214" s="339" t="n"/>
      <c r="B214" s="340" t="inlineStr">
        <is>
          <t xml:space="preserve">  D&amp;E Capture Rate — % of Own IS Deals Financed In-House  — Base</t>
        </is>
      </c>
      <c r="C214" s="341" t="inlineStr">
        <is>
          <t>%</t>
        </is>
      </c>
      <c r="D214" s="342" t="inlineStr">
        <is>
          <t>% of firm's IS transactions where firm also arranges debt/equity. Upside = higher cross-sell. Downside = lower attachment rate.</t>
        </is>
      </c>
      <c r="E214" s="343" t="n">
        <v>0.3</v>
      </c>
      <c r="F214" s="343" t="n">
        <v>0.3</v>
      </c>
      <c r="G214" s="343" t="n">
        <v>0.3</v>
      </c>
      <c r="H214" s="343" t="n">
        <v>0.3</v>
      </c>
      <c r="I214" s="344">
        <f>AVERAGE(E214:H214)</f>
        <v/>
      </c>
      <c r="J214" s="343" t="n">
        <v>0.3</v>
      </c>
      <c r="K214" s="343" t="n">
        <v>0.3</v>
      </c>
      <c r="L214" s="343" t="n">
        <v>0.3</v>
      </c>
      <c r="M214" s="343" t="n">
        <v>0.3</v>
      </c>
      <c r="N214" s="344">
        <f>AVERAGE(J214:M214)</f>
        <v/>
      </c>
      <c r="O214" s="343" t="n">
        <v>0.3</v>
      </c>
      <c r="P214" s="343" t="n">
        <v>0.3</v>
      </c>
      <c r="Q214" s="343" t="n">
        <v>0.3</v>
      </c>
      <c r="R214" s="343" t="n">
        <v>0.3</v>
      </c>
      <c r="S214" s="344">
        <f>AVERAGE(O214:R214)</f>
        <v/>
      </c>
      <c r="T214" s="343" t="n">
        <v>0.3</v>
      </c>
      <c r="U214" s="343" t="n">
        <v>0.3</v>
      </c>
      <c r="V214" s="343" t="n">
        <v>0.3</v>
      </c>
      <c r="W214" s="343" t="n">
        <v>0.3</v>
      </c>
      <c r="X214" s="344">
        <f>AVERAGE(T214:W214)</f>
        <v/>
      </c>
      <c r="Y214" s="343" t="n">
        <v>0.3</v>
      </c>
      <c r="Z214" s="343" t="n">
        <v>0.3</v>
      </c>
      <c r="AA214" s="343" t="n">
        <v>0.3</v>
      </c>
      <c r="AB214" s="343" t="n">
        <v>0.3</v>
      </c>
      <c r="AC214" s="344">
        <f>AVERAGE(Y214:AB214)</f>
        <v/>
      </c>
      <c r="AD214" s="343" t="n">
        <v>0.3</v>
      </c>
      <c r="AE214" s="343" t="n">
        <v>0.3</v>
      </c>
      <c r="AF214" s="343" t="n">
        <v>0.3</v>
      </c>
      <c r="AG214" s="343" t="n">
        <v>0.3</v>
      </c>
      <c r="AH214" s="344">
        <f>AVERAGE(AD214:AG214)</f>
        <v/>
      </c>
      <c r="AI214" s="343" t="n">
        <v>0.3</v>
      </c>
      <c r="AJ214" s="343" t="n">
        <v>0.3</v>
      </c>
      <c r="AK214" s="343" t="n">
        <v>0.3</v>
      </c>
      <c r="AL214" s="343" t="n">
        <v>0.3</v>
      </c>
      <c r="AM214" s="344">
        <f>AVERAGE(AI214:AL214)</f>
        <v/>
      </c>
      <c r="AN214" s="343" t="n">
        <v>0.3</v>
      </c>
      <c r="AO214" s="343" t="n">
        <v>0.3</v>
      </c>
      <c r="AP214" s="343" t="n">
        <v>0.3</v>
      </c>
      <c r="AQ214" s="343" t="n">
        <v>0.3</v>
      </c>
      <c r="AR214" s="344">
        <f>AVERAGE(AN214:AQ214)</f>
        <v/>
      </c>
    </row>
    <row r="215" ht="13.5" customHeight="1" s="290">
      <c r="A215" s="339" t="n"/>
      <c r="B215" s="340" t="inlineStr">
        <is>
          <t xml:space="preserve">  D&amp;E Capture Rate — % of Own IS Deals Financed In-House  — Upside</t>
        </is>
      </c>
      <c r="E215" s="343" t="n">
        <v>0.4</v>
      </c>
      <c r="F215" s="343" t="n">
        <v>0.4</v>
      </c>
      <c r="G215" s="343" t="n">
        <v>0.4</v>
      </c>
      <c r="H215" s="343" t="n">
        <v>0.4</v>
      </c>
      <c r="I215" s="344">
        <f>AVERAGE(E215:H215)</f>
        <v/>
      </c>
      <c r="J215" s="343" t="n">
        <v>0.4</v>
      </c>
      <c r="K215" s="343" t="n">
        <v>0.4</v>
      </c>
      <c r="L215" s="343" t="n">
        <v>0.4</v>
      </c>
      <c r="M215" s="343" t="n">
        <v>0.4</v>
      </c>
      <c r="N215" s="344">
        <f>AVERAGE(J215:M215)</f>
        <v/>
      </c>
      <c r="O215" s="343" t="n">
        <v>0.4</v>
      </c>
      <c r="P215" s="343" t="n">
        <v>0.4</v>
      </c>
      <c r="Q215" s="343" t="n">
        <v>0.4</v>
      </c>
      <c r="R215" s="343" t="n">
        <v>0.4</v>
      </c>
      <c r="S215" s="344">
        <f>AVERAGE(O215:R215)</f>
        <v/>
      </c>
      <c r="T215" s="343" t="n">
        <v>0.4</v>
      </c>
      <c r="U215" s="343" t="n">
        <v>0.4</v>
      </c>
      <c r="V215" s="343" t="n">
        <v>0.4</v>
      </c>
      <c r="W215" s="343" t="n">
        <v>0.4</v>
      </c>
      <c r="X215" s="344">
        <f>AVERAGE(T215:W215)</f>
        <v/>
      </c>
      <c r="Y215" s="343" t="n">
        <v>0.4</v>
      </c>
      <c r="Z215" s="343" t="n">
        <v>0.4</v>
      </c>
      <c r="AA215" s="343" t="n">
        <v>0.4</v>
      </c>
      <c r="AB215" s="343" t="n">
        <v>0.4</v>
      </c>
      <c r="AC215" s="344">
        <f>AVERAGE(Y215:AB215)</f>
        <v/>
      </c>
      <c r="AD215" s="343" t="n">
        <v>0.4</v>
      </c>
      <c r="AE215" s="343" t="n">
        <v>0.4</v>
      </c>
      <c r="AF215" s="343" t="n">
        <v>0.4</v>
      </c>
      <c r="AG215" s="343" t="n">
        <v>0.4</v>
      </c>
      <c r="AH215" s="344">
        <f>AVERAGE(AD215:AG215)</f>
        <v/>
      </c>
      <c r="AI215" s="343" t="n">
        <v>0.4</v>
      </c>
      <c r="AJ215" s="343" t="n">
        <v>0.4</v>
      </c>
      <c r="AK215" s="343" t="n">
        <v>0.4</v>
      </c>
      <c r="AL215" s="343" t="n">
        <v>0.4</v>
      </c>
      <c r="AM215" s="344">
        <f>AVERAGE(AI215:AL215)</f>
        <v/>
      </c>
      <c r="AN215" s="343" t="n">
        <v>0.4</v>
      </c>
      <c r="AO215" s="343" t="n">
        <v>0.4</v>
      </c>
      <c r="AP215" s="343" t="n">
        <v>0.4</v>
      </c>
      <c r="AQ215" s="343" t="n">
        <v>0.4</v>
      </c>
      <c r="AR215" s="344">
        <f>AVERAGE(AN215:AQ215)</f>
        <v/>
      </c>
    </row>
    <row r="216" ht="13.5" customHeight="1" s="290">
      <c r="A216" s="339" t="n"/>
      <c r="B216" s="340" t="inlineStr">
        <is>
          <t xml:space="preserve">  D&amp;E Capture Rate — % of Own IS Deals Financed In-House  — Downside</t>
        </is>
      </c>
      <c r="E216" s="343" t="n">
        <v>0.2</v>
      </c>
      <c r="F216" s="343" t="n">
        <v>0.2</v>
      </c>
      <c r="G216" s="343" t="n">
        <v>0.2</v>
      </c>
      <c r="H216" s="343" t="n">
        <v>0.2</v>
      </c>
      <c r="I216" s="344">
        <f>AVERAGE(E216:H216)</f>
        <v/>
      </c>
      <c r="J216" s="343" t="n">
        <v>0.2</v>
      </c>
      <c r="K216" s="343" t="n">
        <v>0.2</v>
      </c>
      <c r="L216" s="343" t="n">
        <v>0.2</v>
      </c>
      <c r="M216" s="343" t="n">
        <v>0.2</v>
      </c>
      <c r="N216" s="344">
        <f>AVERAGE(J216:M216)</f>
        <v/>
      </c>
      <c r="O216" s="343" t="n">
        <v>0.2</v>
      </c>
      <c r="P216" s="343" t="n">
        <v>0.2</v>
      </c>
      <c r="Q216" s="343" t="n">
        <v>0.2</v>
      </c>
      <c r="R216" s="343" t="n">
        <v>0.2</v>
      </c>
      <c r="S216" s="344">
        <f>AVERAGE(O216:R216)</f>
        <v/>
      </c>
      <c r="T216" s="343" t="n">
        <v>0.2</v>
      </c>
      <c r="U216" s="343" t="n">
        <v>0.2</v>
      </c>
      <c r="V216" s="343" t="n">
        <v>0.2</v>
      </c>
      <c r="W216" s="343" t="n">
        <v>0.2</v>
      </c>
      <c r="X216" s="344">
        <f>AVERAGE(T216:W216)</f>
        <v/>
      </c>
      <c r="Y216" s="343" t="n">
        <v>0.2</v>
      </c>
      <c r="Z216" s="343" t="n">
        <v>0.2</v>
      </c>
      <c r="AA216" s="343" t="n">
        <v>0.2</v>
      </c>
      <c r="AB216" s="343" t="n">
        <v>0.2</v>
      </c>
      <c r="AC216" s="344">
        <f>AVERAGE(Y216:AB216)</f>
        <v/>
      </c>
      <c r="AD216" s="343" t="n">
        <v>0.2</v>
      </c>
      <c r="AE216" s="343" t="n">
        <v>0.2</v>
      </c>
      <c r="AF216" s="343" t="n">
        <v>0.2</v>
      </c>
      <c r="AG216" s="343" t="n">
        <v>0.2</v>
      </c>
      <c r="AH216" s="344">
        <f>AVERAGE(AD216:AG216)</f>
        <v/>
      </c>
      <c r="AI216" s="343" t="n">
        <v>0.2</v>
      </c>
      <c r="AJ216" s="343" t="n">
        <v>0.2</v>
      </c>
      <c r="AK216" s="343" t="n">
        <v>0.2</v>
      </c>
      <c r="AL216" s="343" t="n">
        <v>0.2</v>
      </c>
      <c r="AM216" s="344">
        <f>AVERAGE(AI216:AL216)</f>
        <v/>
      </c>
      <c r="AN216" s="343" t="n">
        <v>0.2</v>
      </c>
      <c r="AO216" s="343" t="n">
        <v>0.2</v>
      </c>
      <c r="AP216" s="343" t="n">
        <v>0.2</v>
      </c>
      <c r="AQ216" s="343" t="n">
        <v>0.2</v>
      </c>
      <c r="AR216" s="344">
        <f>AVERAGE(AN216:AQ216)</f>
        <v/>
      </c>
    </row>
    <row r="217" ht="13.5" customHeight="1" s="290">
      <c r="A217" s="345" t="n"/>
      <c r="B217" s="346" t="inlineStr">
        <is>
          <t xml:space="preserve">  D&amp;E Capture Rate — % of Own IS Deals Financed In-House  — ★ ACTIVE</t>
        </is>
      </c>
      <c r="E217" s="361">
        <f>IF('01 Cover &amp; Control'!$C$19="Base",E214,IF('01 Cover &amp; Control'!$C$19="Upside",E215,E216))</f>
        <v/>
      </c>
      <c r="F217" s="361">
        <f>IF('01 Cover &amp; Control'!$C$19="Base",F214,IF('01 Cover &amp; Control'!$C$19="Upside",F215,F216))</f>
        <v/>
      </c>
      <c r="G217" s="361">
        <f>IF('01 Cover &amp; Control'!$C$19="Base",G214,IF('01 Cover &amp; Control'!$C$19="Upside",G215,G216))</f>
        <v/>
      </c>
      <c r="H217" s="361">
        <f>IF('01 Cover &amp; Control'!$C$19="Base",H214,IF('01 Cover &amp; Control'!$C$19="Upside",H215,H216))</f>
        <v/>
      </c>
      <c r="I217" s="347">
        <f>AVERAGE(E217:H217)</f>
        <v/>
      </c>
      <c r="J217" s="361">
        <f>IF('01 Cover &amp; Control'!$C$19="Base",J214,IF('01 Cover &amp; Control'!$C$19="Upside",J215,J216))</f>
        <v/>
      </c>
      <c r="K217" s="361">
        <f>IF('01 Cover &amp; Control'!$C$19="Base",K214,IF('01 Cover &amp; Control'!$C$19="Upside",K215,K216))</f>
        <v/>
      </c>
      <c r="L217" s="361">
        <f>IF('01 Cover &amp; Control'!$C$19="Base",L214,IF('01 Cover &amp; Control'!$C$19="Upside",L215,L216))</f>
        <v/>
      </c>
      <c r="M217" s="361">
        <f>IF('01 Cover &amp; Control'!$C$19="Base",M214,IF('01 Cover &amp; Control'!$C$19="Upside",M215,M216))</f>
        <v/>
      </c>
      <c r="N217" s="347">
        <f>AVERAGE(J217:M217)</f>
        <v/>
      </c>
      <c r="O217" s="361">
        <f>IF('01 Cover &amp; Control'!$C$19="Base",O214,IF('01 Cover &amp; Control'!$C$19="Upside",O215,O216))</f>
        <v/>
      </c>
      <c r="P217" s="361">
        <f>IF('01 Cover &amp; Control'!$C$19="Base",P214,IF('01 Cover &amp; Control'!$C$19="Upside",P215,P216))</f>
        <v/>
      </c>
      <c r="Q217" s="361">
        <f>IF('01 Cover &amp; Control'!$C$19="Base",Q214,IF('01 Cover &amp; Control'!$C$19="Upside",Q215,Q216))</f>
        <v/>
      </c>
      <c r="R217" s="361">
        <f>IF('01 Cover &amp; Control'!$C$19="Base",R214,IF('01 Cover &amp; Control'!$C$19="Upside",R215,R216))</f>
        <v/>
      </c>
      <c r="S217" s="347">
        <f>AVERAGE(O217:R217)</f>
        <v/>
      </c>
      <c r="T217" s="361">
        <f>IF('01 Cover &amp; Control'!$C$19="Base",T214,IF('01 Cover &amp; Control'!$C$19="Upside",T215,T216))</f>
        <v/>
      </c>
      <c r="U217" s="361">
        <f>IF('01 Cover &amp; Control'!$C$19="Base",U214,IF('01 Cover &amp; Control'!$C$19="Upside",U215,U216))</f>
        <v/>
      </c>
      <c r="V217" s="361">
        <f>IF('01 Cover &amp; Control'!$C$19="Base",V214,IF('01 Cover &amp; Control'!$C$19="Upside",V215,V216))</f>
        <v/>
      </c>
      <c r="W217" s="361">
        <f>IF('01 Cover &amp; Control'!$C$19="Base",W214,IF('01 Cover &amp; Control'!$C$19="Upside",W215,W216))</f>
        <v/>
      </c>
      <c r="X217" s="347">
        <f>AVERAGE(T217:W217)</f>
        <v/>
      </c>
      <c r="Y217" s="361">
        <f>IF('01 Cover &amp; Control'!$C$19="Base",Y214,IF('01 Cover &amp; Control'!$C$19="Upside",Y215,Y216))</f>
        <v/>
      </c>
      <c r="Z217" s="361">
        <f>IF('01 Cover &amp; Control'!$C$19="Base",Z214,IF('01 Cover &amp; Control'!$C$19="Upside",Z215,Z216))</f>
        <v/>
      </c>
      <c r="AA217" s="361">
        <f>IF('01 Cover &amp; Control'!$C$19="Base",AA214,IF('01 Cover &amp; Control'!$C$19="Upside",AA215,AA216))</f>
        <v/>
      </c>
      <c r="AB217" s="361">
        <f>IF('01 Cover &amp; Control'!$C$19="Base",AB214,IF('01 Cover &amp; Control'!$C$19="Upside",AB215,AB216))</f>
        <v/>
      </c>
      <c r="AC217" s="347">
        <f>AVERAGE(Y217:AB217)</f>
        <v/>
      </c>
      <c r="AD217" s="361">
        <f>IF('01 Cover &amp; Control'!$C$19="Base",AD214,IF('01 Cover &amp; Control'!$C$19="Upside",AD215,AD216))</f>
        <v/>
      </c>
      <c r="AE217" s="361">
        <f>IF('01 Cover &amp; Control'!$C$19="Base",AE214,IF('01 Cover &amp; Control'!$C$19="Upside",AE215,AE216))</f>
        <v/>
      </c>
      <c r="AF217" s="361">
        <f>IF('01 Cover &amp; Control'!$C$19="Base",AF214,IF('01 Cover &amp; Control'!$C$19="Upside",AF215,AF216))</f>
        <v/>
      </c>
      <c r="AG217" s="361">
        <f>IF('01 Cover &amp; Control'!$C$19="Base",AG214,IF('01 Cover &amp; Control'!$C$19="Upside",AG215,AG216))</f>
        <v/>
      </c>
      <c r="AH217" s="347">
        <f>AVERAGE(AD217:AG217)</f>
        <v/>
      </c>
      <c r="AI217" s="361">
        <f>IF('01 Cover &amp; Control'!$C$19="Base",AI214,IF('01 Cover &amp; Control'!$C$19="Upside",AI215,AI216))</f>
        <v/>
      </c>
      <c r="AJ217" s="361">
        <f>IF('01 Cover &amp; Control'!$C$19="Base",AJ214,IF('01 Cover &amp; Control'!$C$19="Upside",AJ215,AJ216))</f>
        <v/>
      </c>
      <c r="AK217" s="361">
        <f>IF('01 Cover &amp; Control'!$C$19="Base",AK214,IF('01 Cover &amp; Control'!$C$19="Upside",AK215,AK216))</f>
        <v/>
      </c>
      <c r="AL217" s="361">
        <f>IF('01 Cover &amp; Control'!$C$19="Base",AL214,IF('01 Cover &amp; Control'!$C$19="Upside",AL215,AL216))</f>
        <v/>
      </c>
      <c r="AM217" s="347">
        <f>AVERAGE(AI217:AL217)</f>
        <v/>
      </c>
      <c r="AN217" s="361">
        <f>IF('01 Cover &amp; Control'!$C$19="Base",AN214,IF('01 Cover &amp; Control'!$C$19="Upside",AN215,AN216))</f>
        <v/>
      </c>
      <c r="AO217" s="361">
        <f>IF('01 Cover &amp; Control'!$C$19="Base",AO214,IF('01 Cover &amp; Control'!$C$19="Upside",AO215,AO216))</f>
        <v/>
      </c>
      <c r="AP217" s="361">
        <f>IF('01 Cover &amp; Control'!$C$19="Base",AP214,IF('01 Cover &amp; Control'!$C$19="Upside",AP215,AP216))</f>
        <v/>
      </c>
      <c r="AQ217" s="361">
        <f>IF('01 Cover &amp; Control'!$C$19="Base",AQ214,IF('01 Cover &amp; Control'!$C$19="Upside",AQ215,AQ216))</f>
        <v/>
      </c>
      <c r="AR217" s="347">
        <f>AVERAGE(AN217:AQ217)</f>
        <v/>
      </c>
    </row>
    <row r="218" ht="3.75" customHeight="1" s="290"/>
    <row r="219" ht="13.5" customHeight="1" s="290">
      <c r="A219" s="339" t="n"/>
      <c r="B219" s="340" t="inlineStr">
        <is>
          <t xml:space="preserve">  D&amp;E Pull-Through Rate — Acquisition Financing  — Base</t>
        </is>
      </c>
      <c r="C219" s="341" t="inlineStr">
        <is>
          <t>%</t>
        </is>
      </c>
      <c r="D219" s="342" t="inlineStr">
        <is>
          <t>% of acquisition financing engagements that actually fund. Downside = lower pull-through (deals die before funding).</t>
        </is>
      </c>
      <c r="E219" s="343" t="n">
        <v>0.8</v>
      </c>
      <c r="F219" s="343" t="n">
        <v>0.8</v>
      </c>
      <c r="G219" s="343" t="n">
        <v>0.8</v>
      </c>
      <c r="H219" s="343" t="n">
        <v>0.8</v>
      </c>
      <c r="I219" s="344">
        <f>AVERAGE(E219:H219)</f>
        <v/>
      </c>
      <c r="J219" s="343" t="n">
        <v>0.8</v>
      </c>
      <c r="K219" s="343" t="n">
        <v>0.8</v>
      </c>
      <c r="L219" s="343" t="n">
        <v>0.8</v>
      </c>
      <c r="M219" s="343" t="n">
        <v>0.8</v>
      </c>
      <c r="N219" s="344">
        <f>AVERAGE(J219:M219)</f>
        <v/>
      </c>
      <c r="O219" s="343" t="n">
        <v>0.8</v>
      </c>
      <c r="P219" s="343" t="n">
        <v>0.8</v>
      </c>
      <c r="Q219" s="343" t="n">
        <v>0.8</v>
      </c>
      <c r="R219" s="343" t="n">
        <v>0.8</v>
      </c>
      <c r="S219" s="344">
        <f>AVERAGE(O219:R219)</f>
        <v/>
      </c>
      <c r="T219" s="343" t="n">
        <v>0.8</v>
      </c>
      <c r="U219" s="343" t="n">
        <v>0.8</v>
      </c>
      <c r="V219" s="343" t="n">
        <v>0.8</v>
      </c>
      <c r="W219" s="343" t="n">
        <v>0.8</v>
      </c>
      <c r="X219" s="344">
        <f>AVERAGE(T219:W219)</f>
        <v/>
      </c>
      <c r="Y219" s="343" t="n">
        <v>0.8</v>
      </c>
      <c r="Z219" s="343" t="n">
        <v>0.8</v>
      </c>
      <c r="AA219" s="343" t="n">
        <v>0.8</v>
      </c>
      <c r="AB219" s="343" t="n">
        <v>0.8</v>
      </c>
      <c r="AC219" s="344">
        <f>AVERAGE(Y219:AB219)</f>
        <v/>
      </c>
      <c r="AD219" s="343" t="n">
        <v>0.8</v>
      </c>
      <c r="AE219" s="343" t="n">
        <v>0.8</v>
      </c>
      <c r="AF219" s="343" t="n">
        <v>0.8</v>
      </c>
      <c r="AG219" s="343" t="n">
        <v>0.8</v>
      </c>
      <c r="AH219" s="344">
        <f>AVERAGE(AD219:AG219)</f>
        <v/>
      </c>
      <c r="AI219" s="343" t="n">
        <v>0.8</v>
      </c>
      <c r="AJ219" s="343" t="n">
        <v>0.8</v>
      </c>
      <c r="AK219" s="343" t="n">
        <v>0.8</v>
      </c>
      <c r="AL219" s="343" t="n">
        <v>0.8</v>
      </c>
      <c r="AM219" s="344">
        <f>AVERAGE(AI219:AL219)</f>
        <v/>
      </c>
      <c r="AN219" s="343" t="n">
        <v>0.8</v>
      </c>
      <c r="AO219" s="343" t="n">
        <v>0.8</v>
      </c>
      <c r="AP219" s="343" t="n">
        <v>0.8</v>
      </c>
      <c r="AQ219" s="343" t="n">
        <v>0.8</v>
      </c>
      <c r="AR219" s="344">
        <f>AVERAGE(AN219:AQ219)</f>
        <v/>
      </c>
    </row>
    <row r="220" ht="13.5" customHeight="1" s="290">
      <c r="A220" s="339" t="n"/>
      <c r="B220" s="340" t="inlineStr">
        <is>
          <t xml:space="preserve">  D&amp;E Pull-Through Rate — Acquisition Financing  — Upside</t>
        </is>
      </c>
      <c r="E220" s="343" t="n">
        <v>0.85</v>
      </c>
      <c r="F220" s="343" t="n">
        <v>0.85</v>
      </c>
      <c r="G220" s="343" t="n">
        <v>0.85</v>
      </c>
      <c r="H220" s="343" t="n">
        <v>0.85</v>
      </c>
      <c r="I220" s="344">
        <f>AVERAGE(E220:H220)</f>
        <v/>
      </c>
      <c r="J220" s="343" t="n">
        <v>0.85</v>
      </c>
      <c r="K220" s="343" t="n">
        <v>0.85</v>
      </c>
      <c r="L220" s="343" t="n">
        <v>0.85</v>
      </c>
      <c r="M220" s="343" t="n">
        <v>0.85</v>
      </c>
      <c r="N220" s="344">
        <f>AVERAGE(J220:M220)</f>
        <v/>
      </c>
      <c r="O220" s="343" t="n">
        <v>0.85</v>
      </c>
      <c r="P220" s="343" t="n">
        <v>0.85</v>
      </c>
      <c r="Q220" s="343" t="n">
        <v>0.85</v>
      </c>
      <c r="R220" s="343" t="n">
        <v>0.85</v>
      </c>
      <c r="S220" s="344">
        <f>AVERAGE(O220:R220)</f>
        <v/>
      </c>
      <c r="T220" s="343" t="n">
        <v>0.85</v>
      </c>
      <c r="U220" s="343" t="n">
        <v>0.85</v>
      </c>
      <c r="V220" s="343" t="n">
        <v>0.85</v>
      </c>
      <c r="W220" s="343" t="n">
        <v>0.85</v>
      </c>
      <c r="X220" s="344">
        <f>AVERAGE(T220:W220)</f>
        <v/>
      </c>
      <c r="Y220" s="343" t="n">
        <v>0.85</v>
      </c>
      <c r="Z220" s="343" t="n">
        <v>0.85</v>
      </c>
      <c r="AA220" s="343" t="n">
        <v>0.85</v>
      </c>
      <c r="AB220" s="343" t="n">
        <v>0.85</v>
      </c>
      <c r="AC220" s="344">
        <f>AVERAGE(Y220:AB220)</f>
        <v/>
      </c>
      <c r="AD220" s="343" t="n">
        <v>0.85</v>
      </c>
      <c r="AE220" s="343" t="n">
        <v>0.85</v>
      </c>
      <c r="AF220" s="343" t="n">
        <v>0.85</v>
      </c>
      <c r="AG220" s="343" t="n">
        <v>0.85</v>
      </c>
      <c r="AH220" s="344">
        <f>AVERAGE(AD220:AG220)</f>
        <v/>
      </c>
      <c r="AI220" s="343" t="n">
        <v>0.85</v>
      </c>
      <c r="AJ220" s="343" t="n">
        <v>0.85</v>
      </c>
      <c r="AK220" s="343" t="n">
        <v>0.85</v>
      </c>
      <c r="AL220" s="343" t="n">
        <v>0.85</v>
      </c>
      <c r="AM220" s="344">
        <f>AVERAGE(AI220:AL220)</f>
        <v/>
      </c>
      <c r="AN220" s="343" t="n">
        <v>0.85</v>
      </c>
      <c r="AO220" s="343" t="n">
        <v>0.85</v>
      </c>
      <c r="AP220" s="343" t="n">
        <v>0.85</v>
      </c>
      <c r="AQ220" s="343" t="n">
        <v>0.85</v>
      </c>
      <c r="AR220" s="344">
        <f>AVERAGE(AN220:AQ220)</f>
        <v/>
      </c>
    </row>
    <row r="221" ht="13.5" customHeight="1" s="290">
      <c r="A221" s="339" t="n"/>
      <c r="B221" s="340" t="inlineStr">
        <is>
          <t xml:space="preserve">  D&amp;E Pull-Through Rate — Acquisition Financing  — Downside</t>
        </is>
      </c>
      <c r="E221" s="343" t="n">
        <v>0.7</v>
      </c>
      <c r="F221" s="343" t="n">
        <v>0.7</v>
      </c>
      <c r="G221" s="343" t="n">
        <v>0.7</v>
      </c>
      <c r="H221" s="343" t="n">
        <v>0.7</v>
      </c>
      <c r="I221" s="344">
        <f>AVERAGE(E221:H221)</f>
        <v/>
      </c>
      <c r="J221" s="343" t="n">
        <v>0.7</v>
      </c>
      <c r="K221" s="343" t="n">
        <v>0.7</v>
      </c>
      <c r="L221" s="343" t="n">
        <v>0.7</v>
      </c>
      <c r="M221" s="343" t="n">
        <v>0.7</v>
      </c>
      <c r="N221" s="344">
        <f>AVERAGE(J221:M221)</f>
        <v/>
      </c>
      <c r="O221" s="343" t="n">
        <v>0.7</v>
      </c>
      <c r="P221" s="343" t="n">
        <v>0.7</v>
      </c>
      <c r="Q221" s="343" t="n">
        <v>0.7</v>
      </c>
      <c r="R221" s="343" t="n">
        <v>0.7</v>
      </c>
      <c r="S221" s="344">
        <f>AVERAGE(O221:R221)</f>
        <v/>
      </c>
      <c r="T221" s="343" t="n">
        <v>0.7</v>
      </c>
      <c r="U221" s="343" t="n">
        <v>0.7</v>
      </c>
      <c r="V221" s="343" t="n">
        <v>0.7</v>
      </c>
      <c r="W221" s="343" t="n">
        <v>0.7</v>
      </c>
      <c r="X221" s="344">
        <f>AVERAGE(T221:W221)</f>
        <v/>
      </c>
      <c r="Y221" s="343" t="n">
        <v>0.7</v>
      </c>
      <c r="Z221" s="343" t="n">
        <v>0.7</v>
      </c>
      <c r="AA221" s="343" t="n">
        <v>0.7</v>
      </c>
      <c r="AB221" s="343" t="n">
        <v>0.7</v>
      </c>
      <c r="AC221" s="344">
        <f>AVERAGE(Y221:AB221)</f>
        <v/>
      </c>
      <c r="AD221" s="343" t="n">
        <v>0.7</v>
      </c>
      <c r="AE221" s="343" t="n">
        <v>0.7</v>
      </c>
      <c r="AF221" s="343" t="n">
        <v>0.7</v>
      </c>
      <c r="AG221" s="343" t="n">
        <v>0.7</v>
      </c>
      <c r="AH221" s="344">
        <f>AVERAGE(AD221:AG221)</f>
        <v/>
      </c>
      <c r="AI221" s="343" t="n">
        <v>0.7</v>
      </c>
      <c r="AJ221" s="343" t="n">
        <v>0.7</v>
      </c>
      <c r="AK221" s="343" t="n">
        <v>0.7</v>
      </c>
      <c r="AL221" s="343" t="n">
        <v>0.7</v>
      </c>
      <c r="AM221" s="344">
        <f>AVERAGE(AI221:AL221)</f>
        <v/>
      </c>
      <c r="AN221" s="343" t="n">
        <v>0.7</v>
      </c>
      <c r="AO221" s="343" t="n">
        <v>0.7</v>
      </c>
      <c r="AP221" s="343" t="n">
        <v>0.7</v>
      </c>
      <c r="AQ221" s="343" t="n">
        <v>0.7</v>
      </c>
      <c r="AR221" s="344">
        <f>AVERAGE(AN221:AQ221)</f>
        <v/>
      </c>
    </row>
    <row r="222" ht="13.5" customHeight="1" s="290">
      <c r="A222" s="345" t="n"/>
      <c r="B222" s="346" t="inlineStr">
        <is>
          <t xml:space="preserve">  D&amp;E Pull-Through Rate — Acquisition Financing  — ★ ACTIVE</t>
        </is>
      </c>
      <c r="E222" s="361">
        <f>IF('01 Cover &amp; Control'!$C$19="Base",E219,IF('01 Cover &amp; Control'!$C$19="Upside",E220,E221))</f>
        <v/>
      </c>
      <c r="F222" s="361">
        <f>IF('01 Cover &amp; Control'!$C$19="Base",F219,IF('01 Cover &amp; Control'!$C$19="Upside",F220,F221))</f>
        <v/>
      </c>
      <c r="G222" s="361">
        <f>IF('01 Cover &amp; Control'!$C$19="Base",G219,IF('01 Cover &amp; Control'!$C$19="Upside",G220,G221))</f>
        <v/>
      </c>
      <c r="H222" s="361">
        <f>IF('01 Cover &amp; Control'!$C$19="Base",H219,IF('01 Cover &amp; Control'!$C$19="Upside",H220,H221))</f>
        <v/>
      </c>
      <c r="I222" s="347">
        <f>AVERAGE(E222:H222)</f>
        <v/>
      </c>
      <c r="J222" s="361">
        <f>IF('01 Cover &amp; Control'!$C$19="Base",J219,IF('01 Cover &amp; Control'!$C$19="Upside",J220,J221))</f>
        <v/>
      </c>
      <c r="K222" s="361">
        <f>IF('01 Cover &amp; Control'!$C$19="Base",K219,IF('01 Cover &amp; Control'!$C$19="Upside",K220,K221))</f>
        <v/>
      </c>
      <c r="L222" s="361">
        <f>IF('01 Cover &amp; Control'!$C$19="Base",L219,IF('01 Cover &amp; Control'!$C$19="Upside",L220,L221))</f>
        <v/>
      </c>
      <c r="M222" s="361">
        <f>IF('01 Cover &amp; Control'!$C$19="Base",M219,IF('01 Cover &amp; Control'!$C$19="Upside",M220,M221))</f>
        <v/>
      </c>
      <c r="N222" s="347">
        <f>AVERAGE(J222:M222)</f>
        <v/>
      </c>
      <c r="O222" s="361">
        <f>IF('01 Cover &amp; Control'!$C$19="Base",O219,IF('01 Cover &amp; Control'!$C$19="Upside",O220,O221))</f>
        <v/>
      </c>
      <c r="P222" s="361">
        <f>IF('01 Cover &amp; Control'!$C$19="Base",P219,IF('01 Cover &amp; Control'!$C$19="Upside",P220,P221))</f>
        <v/>
      </c>
      <c r="Q222" s="361">
        <f>IF('01 Cover &amp; Control'!$C$19="Base",Q219,IF('01 Cover &amp; Control'!$C$19="Upside",Q220,Q221))</f>
        <v/>
      </c>
      <c r="R222" s="361">
        <f>IF('01 Cover &amp; Control'!$C$19="Base",R219,IF('01 Cover &amp; Control'!$C$19="Upside",R220,R221))</f>
        <v/>
      </c>
      <c r="S222" s="347">
        <f>AVERAGE(O222:R222)</f>
        <v/>
      </c>
      <c r="T222" s="361">
        <f>IF('01 Cover &amp; Control'!$C$19="Base",T219,IF('01 Cover &amp; Control'!$C$19="Upside",T220,T221))</f>
        <v/>
      </c>
      <c r="U222" s="361">
        <f>IF('01 Cover &amp; Control'!$C$19="Base",U219,IF('01 Cover &amp; Control'!$C$19="Upside",U220,U221))</f>
        <v/>
      </c>
      <c r="V222" s="361">
        <f>IF('01 Cover &amp; Control'!$C$19="Base",V219,IF('01 Cover &amp; Control'!$C$19="Upside",V220,V221))</f>
        <v/>
      </c>
      <c r="W222" s="361">
        <f>IF('01 Cover &amp; Control'!$C$19="Base",W219,IF('01 Cover &amp; Control'!$C$19="Upside",W220,W221))</f>
        <v/>
      </c>
      <c r="X222" s="347">
        <f>AVERAGE(T222:W222)</f>
        <v/>
      </c>
      <c r="Y222" s="361">
        <f>IF('01 Cover &amp; Control'!$C$19="Base",Y219,IF('01 Cover &amp; Control'!$C$19="Upside",Y220,Y221))</f>
        <v/>
      </c>
      <c r="Z222" s="361">
        <f>IF('01 Cover &amp; Control'!$C$19="Base",Z219,IF('01 Cover &amp; Control'!$C$19="Upside",Z220,Z221))</f>
        <v/>
      </c>
      <c r="AA222" s="361">
        <f>IF('01 Cover &amp; Control'!$C$19="Base",AA219,IF('01 Cover &amp; Control'!$C$19="Upside",AA220,AA221))</f>
        <v/>
      </c>
      <c r="AB222" s="361">
        <f>IF('01 Cover &amp; Control'!$C$19="Base",AB219,IF('01 Cover &amp; Control'!$C$19="Upside",AB220,AB221))</f>
        <v/>
      </c>
      <c r="AC222" s="347">
        <f>AVERAGE(Y222:AB222)</f>
        <v/>
      </c>
      <c r="AD222" s="361">
        <f>IF('01 Cover &amp; Control'!$C$19="Base",AD219,IF('01 Cover &amp; Control'!$C$19="Upside",AD220,AD221))</f>
        <v/>
      </c>
      <c r="AE222" s="361">
        <f>IF('01 Cover &amp; Control'!$C$19="Base",AE219,IF('01 Cover &amp; Control'!$C$19="Upside",AE220,AE221))</f>
        <v/>
      </c>
      <c r="AF222" s="361">
        <f>IF('01 Cover &amp; Control'!$C$19="Base",AF219,IF('01 Cover &amp; Control'!$C$19="Upside",AF220,AF221))</f>
        <v/>
      </c>
      <c r="AG222" s="361">
        <f>IF('01 Cover &amp; Control'!$C$19="Base",AG219,IF('01 Cover &amp; Control'!$C$19="Upside",AG220,AG221))</f>
        <v/>
      </c>
      <c r="AH222" s="347">
        <f>AVERAGE(AD222:AG222)</f>
        <v/>
      </c>
      <c r="AI222" s="361">
        <f>IF('01 Cover &amp; Control'!$C$19="Base",AI219,IF('01 Cover &amp; Control'!$C$19="Upside",AI220,AI221))</f>
        <v/>
      </c>
      <c r="AJ222" s="361">
        <f>IF('01 Cover &amp; Control'!$C$19="Base",AJ219,IF('01 Cover &amp; Control'!$C$19="Upside",AJ220,AJ221))</f>
        <v/>
      </c>
      <c r="AK222" s="361">
        <f>IF('01 Cover &amp; Control'!$C$19="Base",AK219,IF('01 Cover &amp; Control'!$C$19="Upside",AK220,AK221))</f>
        <v/>
      </c>
      <c r="AL222" s="361">
        <f>IF('01 Cover &amp; Control'!$C$19="Base",AL219,IF('01 Cover &amp; Control'!$C$19="Upside",AL220,AL221))</f>
        <v/>
      </c>
      <c r="AM222" s="347">
        <f>AVERAGE(AI222:AL222)</f>
        <v/>
      </c>
      <c r="AN222" s="361">
        <f>IF('01 Cover &amp; Control'!$C$19="Base",AN219,IF('01 Cover &amp; Control'!$C$19="Upside",AN220,AN221))</f>
        <v/>
      </c>
      <c r="AO222" s="361">
        <f>IF('01 Cover &amp; Control'!$C$19="Base",AO219,IF('01 Cover &amp; Control'!$C$19="Upside",AO220,AO221))</f>
        <v/>
      </c>
      <c r="AP222" s="361">
        <f>IF('01 Cover &amp; Control'!$C$19="Base",AP219,IF('01 Cover &amp; Control'!$C$19="Upside",AP220,AP221))</f>
        <v/>
      </c>
      <c r="AQ222" s="361">
        <f>IF('01 Cover &amp; Control'!$C$19="Base",AQ219,IF('01 Cover &amp; Control'!$C$19="Upside",AQ220,AQ221))</f>
        <v/>
      </c>
      <c r="AR222" s="347">
        <f>AVERAGE(AN222:AQ222)</f>
        <v/>
      </c>
    </row>
    <row r="223" ht="3.75" customHeight="1" s="290"/>
    <row r="224" ht="13.5" customHeight="1" s="290">
      <c r="A224" s="339" t="n"/>
      <c r="B224" s="357" t="inlineStr">
        <is>
          <t xml:space="preserve">  D&amp;E Pull-Through Rate — Refinancing</t>
        </is>
      </c>
      <c r="C224" s="341" t="inlineStr">
        <is>
          <t>%</t>
        </is>
      </c>
      <c r="D224" s="342" t="inlineStr">
        <is>
          <t>Less scenario-sensitive than acquisition pull-through. Static input.</t>
        </is>
      </c>
      <c r="E224" s="343" t="n">
        <v>0.7</v>
      </c>
      <c r="F224" s="343" t="n">
        <v>0.7</v>
      </c>
      <c r="G224" s="343" t="n">
        <v>0.7</v>
      </c>
      <c r="H224" s="343" t="n">
        <v>0.7</v>
      </c>
      <c r="I224" s="344">
        <f>AVERAGE(E224:H224)</f>
        <v/>
      </c>
      <c r="J224" s="343" t="n">
        <v>0.7</v>
      </c>
      <c r="K224" s="343" t="n">
        <v>0.7</v>
      </c>
      <c r="L224" s="343" t="n">
        <v>0.7</v>
      </c>
      <c r="M224" s="343" t="n">
        <v>0.7</v>
      </c>
      <c r="N224" s="344">
        <f>AVERAGE(J224:M224)</f>
        <v/>
      </c>
      <c r="O224" s="343" t="n">
        <v>0.7</v>
      </c>
      <c r="P224" s="343" t="n">
        <v>0.7</v>
      </c>
      <c r="Q224" s="343" t="n">
        <v>0.7</v>
      </c>
      <c r="R224" s="343" t="n">
        <v>0.7</v>
      </c>
      <c r="S224" s="344">
        <f>AVERAGE(O224:R224)</f>
        <v/>
      </c>
      <c r="T224" s="343" t="n">
        <v>0.7</v>
      </c>
      <c r="U224" s="343" t="n">
        <v>0.7</v>
      </c>
      <c r="V224" s="343" t="n">
        <v>0.7</v>
      </c>
      <c r="W224" s="343" t="n">
        <v>0.7</v>
      </c>
      <c r="X224" s="344">
        <f>AVERAGE(T224:W224)</f>
        <v/>
      </c>
      <c r="Y224" s="343" t="n">
        <v>0.7</v>
      </c>
      <c r="Z224" s="343" t="n">
        <v>0.7</v>
      </c>
      <c r="AA224" s="343" t="n">
        <v>0.7</v>
      </c>
      <c r="AB224" s="343" t="n">
        <v>0.7</v>
      </c>
      <c r="AC224" s="344">
        <f>AVERAGE(Y224:AB224)</f>
        <v/>
      </c>
      <c r="AD224" s="343" t="n">
        <v>0.7</v>
      </c>
      <c r="AE224" s="343" t="n">
        <v>0.7</v>
      </c>
      <c r="AF224" s="343" t="n">
        <v>0.7</v>
      </c>
      <c r="AG224" s="343" t="n">
        <v>0.7</v>
      </c>
      <c r="AH224" s="344">
        <f>AVERAGE(AD224:AG224)</f>
        <v/>
      </c>
      <c r="AI224" s="343" t="n">
        <v>0.7</v>
      </c>
      <c r="AJ224" s="343" t="n">
        <v>0.7</v>
      </c>
      <c r="AK224" s="343" t="n">
        <v>0.7</v>
      </c>
      <c r="AL224" s="343" t="n">
        <v>0.7</v>
      </c>
      <c r="AM224" s="344">
        <f>AVERAGE(AI224:AL224)</f>
        <v/>
      </c>
      <c r="AN224" s="343" t="n">
        <v>0.7</v>
      </c>
      <c r="AO224" s="343" t="n">
        <v>0.7</v>
      </c>
      <c r="AP224" s="343" t="n">
        <v>0.7</v>
      </c>
      <c r="AQ224" s="343" t="n">
        <v>0.7</v>
      </c>
      <c r="AR224" s="344">
        <f>AVERAGE(AN224:AQ224)</f>
        <v/>
      </c>
    </row>
    <row r="225" ht="13.5" customHeight="1" s="290">
      <c r="A225" s="339" t="n"/>
      <c r="B225" s="357" t="inlineStr">
        <is>
          <t xml:space="preserve">  D&amp;E Debt / Equity Mix (% Debt)</t>
        </is>
      </c>
      <c r="C225" s="341" t="inlineStr">
        <is>
          <t>%</t>
        </is>
      </c>
      <c r="D225" s="342" t="inlineStr">
        <is>
          <t>% of total placement volume that is debt (vs equity). Affects blended bps calculation.</t>
        </is>
      </c>
      <c r="E225" s="343" t="n">
        <v>0.8</v>
      </c>
      <c r="F225" s="343" t="n">
        <v>0.8</v>
      </c>
      <c r="G225" s="343" t="n">
        <v>0.8</v>
      </c>
      <c r="H225" s="343" t="n">
        <v>0.8</v>
      </c>
      <c r="I225" s="344">
        <f>AVERAGE(E225:H225)</f>
        <v/>
      </c>
      <c r="J225" s="343" t="n">
        <v>0.8</v>
      </c>
      <c r="K225" s="343" t="n">
        <v>0.8</v>
      </c>
      <c r="L225" s="343" t="n">
        <v>0.8</v>
      </c>
      <c r="M225" s="343" t="n">
        <v>0.8</v>
      </c>
      <c r="N225" s="344">
        <f>AVERAGE(J225:M225)</f>
        <v/>
      </c>
      <c r="O225" s="343" t="n">
        <v>0.8</v>
      </c>
      <c r="P225" s="343" t="n">
        <v>0.8</v>
      </c>
      <c r="Q225" s="343" t="n">
        <v>0.8</v>
      </c>
      <c r="R225" s="343" t="n">
        <v>0.8</v>
      </c>
      <c r="S225" s="344">
        <f>AVERAGE(O225:R225)</f>
        <v/>
      </c>
      <c r="T225" s="343" t="n">
        <v>0.8</v>
      </c>
      <c r="U225" s="343" t="n">
        <v>0.8</v>
      </c>
      <c r="V225" s="343" t="n">
        <v>0.8</v>
      </c>
      <c r="W225" s="343" t="n">
        <v>0.8</v>
      </c>
      <c r="X225" s="344">
        <f>AVERAGE(T225:W225)</f>
        <v/>
      </c>
      <c r="Y225" s="343" t="n">
        <v>0.8</v>
      </c>
      <c r="Z225" s="343" t="n">
        <v>0.8</v>
      </c>
      <c r="AA225" s="343" t="n">
        <v>0.8</v>
      </c>
      <c r="AB225" s="343" t="n">
        <v>0.8</v>
      </c>
      <c r="AC225" s="344">
        <f>AVERAGE(Y225:AB225)</f>
        <v/>
      </c>
      <c r="AD225" s="343" t="n">
        <v>0.8</v>
      </c>
      <c r="AE225" s="343" t="n">
        <v>0.8</v>
      </c>
      <c r="AF225" s="343" t="n">
        <v>0.8</v>
      </c>
      <c r="AG225" s="343" t="n">
        <v>0.8</v>
      </c>
      <c r="AH225" s="344">
        <f>AVERAGE(AD225:AG225)</f>
        <v/>
      </c>
      <c r="AI225" s="343" t="n">
        <v>0.8</v>
      </c>
      <c r="AJ225" s="343" t="n">
        <v>0.8</v>
      </c>
      <c r="AK225" s="343" t="n">
        <v>0.8</v>
      </c>
      <c r="AL225" s="343" t="n">
        <v>0.8</v>
      </c>
      <c r="AM225" s="344">
        <f>AVERAGE(AI225:AL225)</f>
        <v/>
      </c>
      <c r="AN225" s="343" t="n">
        <v>0.8</v>
      </c>
      <c r="AO225" s="343" t="n">
        <v>0.8</v>
      </c>
      <c r="AP225" s="343" t="n">
        <v>0.8</v>
      </c>
      <c r="AQ225" s="343" t="n">
        <v>0.8</v>
      </c>
      <c r="AR225" s="344">
        <f>AVERAGE(AN225:AQ225)</f>
        <v/>
      </c>
    </row>
    <row r="226" ht="13.5" customHeight="1" s="290">
      <c r="A226" s="339" t="n"/>
      <c r="B226" s="357" t="inlineStr">
        <is>
          <t xml:space="preserve">  Firm Refi Capture Rate (% of national refi market)</t>
        </is>
      </c>
      <c r="C226" s="341" t="inlineStr">
        <is>
          <t>%</t>
        </is>
      </c>
      <c r="D226" s="342" t="inlineStr">
        <is>
          <t>Firm's share of national refinancing origination market. Small % of large national pool. Used in Revenue Engine standalone/refi volume build.</t>
        </is>
      </c>
      <c r="E226" s="343" t="n">
        <v>0.015</v>
      </c>
      <c r="F226" s="343" t="n">
        <v>0.015</v>
      </c>
      <c r="G226" s="343" t="n">
        <v>0.015</v>
      </c>
      <c r="H226" s="343" t="n">
        <v>0.015</v>
      </c>
      <c r="I226" s="344">
        <f>AVERAGE(E226:H226)</f>
        <v/>
      </c>
      <c r="J226" s="343" t="n">
        <v>0.015</v>
      </c>
      <c r="K226" s="343" t="n">
        <v>0.015</v>
      </c>
      <c r="L226" s="343" t="n">
        <v>0.015</v>
      </c>
      <c r="M226" s="343" t="n">
        <v>0.015</v>
      </c>
      <c r="N226" s="344">
        <f>AVERAGE(J226:M226)</f>
        <v/>
      </c>
      <c r="O226" s="343" t="n">
        <v>0.015</v>
      </c>
      <c r="P226" s="343" t="n">
        <v>0.015</v>
      </c>
      <c r="Q226" s="343" t="n">
        <v>0.015</v>
      </c>
      <c r="R226" s="343" t="n">
        <v>0.015</v>
      </c>
      <c r="S226" s="344">
        <f>AVERAGE(O226:R226)</f>
        <v/>
      </c>
      <c r="T226" s="343" t="n">
        <v>0.015</v>
      </c>
      <c r="U226" s="343" t="n">
        <v>0.015</v>
      </c>
      <c r="V226" s="343" t="n">
        <v>0.015</v>
      </c>
      <c r="W226" s="343" t="n">
        <v>0.015</v>
      </c>
      <c r="X226" s="344">
        <f>AVERAGE(T226:W226)</f>
        <v/>
      </c>
      <c r="Y226" s="343" t="n">
        <v>0.015</v>
      </c>
      <c r="Z226" s="343" t="n">
        <v>0.015</v>
      </c>
      <c r="AA226" s="343" t="n">
        <v>0.015</v>
      </c>
      <c r="AB226" s="343" t="n">
        <v>0.015</v>
      </c>
      <c r="AC226" s="344">
        <f>AVERAGE(Y226:AB226)</f>
        <v/>
      </c>
      <c r="AD226" s="343" t="n">
        <v>0.015</v>
      </c>
      <c r="AE226" s="343" t="n">
        <v>0.015</v>
      </c>
      <c r="AF226" s="343" t="n">
        <v>0.015</v>
      </c>
      <c r="AG226" s="343" t="n">
        <v>0.015</v>
      </c>
      <c r="AH226" s="344">
        <f>AVERAGE(AD226:AG226)</f>
        <v/>
      </c>
      <c r="AI226" s="343" t="n">
        <v>0.015</v>
      </c>
      <c r="AJ226" s="343" t="n">
        <v>0.015</v>
      </c>
      <c r="AK226" s="343" t="n">
        <v>0.015</v>
      </c>
      <c r="AL226" s="343" t="n">
        <v>0.015</v>
      </c>
      <c r="AM226" s="344">
        <f>AVERAGE(AI226:AL226)</f>
        <v/>
      </c>
      <c r="AN226" s="343" t="n">
        <v>0.015</v>
      </c>
      <c r="AO226" s="343" t="n">
        <v>0.015</v>
      </c>
      <c r="AP226" s="343" t="n">
        <v>0.015</v>
      </c>
      <c r="AQ226" s="343" t="n">
        <v>0.015</v>
      </c>
      <c r="AR226" s="344">
        <f>AVERAGE(AN226:AQ226)</f>
        <v/>
      </c>
    </row>
    <row r="227" ht="4.5" customHeight="1" s="290"/>
    <row r="228" ht="15" customHeight="1" s="290">
      <c r="A228" s="307" t="inlineStr">
        <is>
          <t xml:space="preserve">    C4 — VALUATION &amp; ADVISORY PRODUCTIVITY</t>
        </is>
      </c>
    </row>
    <row r="229" ht="3" customHeight="1" s="290"/>
    <row r="230" ht="13.5" customHeight="1" s="290">
      <c r="A230" s="348" t="inlineStr">
        <is>
          <t xml:space="preserve">  Advisory uses a utilization/capacity model, not a commission/split model. Revenue = FTEs × Billable Capacity × Utilization % × Billing Rate. Advisory compensation is salaried — handled in Section D, not the split schedule.</t>
        </is>
      </c>
    </row>
    <row r="231" ht="3" customHeight="1" s="290"/>
    <row r="232" ht="13.5" customHeight="1" s="290">
      <c r="A232" s="339" t="n"/>
      <c r="B232" s="340" t="inlineStr">
        <is>
          <t xml:space="preserve">  Advisory Utilization % — Blended  — Base</t>
        </is>
      </c>
      <c r="C232" s="341" t="inlineStr">
        <is>
          <t>%</t>
        </is>
      </c>
      <c r="D232" s="342" t="inlineStr">
        <is>
          <t>Billable hours ÷ available hours. Scenario-keyed: Advisory is countercyclical (workouts/appraisals rise in downturns). Downside utilization may hold or increase.</t>
        </is>
      </c>
      <c r="E232" s="343" t="n">
        <v>0.72</v>
      </c>
      <c r="F232" s="343" t="n">
        <v>0.72</v>
      </c>
      <c r="G232" s="343" t="n">
        <v>0.72</v>
      </c>
      <c r="H232" s="343" t="n">
        <v>0.72</v>
      </c>
      <c r="I232" s="344">
        <f>AVERAGE(E232:H232)</f>
        <v/>
      </c>
      <c r="J232" s="343" t="n">
        <v>0.72</v>
      </c>
      <c r="K232" s="343" t="n">
        <v>0.72</v>
      </c>
      <c r="L232" s="343" t="n">
        <v>0.72</v>
      </c>
      <c r="M232" s="343" t="n">
        <v>0.72</v>
      </c>
      <c r="N232" s="344">
        <f>AVERAGE(J232:M232)</f>
        <v/>
      </c>
      <c r="O232" s="343" t="n">
        <v>0.72</v>
      </c>
      <c r="P232" s="343" t="n">
        <v>0.72</v>
      </c>
      <c r="Q232" s="343" t="n">
        <v>0.72</v>
      </c>
      <c r="R232" s="343" t="n">
        <v>0.72</v>
      </c>
      <c r="S232" s="344">
        <f>AVERAGE(O232:R232)</f>
        <v/>
      </c>
      <c r="T232" s="343" t="n">
        <v>0.72</v>
      </c>
      <c r="U232" s="343" t="n">
        <v>0.72</v>
      </c>
      <c r="V232" s="343" t="n">
        <v>0.72</v>
      </c>
      <c r="W232" s="343" t="n">
        <v>0.72</v>
      </c>
      <c r="X232" s="344">
        <f>AVERAGE(T232:W232)</f>
        <v/>
      </c>
      <c r="Y232" s="343" t="n">
        <v>0.72</v>
      </c>
      <c r="Z232" s="343" t="n">
        <v>0.72</v>
      </c>
      <c r="AA232" s="343" t="n">
        <v>0.72</v>
      </c>
      <c r="AB232" s="343" t="n">
        <v>0.72</v>
      </c>
      <c r="AC232" s="344">
        <f>AVERAGE(Y232:AB232)</f>
        <v/>
      </c>
      <c r="AD232" s="343" t="n">
        <v>0.72</v>
      </c>
      <c r="AE232" s="343" t="n">
        <v>0.72</v>
      </c>
      <c r="AF232" s="343" t="n">
        <v>0.72</v>
      </c>
      <c r="AG232" s="343" t="n">
        <v>0.72</v>
      </c>
      <c r="AH232" s="344">
        <f>AVERAGE(AD232:AG232)</f>
        <v/>
      </c>
      <c r="AI232" s="343" t="n">
        <v>0.72</v>
      </c>
      <c r="AJ232" s="343" t="n">
        <v>0.72</v>
      </c>
      <c r="AK232" s="343" t="n">
        <v>0.72</v>
      </c>
      <c r="AL232" s="343" t="n">
        <v>0.72</v>
      </c>
      <c r="AM232" s="344">
        <f>AVERAGE(AI232:AL232)</f>
        <v/>
      </c>
      <c r="AN232" s="343" t="n">
        <v>0.72</v>
      </c>
      <c r="AO232" s="343" t="n">
        <v>0.72</v>
      </c>
      <c r="AP232" s="343" t="n">
        <v>0.72</v>
      </c>
      <c r="AQ232" s="343" t="n">
        <v>0.72</v>
      </c>
      <c r="AR232" s="344">
        <f>AVERAGE(AN232:AQ232)</f>
        <v/>
      </c>
    </row>
    <row r="233" ht="13.5" customHeight="1" s="290">
      <c r="A233" s="339" t="n"/>
      <c r="B233" s="340" t="inlineStr">
        <is>
          <t xml:space="preserve">  Advisory Utilization % — Blended  — Upside</t>
        </is>
      </c>
      <c r="E233" s="343" t="n">
        <v>0.78</v>
      </c>
      <c r="F233" s="343" t="n">
        <v>0.78</v>
      </c>
      <c r="G233" s="343" t="n">
        <v>0.78</v>
      </c>
      <c r="H233" s="343" t="n">
        <v>0.78</v>
      </c>
      <c r="I233" s="344">
        <f>AVERAGE(E233:H233)</f>
        <v/>
      </c>
      <c r="J233" s="343" t="n">
        <v>0.78</v>
      </c>
      <c r="K233" s="343" t="n">
        <v>0.78</v>
      </c>
      <c r="L233" s="343" t="n">
        <v>0.78</v>
      </c>
      <c r="M233" s="343" t="n">
        <v>0.78</v>
      </c>
      <c r="N233" s="344">
        <f>AVERAGE(J233:M233)</f>
        <v/>
      </c>
      <c r="O233" s="343" t="n">
        <v>0.78</v>
      </c>
      <c r="P233" s="343" t="n">
        <v>0.78</v>
      </c>
      <c r="Q233" s="343" t="n">
        <v>0.78</v>
      </c>
      <c r="R233" s="343" t="n">
        <v>0.78</v>
      </c>
      <c r="S233" s="344">
        <f>AVERAGE(O233:R233)</f>
        <v/>
      </c>
      <c r="T233" s="343" t="n">
        <v>0.78</v>
      </c>
      <c r="U233" s="343" t="n">
        <v>0.78</v>
      </c>
      <c r="V233" s="343" t="n">
        <v>0.78</v>
      </c>
      <c r="W233" s="343" t="n">
        <v>0.78</v>
      </c>
      <c r="X233" s="344">
        <f>AVERAGE(T233:W233)</f>
        <v/>
      </c>
      <c r="Y233" s="343" t="n">
        <v>0.78</v>
      </c>
      <c r="Z233" s="343" t="n">
        <v>0.78</v>
      </c>
      <c r="AA233" s="343" t="n">
        <v>0.78</v>
      </c>
      <c r="AB233" s="343" t="n">
        <v>0.78</v>
      </c>
      <c r="AC233" s="344">
        <f>AVERAGE(Y233:AB233)</f>
        <v/>
      </c>
      <c r="AD233" s="343" t="n">
        <v>0.78</v>
      </c>
      <c r="AE233" s="343" t="n">
        <v>0.78</v>
      </c>
      <c r="AF233" s="343" t="n">
        <v>0.78</v>
      </c>
      <c r="AG233" s="343" t="n">
        <v>0.78</v>
      </c>
      <c r="AH233" s="344">
        <f>AVERAGE(AD233:AG233)</f>
        <v/>
      </c>
      <c r="AI233" s="343" t="n">
        <v>0.78</v>
      </c>
      <c r="AJ233" s="343" t="n">
        <v>0.78</v>
      </c>
      <c r="AK233" s="343" t="n">
        <v>0.78</v>
      </c>
      <c r="AL233" s="343" t="n">
        <v>0.78</v>
      </c>
      <c r="AM233" s="344">
        <f>AVERAGE(AI233:AL233)</f>
        <v/>
      </c>
      <c r="AN233" s="343" t="n">
        <v>0.78</v>
      </c>
      <c r="AO233" s="343" t="n">
        <v>0.78</v>
      </c>
      <c r="AP233" s="343" t="n">
        <v>0.78</v>
      </c>
      <c r="AQ233" s="343" t="n">
        <v>0.78</v>
      </c>
      <c r="AR233" s="344">
        <f>AVERAGE(AN233:AQ233)</f>
        <v/>
      </c>
    </row>
    <row r="234" ht="13.5" customHeight="1" s="290">
      <c r="A234" s="339" t="n"/>
      <c r="B234" s="340" t="inlineStr">
        <is>
          <t xml:space="preserve">  Advisory Utilization % — Blended  — Downside</t>
        </is>
      </c>
      <c r="E234" s="343" t="n">
        <v>0.68</v>
      </c>
      <c r="F234" s="343" t="n">
        <v>0.68</v>
      </c>
      <c r="G234" s="343" t="n">
        <v>0.68</v>
      </c>
      <c r="H234" s="343" t="n">
        <v>0.68</v>
      </c>
      <c r="I234" s="344">
        <f>AVERAGE(E234:H234)</f>
        <v/>
      </c>
      <c r="J234" s="343" t="n">
        <v>0.68</v>
      </c>
      <c r="K234" s="343" t="n">
        <v>0.68</v>
      </c>
      <c r="L234" s="343" t="n">
        <v>0.68</v>
      </c>
      <c r="M234" s="343" t="n">
        <v>0.68</v>
      </c>
      <c r="N234" s="344">
        <f>AVERAGE(J234:M234)</f>
        <v/>
      </c>
      <c r="O234" s="343" t="n">
        <v>0.68</v>
      </c>
      <c r="P234" s="343" t="n">
        <v>0.68</v>
      </c>
      <c r="Q234" s="343" t="n">
        <v>0.68</v>
      </c>
      <c r="R234" s="343" t="n">
        <v>0.68</v>
      </c>
      <c r="S234" s="344">
        <f>AVERAGE(O234:R234)</f>
        <v/>
      </c>
      <c r="T234" s="343" t="n">
        <v>0.68</v>
      </c>
      <c r="U234" s="343" t="n">
        <v>0.68</v>
      </c>
      <c r="V234" s="343" t="n">
        <v>0.68</v>
      </c>
      <c r="W234" s="343" t="n">
        <v>0.68</v>
      </c>
      <c r="X234" s="344">
        <f>AVERAGE(T234:W234)</f>
        <v/>
      </c>
      <c r="Y234" s="343" t="n">
        <v>0.68</v>
      </c>
      <c r="Z234" s="343" t="n">
        <v>0.68</v>
      </c>
      <c r="AA234" s="343" t="n">
        <v>0.68</v>
      </c>
      <c r="AB234" s="343" t="n">
        <v>0.68</v>
      </c>
      <c r="AC234" s="344">
        <f>AVERAGE(Y234:AB234)</f>
        <v/>
      </c>
      <c r="AD234" s="343" t="n">
        <v>0.68</v>
      </c>
      <c r="AE234" s="343" t="n">
        <v>0.68</v>
      </c>
      <c r="AF234" s="343" t="n">
        <v>0.68</v>
      </c>
      <c r="AG234" s="343" t="n">
        <v>0.68</v>
      </c>
      <c r="AH234" s="344">
        <f>AVERAGE(AD234:AG234)</f>
        <v/>
      </c>
      <c r="AI234" s="343" t="n">
        <v>0.68</v>
      </c>
      <c r="AJ234" s="343" t="n">
        <v>0.68</v>
      </c>
      <c r="AK234" s="343" t="n">
        <v>0.68</v>
      </c>
      <c r="AL234" s="343" t="n">
        <v>0.68</v>
      </c>
      <c r="AM234" s="344">
        <f>AVERAGE(AI234:AL234)</f>
        <v/>
      </c>
      <c r="AN234" s="343" t="n">
        <v>0.68</v>
      </c>
      <c r="AO234" s="343" t="n">
        <v>0.68</v>
      </c>
      <c r="AP234" s="343" t="n">
        <v>0.68</v>
      </c>
      <c r="AQ234" s="343" t="n">
        <v>0.68</v>
      </c>
      <c r="AR234" s="344">
        <f>AVERAGE(AN234:AQ234)</f>
        <v/>
      </c>
    </row>
    <row r="235" ht="13.5" customHeight="1" s="290">
      <c r="A235" s="345" t="n"/>
      <c r="B235" s="346" t="inlineStr">
        <is>
          <t xml:space="preserve">  Advisory Utilization % — Blended  — ★ ACTIVE</t>
        </is>
      </c>
      <c r="E235" s="361">
        <f>IF('01 Cover &amp; Control'!$C$19="Base",E232,IF('01 Cover &amp; Control'!$C$19="Upside",E233,E234))</f>
        <v/>
      </c>
      <c r="F235" s="361">
        <f>IF('01 Cover &amp; Control'!$C$19="Base",F232,IF('01 Cover &amp; Control'!$C$19="Upside",F233,F234))</f>
        <v/>
      </c>
      <c r="G235" s="361">
        <f>IF('01 Cover &amp; Control'!$C$19="Base",G232,IF('01 Cover &amp; Control'!$C$19="Upside",G233,G234))</f>
        <v/>
      </c>
      <c r="H235" s="361">
        <f>IF('01 Cover &amp; Control'!$C$19="Base",H232,IF('01 Cover &amp; Control'!$C$19="Upside",H233,H234))</f>
        <v/>
      </c>
      <c r="I235" s="347">
        <f>AVERAGE(E235:H235)</f>
        <v/>
      </c>
      <c r="J235" s="361">
        <f>IF('01 Cover &amp; Control'!$C$19="Base",J232,IF('01 Cover &amp; Control'!$C$19="Upside",J233,J234))</f>
        <v/>
      </c>
      <c r="K235" s="361">
        <f>IF('01 Cover &amp; Control'!$C$19="Base",K232,IF('01 Cover &amp; Control'!$C$19="Upside",K233,K234))</f>
        <v/>
      </c>
      <c r="L235" s="361">
        <f>IF('01 Cover &amp; Control'!$C$19="Base",L232,IF('01 Cover &amp; Control'!$C$19="Upside",L233,L234))</f>
        <v/>
      </c>
      <c r="M235" s="361">
        <f>IF('01 Cover &amp; Control'!$C$19="Base",M232,IF('01 Cover &amp; Control'!$C$19="Upside",M233,M234))</f>
        <v/>
      </c>
      <c r="N235" s="347">
        <f>AVERAGE(J235:M235)</f>
        <v/>
      </c>
      <c r="O235" s="361">
        <f>IF('01 Cover &amp; Control'!$C$19="Base",O232,IF('01 Cover &amp; Control'!$C$19="Upside",O233,O234))</f>
        <v/>
      </c>
      <c r="P235" s="361">
        <f>IF('01 Cover &amp; Control'!$C$19="Base",P232,IF('01 Cover &amp; Control'!$C$19="Upside",P233,P234))</f>
        <v/>
      </c>
      <c r="Q235" s="361">
        <f>IF('01 Cover &amp; Control'!$C$19="Base",Q232,IF('01 Cover &amp; Control'!$C$19="Upside",Q233,Q234))</f>
        <v/>
      </c>
      <c r="R235" s="361">
        <f>IF('01 Cover &amp; Control'!$C$19="Base",R232,IF('01 Cover &amp; Control'!$C$19="Upside",R233,R234))</f>
        <v/>
      </c>
      <c r="S235" s="347">
        <f>AVERAGE(O235:R235)</f>
        <v/>
      </c>
      <c r="T235" s="361">
        <f>IF('01 Cover &amp; Control'!$C$19="Base",T232,IF('01 Cover &amp; Control'!$C$19="Upside",T233,T234))</f>
        <v/>
      </c>
      <c r="U235" s="361">
        <f>IF('01 Cover &amp; Control'!$C$19="Base",U232,IF('01 Cover &amp; Control'!$C$19="Upside",U233,U234))</f>
        <v/>
      </c>
      <c r="V235" s="361">
        <f>IF('01 Cover &amp; Control'!$C$19="Base",V232,IF('01 Cover &amp; Control'!$C$19="Upside",V233,V234))</f>
        <v/>
      </c>
      <c r="W235" s="361">
        <f>IF('01 Cover &amp; Control'!$C$19="Base",W232,IF('01 Cover &amp; Control'!$C$19="Upside",W233,W234))</f>
        <v/>
      </c>
      <c r="X235" s="347">
        <f>AVERAGE(T235:W235)</f>
        <v/>
      </c>
      <c r="Y235" s="361">
        <f>IF('01 Cover &amp; Control'!$C$19="Base",Y232,IF('01 Cover &amp; Control'!$C$19="Upside",Y233,Y234))</f>
        <v/>
      </c>
      <c r="Z235" s="361">
        <f>IF('01 Cover &amp; Control'!$C$19="Base",Z232,IF('01 Cover &amp; Control'!$C$19="Upside",Z233,Z234))</f>
        <v/>
      </c>
      <c r="AA235" s="361">
        <f>IF('01 Cover &amp; Control'!$C$19="Base",AA232,IF('01 Cover &amp; Control'!$C$19="Upside",AA233,AA234))</f>
        <v/>
      </c>
      <c r="AB235" s="361">
        <f>IF('01 Cover &amp; Control'!$C$19="Base",AB232,IF('01 Cover &amp; Control'!$C$19="Upside",AB233,AB234))</f>
        <v/>
      </c>
      <c r="AC235" s="347">
        <f>AVERAGE(Y235:AB235)</f>
        <v/>
      </c>
      <c r="AD235" s="361">
        <f>IF('01 Cover &amp; Control'!$C$19="Base",AD232,IF('01 Cover &amp; Control'!$C$19="Upside",AD233,AD234))</f>
        <v/>
      </c>
      <c r="AE235" s="361">
        <f>IF('01 Cover &amp; Control'!$C$19="Base",AE232,IF('01 Cover &amp; Control'!$C$19="Upside",AE233,AE234))</f>
        <v/>
      </c>
      <c r="AF235" s="361">
        <f>IF('01 Cover &amp; Control'!$C$19="Base",AF232,IF('01 Cover &amp; Control'!$C$19="Upside",AF233,AF234))</f>
        <v/>
      </c>
      <c r="AG235" s="361">
        <f>IF('01 Cover &amp; Control'!$C$19="Base",AG232,IF('01 Cover &amp; Control'!$C$19="Upside",AG233,AG234))</f>
        <v/>
      </c>
      <c r="AH235" s="347">
        <f>AVERAGE(AD235:AG235)</f>
        <v/>
      </c>
      <c r="AI235" s="361">
        <f>IF('01 Cover &amp; Control'!$C$19="Base",AI232,IF('01 Cover &amp; Control'!$C$19="Upside",AI233,AI234))</f>
        <v/>
      </c>
      <c r="AJ235" s="361">
        <f>IF('01 Cover &amp; Control'!$C$19="Base",AJ232,IF('01 Cover &amp; Control'!$C$19="Upside",AJ233,AJ234))</f>
        <v/>
      </c>
      <c r="AK235" s="361">
        <f>IF('01 Cover &amp; Control'!$C$19="Base",AK232,IF('01 Cover &amp; Control'!$C$19="Upside",AK233,AK234))</f>
        <v/>
      </c>
      <c r="AL235" s="361">
        <f>IF('01 Cover &amp; Control'!$C$19="Base",AL232,IF('01 Cover &amp; Control'!$C$19="Upside",AL233,AL234))</f>
        <v/>
      </c>
      <c r="AM235" s="347">
        <f>AVERAGE(AI235:AL235)</f>
        <v/>
      </c>
      <c r="AN235" s="361">
        <f>IF('01 Cover &amp; Control'!$C$19="Base",AN232,IF('01 Cover &amp; Control'!$C$19="Upside",AN233,AN234))</f>
        <v/>
      </c>
      <c r="AO235" s="361">
        <f>IF('01 Cover &amp; Control'!$C$19="Base",AO232,IF('01 Cover &amp; Control'!$C$19="Upside",AO233,AO234))</f>
        <v/>
      </c>
      <c r="AP235" s="361">
        <f>IF('01 Cover &amp; Control'!$C$19="Base",AP232,IF('01 Cover &amp; Control'!$C$19="Upside",AP233,AP234))</f>
        <v/>
      </c>
      <c r="AQ235" s="361">
        <f>IF('01 Cover &amp; Control'!$C$19="Base",AQ232,IF('01 Cover &amp; Control'!$C$19="Upside",AQ233,AQ234))</f>
        <v/>
      </c>
      <c r="AR235" s="347">
        <f>AVERAGE(AN235:AQ235)</f>
        <v/>
      </c>
    </row>
    <row r="236" ht="3.75" customHeight="1" s="290"/>
    <row r="237" ht="13.5" customHeight="1" s="290">
      <c r="A237" s="339" t="n"/>
      <c r="B237" s="357" t="inlineStr">
        <is>
          <t xml:space="preserve">  Billable Hours Capacity per FTE per Quarter</t>
        </is>
      </c>
      <c r="C237" s="341" t="inlineStr">
        <is>
          <t>hrs/qtr</t>
        </is>
      </c>
      <c r="D237" s="342" t="inlineStr">
        <is>
          <t>Maximum available billable hours per advisor/appraiser per quarter.</t>
        </is>
      </c>
      <c r="E237" s="343" t="n">
        <v>480</v>
      </c>
      <c r="F237" s="343" t="n">
        <v>480</v>
      </c>
      <c r="G237" s="343" t="n">
        <v>480</v>
      </c>
      <c r="H237" s="343" t="n">
        <v>480</v>
      </c>
      <c r="I237" s="344">
        <f>SUM(E237:H237)</f>
        <v/>
      </c>
      <c r="J237" s="343" t="n">
        <v>480</v>
      </c>
      <c r="K237" s="343" t="n">
        <v>480</v>
      </c>
      <c r="L237" s="343" t="n">
        <v>480</v>
      </c>
      <c r="M237" s="343" t="n">
        <v>480</v>
      </c>
      <c r="N237" s="344">
        <f>SUM(J237:M237)</f>
        <v/>
      </c>
      <c r="O237" s="343" t="n">
        <v>480</v>
      </c>
      <c r="P237" s="343" t="n">
        <v>480</v>
      </c>
      <c r="Q237" s="343" t="n">
        <v>480</v>
      </c>
      <c r="R237" s="343" t="n">
        <v>480</v>
      </c>
      <c r="S237" s="344">
        <f>SUM(O237:R237)</f>
        <v/>
      </c>
      <c r="T237" s="343" t="n">
        <v>480</v>
      </c>
      <c r="U237" s="343" t="n">
        <v>480</v>
      </c>
      <c r="V237" s="343" t="n">
        <v>480</v>
      </c>
      <c r="W237" s="343" t="n">
        <v>480</v>
      </c>
      <c r="X237" s="344">
        <f>SUM(T237:W237)</f>
        <v/>
      </c>
      <c r="Y237" s="343" t="n">
        <v>480</v>
      </c>
      <c r="Z237" s="343" t="n">
        <v>480</v>
      </c>
      <c r="AA237" s="343" t="n">
        <v>480</v>
      </c>
      <c r="AB237" s="343" t="n">
        <v>480</v>
      </c>
      <c r="AC237" s="344">
        <f>SUM(Y237:AB237)</f>
        <v/>
      </c>
      <c r="AD237" s="343" t="n">
        <v>480</v>
      </c>
      <c r="AE237" s="343" t="n">
        <v>480</v>
      </c>
      <c r="AF237" s="343" t="n">
        <v>480</v>
      </c>
      <c r="AG237" s="343" t="n">
        <v>480</v>
      </c>
      <c r="AH237" s="344">
        <f>SUM(AD237:AG237)</f>
        <v/>
      </c>
      <c r="AI237" s="343" t="n">
        <v>480</v>
      </c>
      <c r="AJ237" s="343" t="n">
        <v>480</v>
      </c>
      <c r="AK237" s="343" t="n">
        <v>480</v>
      </c>
      <c r="AL237" s="343" t="n">
        <v>480</v>
      </c>
      <c r="AM237" s="344">
        <f>SUM(AI237:AL237)</f>
        <v/>
      </c>
      <c r="AN237" s="343" t="n">
        <v>480</v>
      </c>
      <c r="AO237" s="343" t="n">
        <v>480</v>
      </c>
      <c r="AP237" s="343" t="n">
        <v>480</v>
      </c>
      <c r="AQ237" s="343" t="n">
        <v>480</v>
      </c>
      <c r="AR237" s="344">
        <f>SUM(AN237:AQ237)</f>
        <v/>
      </c>
    </row>
    <row r="238" ht="13.5" customHeight="1" s="290">
      <c r="A238" s="339" t="n"/>
      <c r="B238" s="357" t="inlineStr">
        <is>
          <t xml:space="preserve">  Realized Billing Rate — Senior Appraiser</t>
        </is>
      </c>
      <c r="C238" s="341" t="inlineStr">
        <is>
          <t>$/hr</t>
        </is>
      </c>
      <c r="D238" s="342" t="inlineStr">
        <is>
          <t>Net realized rate per billable hour after write-downs. Source: Appraisal Institute; RICS; internal benchmarks.</t>
        </is>
      </c>
      <c r="E238" s="343" t="n">
        <v>350</v>
      </c>
      <c r="F238" s="343" t="n">
        <v>350</v>
      </c>
      <c r="G238" s="343" t="n">
        <v>350</v>
      </c>
      <c r="H238" s="343" t="n">
        <v>350</v>
      </c>
      <c r="I238" s="344">
        <f>SUM(E238:H238)</f>
        <v/>
      </c>
      <c r="J238" s="343" t="n">
        <v>350</v>
      </c>
      <c r="K238" s="343" t="n">
        <v>350</v>
      </c>
      <c r="L238" s="343" t="n">
        <v>350</v>
      </c>
      <c r="M238" s="343" t="n">
        <v>350</v>
      </c>
      <c r="N238" s="344">
        <f>SUM(J238:M238)</f>
        <v/>
      </c>
      <c r="O238" s="343" t="n">
        <v>350</v>
      </c>
      <c r="P238" s="343" t="n">
        <v>350</v>
      </c>
      <c r="Q238" s="343" t="n">
        <v>350</v>
      </c>
      <c r="R238" s="343" t="n">
        <v>350</v>
      </c>
      <c r="S238" s="344">
        <f>SUM(O238:R238)</f>
        <v/>
      </c>
      <c r="T238" s="343" t="n">
        <v>350</v>
      </c>
      <c r="U238" s="343" t="n">
        <v>350</v>
      </c>
      <c r="V238" s="343" t="n">
        <v>350</v>
      </c>
      <c r="W238" s="343" t="n">
        <v>350</v>
      </c>
      <c r="X238" s="344">
        <f>SUM(T238:W238)</f>
        <v/>
      </c>
      <c r="Y238" s="343" t="n">
        <v>350</v>
      </c>
      <c r="Z238" s="343" t="n">
        <v>350</v>
      </c>
      <c r="AA238" s="343" t="n">
        <v>350</v>
      </c>
      <c r="AB238" s="343" t="n">
        <v>350</v>
      </c>
      <c r="AC238" s="344">
        <f>SUM(Y238:AB238)</f>
        <v/>
      </c>
      <c r="AD238" s="343" t="n">
        <v>350</v>
      </c>
      <c r="AE238" s="343" t="n">
        <v>350</v>
      </c>
      <c r="AF238" s="343" t="n">
        <v>350</v>
      </c>
      <c r="AG238" s="343" t="n">
        <v>350</v>
      </c>
      <c r="AH238" s="344">
        <f>SUM(AD238:AG238)</f>
        <v/>
      </c>
      <c r="AI238" s="343" t="n">
        <v>350</v>
      </c>
      <c r="AJ238" s="343" t="n">
        <v>350</v>
      </c>
      <c r="AK238" s="343" t="n">
        <v>350</v>
      </c>
      <c r="AL238" s="343" t="n">
        <v>350</v>
      </c>
      <c r="AM238" s="344">
        <f>SUM(AI238:AL238)</f>
        <v/>
      </c>
      <c r="AN238" s="343" t="n">
        <v>350</v>
      </c>
      <c r="AO238" s="343" t="n">
        <v>350</v>
      </c>
      <c r="AP238" s="343" t="n">
        <v>350</v>
      </c>
      <c r="AQ238" s="343" t="n">
        <v>350</v>
      </c>
      <c r="AR238" s="344">
        <f>SUM(AN238:AQ238)</f>
        <v/>
      </c>
    </row>
    <row r="239" ht="13.5" customHeight="1" s="290">
      <c r="A239" s="339" t="n"/>
      <c r="B239" s="357" t="inlineStr">
        <is>
          <t xml:space="preserve">  Realized Billing Rate — Appraiser</t>
        </is>
      </c>
      <c r="C239" s="341" t="inlineStr">
        <is>
          <t>$/hr</t>
        </is>
      </c>
      <c r="D239" s="342" t="inlineStr">
        <is>
          <t>Net realized rate per billable hour after write-downs. Source: Appraisal Institute; RICS; internal benchmarks.</t>
        </is>
      </c>
      <c r="E239" s="343" t="n">
        <v>225</v>
      </c>
      <c r="F239" s="343" t="n">
        <v>225</v>
      </c>
      <c r="G239" s="343" t="n">
        <v>225</v>
      </c>
      <c r="H239" s="343" t="n">
        <v>225</v>
      </c>
      <c r="I239" s="344">
        <f>SUM(E239:H239)</f>
        <v/>
      </c>
      <c r="J239" s="343" t="n">
        <v>225</v>
      </c>
      <c r="K239" s="343" t="n">
        <v>225</v>
      </c>
      <c r="L239" s="343" t="n">
        <v>225</v>
      </c>
      <c r="M239" s="343" t="n">
        <v>225</v>
      </c>
      <c r="N239" s="344">
        <f>SUM(J239:M239)</f>
        <v/>
      </c>
      <c r="O239" s="343" t="n">
        <v>225</v>
      </c>
      <c r="P239" s="343" t="n">
        <v>225</v>
      </c>
      <c r="Q239" s="343" t="n">
        <v>225</v>
      </c>
      <c r="R239" s="343" t="n">
        <v>225</v>
      </c>
      <c r="S239" s="344">
        <f>SUM(O239:R239)</f>
        <v/>
      </c>
      <c r="T239" s="343" t="n">
        <v>225</v>
      </c>
      <c r="U239" s="343" t="n">
        <v>225</v>
      </c>
      <c r="V239" s="343" t="n">
        <v>225</v>
      </c>
      <c r="W239" s="343" t="n">
        <v>225</v>
      </c>
      <c r="X239" s="344">
        <f>SUM(T239:W239)</f>
        <v/>
      </c>
      <c r="Y239" s="343" t="n">
        <v>225</v>
      </c>
      <c r="Z239" s="343" t="n">
        <v>225</v>
      </c>
      <c r="AA239" s="343" t="n">
        <v>225</v>
      </c>
      <c r="AB239" s="343" t="n">
        <v>225</v>
      </c>
      <c r="AC239" s="344">
        <f>SUM(Y239:AB239)</f>
        <v/>
      </c>
      <c r="AD239" s="343" t="n">
        <v>225</v>
      </c>
      <c r="AE239" s="343" t="n">
        <v>225</v>
      </c>
      <c r="AF239" s="343" t="n">
        <v>225</v>
      </c>
      <c r="AG239" s="343" t="n">
        <v>225</v>
      </c>
      <c r="AH239" s="344">
        <f>SUM(AD239:AG239)</f>
        <v/>
      </c>
      <c r="AI239" s="343" t="n">
        <v>225</v>
      </c>
      <c r="AJ239" s="343" t="n">
        <v>225</v>
      </c>
      <c r="AK239" s="343" t="n">
        <v>225</v>
      </c>
      <c r="AL239" s="343" t="n">
        <v>225</v>
      </c>
      <c r="AM239" s="344">
        <f>SUM(AI239:AL239)</f>
        <v/>
      </c>
      <c r="AN239" s="343" t="n">
        <v>225</v>
      </c>
      <c r="AO239" s="343" t="n">
        <v>225</v>
      </c>
      <c r="AP239" s="343" t="n">
        <v>225</v>
      </c>
      <c r="AQ239" s="343" t="n">
        <v>225</v>
      </c>
      <c r="AR239" s="344">
        <f>SUM(AN239:AQ239)</f>
        <v/>
      </c>
    </row>
    <row r="240" ht="13.5" customHeight="1" s="290">
      <c r="A240" s="339" t="n"/>
      <c r="B240" s="357" t="inlineStr">
        <is>
          <t xml:space="preserve">  Realized Billing Rate — Analyst</t>
        </is>
      </c>
      <c r="C240" s="341" t="inlineStr">
        <is>
          <t>$/hr</t>
        </is>
      </c>
      <c r="D240" s="342" t="inlineStr">
        <is>
          <t>Net realized rate per billable hour after write-downs. Source: Appraisal Institute; RICS; internal benchmarks.</t>
        </is>
      </c>
      <c r="E240" s="343" t="n">
        <v>150</v>
      </c>
      <c r="F240" s="343" t="n">
        <v>150</v>
      </c>
      <c r="G240" s="343" t="n">
        <v>150</v>
      </c>
      <c r="H240" s="343" t="n">
        <v>150</v>
      </c>
      <c r="I240" s="344">
        <f>SUM(E240:H240)</f>
        <v/>
      </c>
      <c r="J240" s="343" t="n">
        <v>150</v>
      </c>
      <c r="K240" s="343" t="n">
        <v>150</v>
      </c>
      <c r="L240" s="343" t="n">
        <v>150</v>
      </c>
      <c r="M240" s="343" t="n">
        <v>150</v>
      </c>
      <c r="N240" s="344">
        <f>SUM(J240:M240)</f>
        <v/>
      </c>
      <c r="O240" s="343" t="n">
        <v>150</v>
      </c>
      <c r="P240" s="343" t="n">
        <v>150</v>
      </c>
      <c r="Q240" s="343" t="n">
        <v>150</v>
      </c>
      <c r="R240" s="343" t="n">
        <v>150</v>
      </c>
      <c r="S240" s="344">
        <f>SUM(O240:R240)</f>
        <v/>
      </c>
      <c r="T240" s="343" t="n">
        <v>150</v>
      </c>
      <c r="U240" s="343" t="n">
        <v>150</v>
      </c>
      <c r="V240" s="343" t="n">
        <v>150</v>
      </c>
      <c r="W240" s="343" t="n">
        <v>150</v>
      </c>
      <c r="X240" s="344">
        <f>SUM(T240:W240)</f>
        <v/>
      </c>
      <c r="Y240" s="343" t="n">
        <v>150</v>
      </c>
      <c r="Z240" s="343" t="n">
        <v>150</v>
      </c>
      <c r="AA240" s="343" t="n">
        <v>150</v>
      </c>
      <c r="AB240" s="343" t="n">
        <v>150</v>
      </c>
      <c r="AC240" s="344">
        <f>SUM(Y240:AB240)</f>
        <v/>
      </c>
      <c r="AD240" s="343" t="n">
        <v>150</v>
      </c>
      <c r="AE240" s="343" t="n">
        <v>150</v>
      </c>
      <c r="AF240" s="343" t="n">
        <v>150</v>
      </c>
      <c r="AG240" s="343" t="n">
        <v>150</v>
      </c>
      <c r="AH240" s="344">
        <f>SUM(AD240:AG240)</f>
        <v/>
      </c>
      <c r="AI240" s="343" t="n">
        <v>150</v>
      </c>
      <c r="AJ240" s="343" t="n">
        <v>150</v>
      </c>
      <c r="AK240" s="343" t="n">
        <v>150</v>
      </c>
      <c r="AL240" s="343" t="n">
        <v>150</v>
      </c>
      <c r="AM240" s="344">
        <f>SUM(AI240:AL240)</f>
        <v/>
      </c>
      <c r="AN240" s="343" t="n">
        <v>150</v>
      </c>
      <c r="AO240" s="343" t="n">
        <v>150</v>
      </c>
      <c r="AP240" s="343" t="n">
        <v>150</v>
      </c>
      <c r="AQ240" s="343" t="n">
        <v>150</v>
      </c>
      <c r="AR240" s="344">
        <f>SUM(AN240:AQ240)</f>
        <v/>
      </c>
    </row>
    <row r="241" ht="13.5" customHeight="1" s="290">
      <c r="A241" s="339" t="n"/>
      <c r="B241" s="357" t="inlineStr">
        <is>
          <t xml:space="preserve">  Recurring / Portfolio Valuation Revenue Component</t>
        </is>
      </c>
      <c r="C241" s="341" t="inlineStr">
        <is>
          <t>$K/qtr</t>
        </is>
      </c>
      <c r="D241" s="342" t="inlineStr">
        <is>
          <t>Annuity-type recurring engagements (e.g., ongoing portfolio valuation mandates). Relatively stable across scenarios. Countercyclical buffer.</t>
        </is>
      </c>
      <c r="E241" s="343" t="n">
        <v>250</v>
      </c>
      <c r="F241" s="343" t="n">
        <v>250</v>
      </c>
      <c r="G241" s="343" t="n">
        <v>250</v>
      </c>
      <c r="H241" s="343" t="n">
        <v>250</v>
      </c>
      <c r="I241" s="344">
        <f>SUM(E241:H241)</f>
        <v/>
      </c>
      <c r="J241" s="343" t="n">
        <v>250</v>
      </c>
      <c r="K241" s="343" t="n">
        <v>250</v>
      </c>
      <c r="L241" s="343" t="n">
        <v>250</v>
      </c>
      <c r="M241" s="343" t="n">
        <v>250</v>
      </c>
      <c r="N241" s="344">
        <f>SUM(J241:M241)</f>
        <v/>
      </c>
      <c r="O241" s="343" t="n">
        <v>250</v>
      </c>
      <c r="P241" s="343" t="n">
        <v>250</v>
      </c>
      <c r="Q241" s="343" t="n">
        <v>250</v>
      </c>
      <c r="R241" s="343" t="n">
        <v>250</v>
      </c>
      <c r="S241" s="344">
        <f>SUM(O241:R241)</f>
        <v/>
      </c>
      <c r="T241" s="343" t="n">
        <v>250</v>
      </c>
      <c r="U241" s="343" t="n">
        <v>250</v>
      </c>
      <c r="V241" s="343" t="n">
        <v>250</v>
      </c>
      <c r="W241" s="343" t="n">
        <v>250</v>
      </c>
      <c r="X241" s="344">
        <f>SUM(T241:W241)</f>
        <v/>
      </c>
      <c r="Y241" s="343" t="n">
        <v>250</v>
      </c>
      <c r="Z241" s="343" t="n">
        <v>250</v>
      </c>
      <c r="AA241" s="343" t="n">
        <v>250</v>
      </c>
      <c r="AB241" s="343" t="n">
        <v>250</v>
      </c>
      <c r="AC241" s="344">
        <f>SUM(Y241:AB241)</f>
        <v/>
      </c>
      <c r="AD241" s="343" t="n">
        <v>250</v>
      </c>
      <c r="AE241" s="343" t="n">
        <v>250</v>
      </c>
      <c r="AF241" s="343" t="n">
        <v>250</v>
      </c>
      <c r="AG241" s="343" t="n">
        <v>250</v>
      </c>
      <c r="AH241" s="344">
        <f>SUM(AD241:AG241)</f>
        <v/>
      </c>
      <c r="AI241" s="343" t="n">
        <v>250</v>
      </c>
      <c r="AJ241" s="343" t="n">
        <v>250</v>
      </c>
      <c r="AK241" s="343" t="n">
        <v>250</v>
      </c>
      <c r="AL241" s="343" t="n">
        <v>250</v>
      </c>
      <c r="AM241" s="344">
        <f>SUM(AI241:AL241)</f>
        <v/>
      </c>
      <c r="AN241" s="343" t="n">
        <v>250</v>
      </c>
      <c r="AO241" s="343" t="n">
        <v>250</v>
      </c>
      <c r="AP241" s="343" t="n">
        <v>250</v>
      </c>
      <c r="AQ241" s="343" t="n">
        <v>250</v>
      </c>
      <c r="AR241" s="344">
        <f>SUM(AN241:AQ241)</f>
        <v/>
      </c>
    </row>
    <row r="242" ht="4.5" customHeight="1" s="290"/>
    <row r="243" ht="3" customHeight="1" s="290">
      <c r="A243" s="293" t="n"/>
    </row>
    <row r="244" ht="4.5" customHeight="1" s="290"/>
    <row r="245" ht="15.75" customHeight="1" s="290">
      <c r="A245" s="338" t="inlineStr">
        <is>
          <t xml:space="preserve">  SECTION D — COMPENSATION STRUCTURE  (Static structural inputs — not time-series)</t>
        </is>
      </c>
    </row>
    <row r="246" ht="3.75" customHeight="1" s="290"/>
    <row r="247" ht="13.5" customHeight="1" s="290">
      <c r="A247" s="348" t="inlineStr">
        <is>
          <t xml:space="preserve">  Split schedules define the economics of the producer/firm relationship. Structure: two production thresholds (T1, T2) create three GCI buckets with escalating splits (S1 &lt; S2 &lt; S3). GCI per EPE determines which bucket applies each period. Blended effective payout ratio is a CALCULATED output in the Compensation Engine (Tab 06) — not an input here. Advisory comp is salary-based — entered separately below the split tables.</t>
        </is>
      </c>
    </row>
    <row r="248" ht="3.75" customHeight="1" s="290"/>
    <row r="249" ht="15" customHeight="1" s="290">
      <c r="B249" s="307" t="inlineStr">
        <is>
          <t xml:space="preserve">  Producer Tier</t>
        </is>
      </c>
      <c r="C249" s="308" t="inlineStr">
        <is>
          <t>Units</t>
        </is>
      </c>
      <c r="E249" s="333" t="inlineStr">
        <is>
          <t>Threshold 1
($K GCI/yr)</t>
        </is>
      </c>
      <c r="F249" s="333" t="inlineStr">
        <is>
          <t>Split %
at T1 (S1)</t>
        </is>
      </c>
      <c r="G249" s="333" t="inlineStr">
        <is>
          <t>Threshold 2
($K GCI/yr)</t>
        </is>
      </c>
      <c r="H249" s="333" t="inlineStr">
        <is>
          <t>Split %
at T2 (S2)</t>
        </is>
      </c>
      <c r="I249" s="333" t="inlineStr">
        <is>
          <t>Above T2
(no cap)</t>
        </is>
      </c>
      <c r="J249" s="333" t="inlineStr">
        <is>
          <t>Split %
Above T2 (S3)</t>
        </is>
      </c>
    </row>
    <row r="250" ht="15" customHeight="1" s="290">
      <c r="A250" s="307" t="inlineStr">
        <is>
          <t xml:space="preserve">    Leasing — Split Schedule</t>
        </is>
      </c>
    </row>
    <row r="251" ht="13.5" customHeight="1" s="290">
      <c r="A251" s="348" t="inlineStr">
        <is>
          <t xml:space="preserve">  Source benchmark: Leasing split ranges. Typical payout 50–70% of GCI blended. MMI 10-K; CBRE/JLL internal benchmarks.</t>
        </is>
      </c>
    </row>
    <row r="252" ht="15" customHeight="1" s="290">
      <c r="B252" s="357" t="inlineStr">
        <is>
          <t xml:space="preserve">  Leasing — Rainmaker</t>
        </is>
      </c>
      <c r="C252" s="341" t="inlineStr">
        <is>
          <t>$K / %</t>
        </is>
      </c>
      <c r="E252" s="343" t="n">
        <v>250</v>
      </c>
      <c r="F252" s="343" t="n">
        <v>0.5</v>
      </c>
      <c r="G252" s="343" t="n">
        <v>600</v>
      </c>
      <c r="H252" s="343" t="n">
        <v>0.6</v>
      </c>
      <c r="I252" s="366" t="inlineStr">
        <is>
          <t>Above T2 →</t>
        </is>
      </c>
      <c r="J252" s="343" t="n">
        <v>0.75</v>
      </c>
    </row>
    <row r="253" ht="15" customHeight="1" s="290">
      <c r="B253" s="364" t="inlineStr">
        <is>
          <t xml:space="preserve">  Leasing — Core</t>
        </is>
      </c>
      <c r="C253" s="341" t="inlineStr">
        <is>
          <t>$K / %</t>
        </is>
      </c>
      <c r="E253" s="343" t="n">
        <v>250</v>
      </c>
      <c r="F253" s="343" t="n">
        <v>0.5</v>
      </c>
      <c r="G253" s="343" t="n">
        <v>600</v>
      </c>
      <c r="H253" s="343" t="n">
        <v>0.6</v>
      </c>
      <c r="I253" s="366" t="inlineStr">
        <is>
          <t>Above T2 →</t>
        </is>
      </c>
      <c r="J253" s="343" t="n">
        <v>0.75</v>
      </c>
    </row>
    <row r="254" ht="15" customHeight="1" s="290">
      <c r="B254" s="357" t="inlineStr">
        <is>
          <t xml:space="preserve">  Leasing — Junior</t>
        </is>
      </c>
      <c r="C254" s="341" t="inlineStr">
        <is>
          <t>$K / %</t>
        </is>
      </c>
      <c r="E254" s="343" t="n">
        <v>250</v>
      </c>
      <c r="F254" s="343" t="n">
        <v>0.5</v>
      </c>
      <c r="G254" s="343" t="n">
        <v>600</v>
      </c>
      <c r="H254" s="343" t="n">
        <v>0.6</v>
      </c>
      <c r="I254" s="366" t="inlineStr">
        <is>
          <t>Above T2 →</t>
        </is>
      </c>
      <c r="J254" s="343" t="n">
        <v>0.75</v>
      </c>
    </row>
    <row r="255" ht="3.75" customHeight="1" s="290"/>
    <row r="256" ht="15" customHeight="1" s="290">
      <c r="A256" s="307" t="inlineStr">
        <is>
          <t xml:space="preserve">    Investment Sales — Split Schedule</t>
        </is>
      </c>
    </row>
    <row r="257" ht="13.5" customHeight="1" s="290">
      <c r="A257" s="348" t="inlineStr">
        <is>
          <t xml:space="preserve">  Source benchmark: Investment Sales split ranges. Typical payout 50–70% of GCI blended. MMI 10-K; CBRE/JLL internal benchmarks.</t>
        </is>
      </c>
    </row>
    <row r="258" ht="15" customHeight="1" s="290">
      <c r="B258" s="357" t="inlineStr">
        <is>
          <t xml:space="preserve">  Investment Sales — Rainmaker</t>
        </is>
      </c>
      <c r="C258" s="341" t="inlineStr">
        <is>
          <t>$K / %</t>
        </is>
      </c>
      <c r="E258" s="343" t="n">
        <v>250</v>
      </c>
      <c r="F258" s="343" t="n">
        <v>0.5</v>
      </c>
      <c r="G258" s="343" t="n">
        <v>600</v>
      </c>
      <c r="H258" s="343" t="n">
        <v>0.6</v>
      </c>
      <c r="I258" s="366" t="inlineStr">
        <is>
          <t>Above T2 →</t>
        </is>
      </c>
      <c r="J258" s="343" t="n">
        <v>0.75</v>
      </c>
    </row>
    <row r="259" ht="15" customHeight="1" s="290">
      <c r="B259" s="364" t="inlineStr">
        <is>
          <t xml:space="preserve">  Investment Sales — Core</t>
        </is>
      </c>
      <c r="C259" s="341" t="inlineStr">
        <is>
          <t>$K / %</t>
        </is>
      </c>
      <c r="E259" s="343" t="n">
        <v>250</v>
      </c>
      <c r="F259" s="343" t="n">
        <v>0.5</v>
      </c>
      <c r="G259" s="343" t="n">
        <v>600</v>
      </c>
      <c r="H259" s="343" t="n">
        <v>0.6</v>
      </c>
      <c r="I259" s="366" t="inlineStr">
        <is>
          <t>Above T2 →</t>
        </is>
      </c>
      <c r="J259" s="343" t="n">
        <v>0.75</v>
      </c>
    </row>
    <row r="260" ht="15" customHeight="1" s="290">
      <c r="B260" s="357" t="inlineStr">
        <is>
          <t xml:space="preserve">  Investment Sales — Junior</t>
        </is>
      </c>
      <c r="C260" s="341" t="inlineStr">
        <is>
          <t>$K / %</t>
        </is>
      </c>
      <c r="E260" s="343" t="n">
        <v>250</v>
      </c>
      <c r="F260" s="343" t="n">
        <v>0.5</v>
      </c>
      <c r="G260" s="343" t="n">
        <v>600</v>
      </c>
      <c r="H260" s="343" t="n">
        <v>0.6</v>
      </c>
      <c r="I260" s="366" t="inlineStr">
        <is>
          <t>Above T2 →</t>
        </is>
      </c>
      <c r="J260" s="343" t="n">
        <v>0.75</v>
      </c>
    </row>
    <row r="261" ht="3.75" customHeight="1" s="290"/>
    <row r="262" ht="15" customHeight="1" s="290">
      <c r="A262" s="307" t="inlineStr">
        <is>
          <t xml:space="preserve">    Debt &amp; Equity — Split Schedule</t>
        </is>
      </c>
    </row>
    <row r="263" ht="13.5" customHeight="1" s="290">
      <c r="A263" s="348" t="inlineStr">
        <is>
          <t xml:space="preserve">  Source benchmark: Debt &amp; Equity split ranges. Typical payout 50–70% of GCI blended. MMI 10-K; CBRE/JLL internal benchmarks.</t>
        </is>
      </c>
    </row>
    <row r="264" ht="15" customHeight="1" s="290">
      <c r="B264" s="357" t="inlineStr">
        <is>
          <t xml:space="preserve">  Debt &amp; Equity — Rainmaker</t>
        </is>
      </c>
      <c r="C264" s="341" t="inlineStr">
        <is>
          <t>$K / %</t>
        </is>
      </c>
      <c r="E264" s="343" t="n">
        <v>250</v>
      </c>
      <c r="F264" s="343" t="n">
        <v>0.5</v>
      </c>
      <c r="G264" s="343" t="n">
        <v>600</v>
      </c>
      <c r="H264" s="343" t="n">
        <v>0.6</v>
      </c>
      <c r="I264" s="366" t="inlineStr">
        <is>
          <t>Above T2 →</t>
        </is>
      </c>
      <c r="J264" s="343" t="n">
        <v>0.75</v>
      </c>
    </row>
    <row r="265" ht="15" customHeight="1" s="290">
      <c r="B265" s="364" t="inlineStr">
        <is>
          <t xml:space="preserve">  Debt &amp; Equity — Core</t>
        </is>
      </c>
      <c r="C265" s="341" t="inlineStr">
        <is>
          <t>$K / %</t>
        </is>
      </c>
      <c r="E265" s="343" t="n">
        <v>250</v>
      </c>
      <c r="F265" s="343" t="n">
        <v>0.5</v>
      </c>
      <c r="G265" s="343" t="n">
        <v>600</v>
      </c>
      <c r="H265" s="343" t="n">
        <v>0.6</v>
      </c>
      <c r="I265" s="366" t="inlineStr">
        <is>
          <t>Above T2 →</t>
        </is>
      </c>
      <c r="J265" s="343" t="n">
        <v>0.75</v>
      </c>
    </row>
    <row r="266" ht="15" customHeight="1" s="290">
      <c r="B266" s="357" t="inlineStr">
        <is>
          <t xml:space="preserve">  Debt &amp; Equity — Junior</t>
        </is>
      </c>
      <c r="C266" s="341" t="inlineStr">
        <is>
          <t>$K / %</t>
        </is>
      </c>
      <c r="E266" s="343" t="n">
        <v>250</v>
      </c>
      <c r="F266" s="343" t="n">
        <v>0.5</v>
      </c>
      <c r="G266" s="343" t="n">
        <v>600</v>
      </c>
      <c r="H266" s="343" t="n">
        <v>0.6</v>
      </c>
      <c r="I266" s="366" t="inlineStr">
        <is>
          <t>Above T2 →</t>
        </is>
      </c>
      <c r="J266" s="343" t="n">
        <v>0.75</v>
      </c>
    </row>
    <row r="267" ht="3.75" customHeight="1" s="290"/>
    <row r="268" ht="15" customHeight="1" s="290">
      <c r="A268" s="307" t="inlineStr">
        <is>
          <t xml:space="preserve">    Advisory — Salary-Based Compensation (not split-based)</t>
        </is>
      </c>
    </row>
    <row r="269" ht="3" customHeight="1" s="290"/>
    <row r="270" ht="13.5" customHeight="1" s="290">
      <c r="A270" s="348" t="inlineStr">
        <is>
          <t xml:space="preserve">  Advisory professionals are salaried. Revenue Engine uses utilization/billing model. Comp Engine (Tab 06) applies salary × FTEs — no split schedule.</t>
        </is>
      </c>
    </row>
    <row r="271" ht="3" customHeight="1" s="290"/>
    <row r="272" ht="15" customHeight="1" s="290">
      <c r="B272" s="367" t="inlineStr">
        <is>
          <t xml:space="preserve">  Advisory Tier</t>
        </is>
      </c>
      <c r="E272" s="333" t="inlineStr">
        <is>
          <t>Base Salary
($K / yr)</t>
        </is>
      </c>
      <c r="F272" s="333" t="inlineStr">
        <is>
          <t>Annual Merit
Increase %</t>
        </is>
      </c>
      <c r="G272" s="333" t="inlineStr">
        <is>
          <t>Bonus %
of Base</t>
        </is>
      </c>
    </row>
    <row r="273" ht="13.5" customHeight="1" s="290">
      <c r="B273" s="357" t="inlineStr">
        <is>
          <t xml:space="preserve">  Senior Appraiser</t>
        </is>
      </c>
      <c r="E273" s="343" t="n">
        <v>180</v>
      </c>
      <c r="F273" s="343" t="n">
        <v>0.03</v>
      </c>
      <c r="G273" s="343" t="n">
        <v>0.25</v>
      </c>
    </row>
    <row r="274" ht="13.5" customHeight="1" s="290">
      <c r="B274" s="364" t="inlineStr">
        <is>
          <t xml:space="preserve">  Appraiser</t>
        </is>
      </c>
      <c r="E274" s="343" t="n">
        <v>120</v>
      </c>
      <c r="F274" s="343" t="n">
        <v>0.03</v>
      </c>
      <c r="G274" s="343" t="n">
        <v>0.15</v>
      </c>
    </row>
    <row r="275" ht="13.5" customHeight="1" s="290">
      <c r="B275" s="357" t="inlineStr">
        <is>
          <t xml:space="preserve">  Analyst</t>
        </is>
      </c>
      <c r="E275" s="343" t="n">
        <v>85</v>
      </c>
      <c r="F275" s="343" t="n">
        <v>0.03</v>
      </c>
      <c r="G275" s="343" t="n">
        <v>0.1</v>
      </c>
    </row>
    <row r="276" ht="4.5" customHeight="1" s="290"/>
    <row r="277" ht="15" customHeight="1" s="290">
      <c r="A277" s="307" t="inlineStr">
        <is>
          <t xml:space="preserve">    Corporate &amp; Support Compensation</t>
        </is>
      </c>
    </row>
    <row r="278" ht="3" customHeight="1" s="290"/>
    <row r="279" ht="13.5" customHeight="1" s="290">
      <c r="A279" s="339" t="n"/>
      <c r="B279" s="357" t="inlineStr">
        <is>
          <t xml:space="preserve">  Executive / Corporate Base Salary — Total Annual</t>
        </is>
      </c>
      <c r="C279" s="341" t="inlineStr">
        <is>
          <t>$K/yr</t>
        </is>
      </c>
      <c r="D279" s="342" t="inlineStr">
        <is>
          <t>CEO, CFO, COO, senior management aggregate.</t>
        </is>
      </c>
      <c r="E279" s="343" t="n">
        <v>3500</v>
      </c>
      <c r="F279" s="343" t="n"/>
      <c r="G279" s="343" t="n"/>
      <c r="H279" s="343" t="n"/>
      <c r="I279" s="344">
        <f>SUM(E279:H279)</f>
        <v/>
      </c>
      <c r="J279" s="343" t="n"/>
      <c r="K279" s="343" t="n"/>
      <c r="L279" s="343" t="n"/>
      <c r="M279" s="343" t="n"/>
      <c r="N279" s="344">
        <f>SUM(J279:M279)</f>
        <v/>
      </c>
      <c r="O279" s="343" t="n"/>
      <c r="P279" s="343" t="n"/>
      <c r="Q279" s="343" t="n"/>
      <c r="R279" s="343" t="n"/>
      <c r="S279" s="344">
        <f>SUM(O279:R279)</f>
        <v/>
      </c>
      <c r="T279" s="343" t="n"/>
      <c r="U279" s="343" t="n"/>
      <c r="V279" s="343" t="n"/>
      <c r="W279" s="343" t="n"/>
      <c r="X279" s="344">
        <f>SUM(T279:W279)</f>
        <v/>
      </c>
      <c r="Y279" s="343" t="n"/>
      <c r="Z279" s="343" t="n"/>
      <c r="AA279" s="343" t="n"/>
      <c r="AB279" s="343" t="n"/>
      <c r="AC279" s="344">
        <f>SUM(Y279:AB279)</f>
        <v/>
      </c>
      <c r="AD279" s="343" t="n"/>
      <c r="AE279" s="343" t="n"/>
      <c r="AF279" s="343" t="n"/>
      <c r="AG279" s="343" t="n"/>
      <c r="AH279" s="344">
        <f>SUM(AD279:AG279)</f>
        <v/>
      </c>
      <c r="AI279" s="343" t="n"/>
      <c r="AJ279" s="343" t="n"/>
      <c r="AK279" s="343" t="n"/>
      <c r="AL279" s="343" t="n"/>
      <c r="AM279" s="344">
        <f>SUM(AI279:AL279)</f>
        <v/>
      </c>
      <c r="AN279" s="343" t="n"/>
      <c r="AO279" s="343" t="n"/>
      <c r="AP279" s="343" t="n"/>
      <c r="AQ279" s="343" t="n"/>
      <c r="AR279" s="344">
        <f>SUM(AN279:AQ279)</f>
        <v/>
      </c>
    </row>
    <row r="280" ht="13.5" customHeight="1" s="290">
      <c r="A280" s="339" t="n"/>
      <c r="B280" s="357" t="inlineStr">
        <is>
          <t xml:space="preserve">  Support Staff Headcount — Total</t>
        </is>
      </c>
      <c r="C280" s="341" t="inlineStr">
        <is>
          <t>#</t>
        </is>
      </c>
      <c r="D280" s="342" t="inlineStr">
        <is>
          <t>Transaction coordinators, research, marketing support.</t>
        </is>
      </c>
      <c r="E280" s="343" t="n">
        <v>35</v>
      </c>
      <c r="F280" s="343" t="n"/>
      <c r="G280" s="343" t="n"/>
      <c r="H280" s="343" t="n"/>
      <c r="I280" s="344">
        <f>SUM(E280:H280)</f>
        <v/>
      </c>
      <c r="J280" s="343" t="n"/>
      <c r="K280" s="343" t="n"/>
      <c r="L280" s="343" t="n"/>
      <c r="M280" s="343" t="n"/>
      <c r="N280" s="344">
        <f>SUM(J280:M280)</f>
        <v/>
      </c>
      <c r="O280" s="343" t="n"/>
      <c r="P280" s="343" t="n"/>
      <c r="Q280" s="343" t="n"/>
      <c r="R280" s="343" t="n"/>
      <c r="S280" s="344">
        <f>SUM(O280:R280)</f>
        <v/>
      </c>
      <c r="T280" s="343" t="n"/>
      <c r="U280" s="343" t="n"/>
      <c r="V280" s="343" t="n"/>
      <c r="W280" s="343" t="n"/>
      <c r="X280" s="344">
        <f>SUM(T280:W280)</f>
        <v/>
      </c>
      <c r="Y280" s="343" t="n"/>
      <c r="Z280" s="343" t="n"/>
      <c r="AA280" s="343" t="n"/>
      <c r="AB280" s="343" t="n"/>
      <c r="AC280" s="344">
        <f>SUM(Y280:AB280)</f>
        <v/>
      </c>
      <c r="AD280" s="343" t="n"/>
      <c r="AE280" s="343" t="n"/>
      <c r="AF280" s="343" t="n"/>
      <c r="AG280" s="343" t="n"/>
      <c r="AH280" s="344">
        <f>SUM(AD280:AG280)</f>
        <v/>
      </c>
      <c r="AI280" s="343" t="n"/>
      <c r="AJ280" s="343" t="n"/>
      <c r="AK280" s="343" t="n"/>
      <c r="AL280" s="343" t="n"/>
      <c r="AM280" s="344">
        <f>SUM(AI280:AL280)</f>
        <v/>
      </c>
      <c r="AN280" s="343" t="n"/>
      <c r="AO280" s="343" t="n"/>
      <c r="AP280" s="343" t="n"/>
      <c r="AQ280" s="343" t="n"/>
      <c r="AR280" s="344">
        <f>SUM(AN280:AQ280)</f>
        <v/>
      </c>
    </row>
    <row r="281" ht="13.5" customHeight="1" s="290">
      <c r="A281" s="339" t="n"/>
      <c r="B281" s="357" t="inlineStr">
        <is>
          <t xml:space="preserve">  Support Staff — Blended Annual Salary</t>
        </is>
      </c>
      <c r="C281" s="341" t="inlineStr">
        <is>
          <t>$K/head</t>
        </is>
      </c>
      <c r="D281" s="342" t="inlineStr">
        <is>
          <t>Blended average across all support roles.</t>
        </is>
      </c>
      <c r="E281" s="343" t="n">
        <v>85</v>
      </c>
      <c r="F281" s="343" t="n"/>
      <c r="G281" s="343" t="n"/>
      <c r="H281" s="343" t="n"/>
      <c r="I281" s="344">
        <f>SUM(E281:H281)</f>
        <v/>
      </c>
      <c r="J281" s="343" t="n"/>
      <c r="K281" s="343" t="n"/>
      <c r="L281" s="343" t="n"/>
      <c r="M281" s="343" t="n"/>
      <c r="N281" s="344">
        <f>SUM(J281:M281)</f>
        <v/>
      </c>
      <c r="O281" s="343" t="n"/>
      <c r="P281" s="343" t="n"/>
      <c r="Q281" s="343" t="n"/>
      <c r="R281" s="343" t="n"/>
      <c r="S281" s="344">
        <f>SUM(O281:R281)</f>
        <v/>
      </c>
      <c r="T281" s="343" t="n"/>
      <c r="U281" s="343" t="n"/>
      <c r="V281" s="343" t="n"/>
      <c r="W281" s="343" t="n"/>
      <c r="X281" s="344">
        <f>SUM(T281:W281)</f>
        <v/>
      </c>
      <c r="Y281" s="343" t="n"/>
      <c r="Z281" s="343" t="n"/>
      <c r="AA281" s="343" t="n"/>
      <c r="AB281" s="343" t="n"/>
      <c r="AC281" s="344">
        <f>SUM(Y281:AB281)</f>
        <v/>
      </c>
      <c r="AD281" s="343" t="n"/>
      <c r="AE281" s="343" t="n"/>
      <c r="AF281" s="343" t="n"/>
      <c r="AG281" s="343" t="n"/>
      <c r="AH281" s="344">
        <f>SUM(AD281:AG281)</f>
        <v/>
      </c>
      <c r="AI281" s="343" t="n"/>
      <c r="AJ281" s="343" t="n"/>
      <c r="AK281" s="343" t="n"/>
      <c r="AL281" s="343" t="n"/>
      <c r="AM281" s="344">
        <f>SUM(AI281:AL281)</f>
        <v/>
      </c>
      <c r="AN281" s="343" t="n"/>
      <c r="AO281" s="343" t="n"/>
      <c r="AP281" s="343" t="n"/>
      <c r="AQ281" s="343" t="n"/>
      <c r="AR281" s="344">
        <f>SUM(AN281:AQ281)</f>
        <v/>
      </c>
    </row>
    <row r="282" ht="4.5" customHeight="1" s="290"/>
    <row r="283" ht="15" customHeight="1" s="290">
      <c r="A283" s="307" t="inlineStr">
        <is>
          <t xml:space="preserve">    Discretionary Bonus Pool</t>
        </is>
      </c>
    </row>
    <row r="284" ht="3" customHeight="1" s="290"/>
    <row r="285" ht="13.5" customHeight="1" s="290">
      <c r="A285" s="339" t="n"/>
      <c r="B285" s="340" t="inlineStr">
        <is>
          <t xml:space="preserve">  Discretionary Bonus Pool — % of Company Dollar  — Base</t>
        </is>
      </c>
      <c r="C285" s="341" t="inlineStr">
        <is>
          <t>%</t>
        </is>
      </c>
      <c r="D285" s="342" t="inlineStr">
        <is>
          <t>% of Company Dollar allocated to discretionary bonus. Upside = higher pool (strong performance). Downside = lower. Accrued quarterly; treated as opex below Company Dollar in P&amp;L.</t>
        </is>
      </c>
      <c r="E285" s="343" t="n">
        <v>0.08</v>
      </c>
      <c r="F285" s="343" t="n">
        <v>0.08</v>
      </c>
      <c r="G285" s="343" t="n">
        <v>0.08</v>
      </c>
      <c r="H285" s="343" t="n">
        <v>0.08</v>
      </c>
      <c r="I285" s="344">
        <f>SUM(E285:H285)</f>
        <v/>
      </c>
      <c r="J285" s="343" t="n">
        <v>0.08</v>
      </c>
      <c r="K285" s="343" t="n">
        <v>0.08</v>
      </c>
      <c r="L285" s="343" t="n">
        <v>0.08</v>
      </c>
      <c r="M285" s="343" t="n">
        <v>0.08</v>
      </c>
      <c r="N285" s="344">
        <f>SUM(J285:M285)</f>
        <v/>
      </c>
      <c r="O285" s="343" t="n">
        <v>0.08</v>
      </c>
      <c r="P285" s="343" t="n">
        <v>0.08</v>
      </c>
      <c r="Q285" s="343" t="n">
        <v>0.08</v>
      </c>
      <c r="R285" s="343" t="n">
        <v>0.08</v>
      </c>
      <c r="S285" s="344">
        <f>SUM(O285:R285)</f>
        <v/>
      </c>
      <c r="T285" s="343" t="n">
        <v>0.08</v>
      </c>
      <c r="U285" s="343" t="n">
        <v>0.08</v>
      </c>
      <c r="V285" s="343" t="n">
        <v>0.08</v>
      </c>
      <c r="W285" s="343" t="n">
        <v>0.08</v>
      </c>
      <c r="X285" s="344">
        <f>SUM(T285:W285)</f>
        <v/>
      </c>
      <c r="Y285" s="343" t="n">
        <v>0.08</v>
      </c>
      <c r="Z285" s="343" t="n">
        <v>0.08</v>
      </c>
      <c r="AA285" s="343" t="n">
        <v>0.08</v>
      </c>
      <c r="AB285" s="343" t="n">
        <v>0.08</v>
      </c>
      <c r="AC285" s="344">
        <f>SUM(Y285:AB285)</f>
        <v/>
      </c>
      <c r="AD285" s="343" t="n">
        <v>0.08</v>
      </c>
      <c r="AE285" s="343" t="n">
        <v>0.08</v>
      </c>
      <c r="AF285" s="343" t="n">
        <v>0.08</v>
      </c>
      <c r="AG285" s="343" t="n">
        <v>0.08</v>
      </c>
      <c r="AH285" s="344">
        <f>SUM(AD285:AG285)</f>
        <v/>
      </c>
      <c r="AI285" s="343" t="n">
        <v>0.08</v>
      </c>
      <c r="AJ285" s="343" t="n">
        <v>0.08</v>
      </c>
      <c r="AK285" s="343" t="n">
        <v>0.08</v>
      </c>
      <c r="AL285" s="343" t="n">
        <v>0.08</v>
      </c>
      <c r="AM285" s="344">
        <f>SUM(AI285:AL285)</f>
        <v/>
      </c>
      <c r="AN285" s="343" t="n">
        <v>0.08</v>
      </c>
      <c r="AO285" s="343" t="n">
        <v>0.08</v>
      </c>
      <c r="AP285" s="343" t="n">
        <v>0.08</v>
      </c>
      <c r="AQ285" s="343" t="n">
        <v>0.08</v>
      </c>
      <c r="AR285" s="344">
        <f>SUM(AN285:AQ285)</f>
        <v/>
      </c>
    </row>
    <row r="286" ht="13.5" customHeight="1" s="290">
      <c r="A286" s="339" t="n"/>
      <c r="B286" s="340" t="inlineStr">
        <is>
          <t xml:space="preserve">  Discretionary Bonus Pool — % of Company Dollar  — Upside</t>
        </is>
      </c>
      <c r="E286" s="343" t="n">
        <v>0.1</v>
      </c>
      <c r="F286" s="343" t="n">
        <v>0.1</v>
      </c>
      <c r="G286" s="343" t="n">
        <v>0.1</v>
      </c>
      <c r="H286" s="343" t="n">
        <v>0.1</v>
      </c>
      <c r="I286" s="344">
        <f>SUM(E286:H286)</f>
        <v/>
      </c>
      <c r="J286" s="343" t="n">
        <v>0.1</v>
      </c>
      <c r="K286" s="343" t="n">
        <v>0.1</v>
      </c>
      <c r="L286" s="343" t="n">
        <v>0.1</v>
      </c>
      <c r="M286" s="343" t="n">
        <v>0.1</v>
      </c>
      <c r="N286" s="344">
        <f>SUM(J286:M286)</f>
        <v/>
      </c>
      <c r="O286" s="343" t="n">
        <v>0.1</v>
      </c>
      <c r="P286" s="343" t="n">
        <v>0.1</v>
      </c>
      <c r="Q286" s="343" t="n">
        <v>0.1</v>
      </c>
      <c r="R286" s="343" t="n">
        <v>0.1</v>
      </c>
      <c r="S286" s="344">
        <f>SUM(O286:R286)</f>
        <v/>
      </c>
      <c r="T286" s="343" t="n">
        <v>0.1</v>
      </c>
      <c r="U286" s="343" t="n">
        <v>0.1</v>
      </c>
      <c r="V286" s="343" t="n">
        <v>0.1</v>
      </c>
      <c r="W286" s="343" t="n">
        <v>0.1</v>
      </c>
      <c r="X286" s="344">
        <f>SUM(T286:W286)</f>
        <v/>
      </c>
      <c r="Y286" s="343" t="n">
        <v>0.1</v>
      </c>
      <c r="Z286" s="343" t="n">
        <v>0.1</v>
      </c>
      <c r="AA286" s="343" t="n">
        <v>0.1</v>
      </c>
      <c r="AB286" s="343" t="n">
        <v>0.1</v>
      </c>
      <c r="AC286" s="344">
        <f>SUM(Y286:AB286)</f>
        <v/>
      </c>
      <c r="AD286" s="343" t="n">
        <v>0.1</v>
      </c>
      <c r="AE286" s="343" t="n">
        <v>0.1</v>
      </c>
      <c r="AF286" s="343" t="n">
        <v>0.1</v>
      </c>
      <c r="AG286" s="343" t="n">
        <v>0.1</v>
      </c>
      <c r="AH286" s="344">
        <f>SUM(AD286:AG286)</f>
        <v/>
      </c>
      <c r="AI286" s="343" t="n">
        <v>0.1</v>
      </c>
      <c r="AJ286" s="343" t="n">
        <v>0.1</v>
      </c>
      <c r="AK286" s="343" t="n">
        <v>0.1</v>
      </c>
      <c r="AL286" s="343" t="n">
        <v>0.1</v>
      </c>
      <c r="AM286" s="344">
        <f>SUM(AI286:AL286)</f>
        <v/>
      </c>
      <c r="AN286" s="343" t="n">
        <v>0.1</v>
      </c>
      <c r="AO286" s="343" t="n">
        <v>0.1</v>
      </c>
      <c r="AP286" s="343" t="n">
        <v>0.1</v>
      </c>
      <c r="AQ286" s="343" t="n">
        <v>0.1</v>
      </c>
      <c r="AR286" s="344">
        <f>SUM(AN286:AQ286)</f>
        <v/>
      </c>
    </row>
    <row r="287" ht="13.5" customHeight="1" s="290">
      <c r="A287" s="339" t="n"/>
      <c r="B287" s="340" t="inlineStr">
        <is>
          <t xml:space="preserve">  Discretionary Bonus Pool — % of Company Dollar  — Downside</t>
        </is>
      </c>
      <c r="E287" s="343" t="n">
        <v>0.05</v>
      </c>
      <c r="F287" s="343" t="n">
        <v>0.05</v>
      </c>
      <c r="G287" s="343" t="n">
        <v>0.05</v>
      </c>
      <c r="H287" s="343" t="n">
        <v>0.05</v>
      </c>
      <c r="I287" s="344">
        <f>SUM(E287:H287)</f>
        <v/>
      </c>
      <c r="J287" s="343" t="n">
        <v>0.05</v>
      </c>
      <c r="K287" s="343" t="n">
        <v>0.05</v>
      </c>
      <c r="L287" s="343" t="n">
        <v>0.05</v>
      </c>
      <c r="M287" s="343" t="n">
        <v>0.05</v>
      </c>
      <c r="N287" s="344">
        <f>SUM(J287:M287)</f>
        <v/>
      </c>
      <c r="O287" s="343" t="n">
        <v>0.05</v>
      </c>
      <c r="P287" s="343" t="n">
        <v>0.05</v>
      </c>
      <c r="Q287" s="343" t="n">
        <v>0.05</v>
      </c>
      <c r="R287" s="343" t="n">
        <v>0.05</v>
      </c>
      <c r="S287" s="344">
        <f>SUM(O287:R287)</f>
        <v/>
      </c>
      <c r="T287" s="343" t="n">
        <v>0.05</v>
      </c>
      <c r="U287" s="343" t="n">
        <v>0.05</v>
      </c>
      <c r="V287" s="343" t="n">
        <v>0.05</v>
      </c>
      <c r="W287" s="343" t="n">
        <v>0.05</v>
      </c>
      <c r="X287" s="344">
        <f>SUM(T287:W287)</f>
        <v/>
      </c>
      <c r="Y287" s="343" t="n">
        <v>0.05</v>
      </c>
      <c r="Z287" s="343" t="n">
        <v>0.05</v>
      </c>
      <c r="AA287" s="343" t="n">
        <v>0.05</v>
      </c>
      <c r="AB287" s="343" t="n">
        <v>0.05</v>
      </c>
      <c r="AC287" s="344">
        <f>SUM(Y287:AB287)</f>
        <v/>
      </c>
      <c r="AD287" s="343" t="n">
        <v>0.05</v>
      </c>
      <c r="AE287" s="343" t="n">
        <v>0.05</v>
      </c>
      <c r="AF287" s="343" t="n">
        <v>0.05</v>
      </c>
      <c r="AG287" s="343" t="n">
        <v>0.05</v>
      </c>
      <c r="AH287" s="344">
        <f>SUM(AD287:AG287)</f>
        <v/>
      </c>
      <c r="AI287" s="343" t="n">
        <v>0.05</v>
      </c>
      <c r="AJ287" s="343" t="n">
        <v>0.05</v>
      </c>
      <c r="AK287" s="343" t="n">
        <v>0.05</v>
      </c>
      <c r="AL287" s="343" t="n">
        <v>0.05</v>
      </c>
      <c r="AM287" s="344">
        <f>SUM(AI287:AL287)</f>
        <v/>
      </c>
      <c r="AN287" s="343" t="n">
        <v>0.05</v>
      </c>
      <c r="AO287" s="343" t="n">
        <v>0.05</v>
      </c>
      <c r="AP287" s="343" t="n">
        <v>0.05</v>
      </c>
      <c r="AQ287" s="343" t="n">
        <v>0.05</v>
      </c>
      <c r="AR287" s="344">
        <f>SUM(AN287:AQ287)</f>
        <v/>
      </c>
    </row>
    <row r="288" ht="13.5" customHeight="1" s="290">
      <c r="A288" s="345" t="n"/>
      <c r="B288" s="346" t="inlineStr">
        <is>
          <t xml:space="preserve">  Discretionary Bonus Pool — % of Company Dollar  — ★ ACTIVE</t>
        </is>
      </c>
      <c r="E288" s="361">
        <f>IF('01 Cover &amp; Control'!$C$19="Base",E285,IF('01 Cover &amp; Control'!$C$19="Upside",E286,E287))</f>
        <v/>
      </c>
      <c r="F288" s="361">
        <f>IF('01 Cover &amp; Control'!$C$19="Base",F285,IF('01 Cover &amp; Control'!$C$19="Upside",F286,F287))</f>
        <v/>
      </c>
      <c r="G288" s="361">
        <f>IF('01 Cover &amp; Control'!$C$19="Base",G285,IF('01 Cover &amp; Control'!$C$19="Upside",G286,G287))</f>
        <v/>
      </c>
      <c r="H288" s="361">
        <f>IF('01 Cover &amp; Control'!$C$19="Base",H285,IF('01 Cover &amp; Control'!$C$19="Upside",H286,H287))</f>
        <v/>
      </c>
      <c r="I288" s="347">
        <f>AVERAGE(E288:H288)</f>
        <v/>
      </c>
      <c r="J288" s="361">
        <f>IF('01 Cover &amp; Control'!$C$19="Base",J285,IF('01 Cover &amp; Control'!$C$19="Upside",J286,J287))</f>
        <v/>
      </c>
      <c r="K288" s="361">
        <f>IF('01 Cover &amp; Control'!$C$19="Base",K285,IF('01 Cover &amp; Control'!$C$19="Upside",K286,K287))</f>
        <v/>
      </c>
      <c r="L288" s="361">
        <f>IF('01 Cover &amp; Control'!$C$19="Base",L285,IF('01 Cover &amp; Control'!$C$19="Upside",L286,L287))</f>
        <v/>
      </c>
      <c r="M288" s="361">
        <f>IF('01 Cover &amp; Control'!$C$19="Base",M285,IF('01 Cover &amp; Control'!$C$19="Upside",M286,M287))</f>
        <v/>
      </c>
      <c r="N288" s="347">
        <f>AVERAGE(J288:M288)</f>
        <v/>
      </c>
      <c r="O288" s="361">
        <f>IF('01 Cover &amp; Control'!$C$19="Base",O285,IF('01 Cover &amp; Control'!$C$19="Upside",O286,O287))</f>
        <v/>
      </c>
      <c r="P288" s="361">
        <f>IF('01 Cover &amp; Control'!$C$19="Base",P285,IF('01 Cover &amp; Control'!$C$19="Upside",P286,P287))</f>
        <v/>
      </c>
      <c r="Q288" s="361">
        <f>IF('01 Cover &amp; Control'!$C$19="Base",Q285,IF('01 Cover &amp; Control'!$C$19="Upside",Q286,Q287))</f>
        <v/>
      </c>
      <c r="R288" s="361">
        <f>IF('01 Cover &amp; Control'!$C$19="Base",R285,IF('01 Cover &amp; Control'!$C$19="Upside",R286,R287))</f>
        <v/>
      </c>
      <c r="S288" s="347">
        <f>AVERAGE(O288:R288)</f>
        <v/>
      </c>
      <c r="T288" s="361">
        <f>IF('01 Cover &amp; Control'!$C$19="Base",T285,IF('01 Cover &amp; Control'!$C$19="Upside",T286,T287))</f>
        <v/>
      </c>
      <c r="U288" s="361">
        <f>IF('01 Cover &amp; Control'!$C$19="Base",U285,IF('01 Cover &amp; Control'!$C$19="Upside",U286,U287))</f>
        <v/>
      </c>
      <c r="V288" s="361">
        <f>IF('01 Cover &amp; Control'!$C$19="Base",V285,IF('01 Cover &amp; Control'!$C$19="Upside",V286,V287))</f>
        <v/>
      </c>
      <c r="W288" s="361">
        <f>IF('01 Cover &amp; Control'!$C$19="Base",W285,IF('01 Cover &amp; Control'!$C$19="Upside",W286,W287))</f>
        <v/>
      </c>
      <c r="X288" s="347">
        <f>AVERAGE(T288:W288)</f>
        <v/>
      </c>
      <c r="Y288" s="361">
        <f>IF('01 Cover &amp; Control'!$C$19="Base",Y285,IF('01 Cover &amp; Control'!$C$19="Upside",Y286,Y287))</f>
        <v/>
      </c>
      <c r="Z288" s="361">
        <f>IF('01 Cover &amp; Control'!$C$19="Base",Z285,IF('01 Cover &amp; Control'!$C$19="Upside",Z286,Z287))</f>
        <v/>
      </c>
      <c r="AA288" s="361">
        <f>IF('01 Cover &amp; Control'!$C$19="Base",AA285,IF('01 Cover &amp; Control'!$C$19="Upside",AA286,AA287))</f>
        <v/>
      </c>
      <c r="AB288" s="361">
        <f>IF('01 Cover &amp; Control'!$C$19="Base",AB285,IF('01 Cover &amp; Control'!$C$19="Upside",AB286,AB287))</f>
        <v/>
      </c>
      <c r="AC288" s="347">
        <f>AVERAGE(Y288:AB288)</f>
        <v/>
      </c>
      <c r="AD288" s="361">
        <f>IF('01 Cover &amp; Control'!$C$19="Base",AD285,IF('01 Cover &amp; Control'!$C$19="Upside",AD286,AD287))</f>
        <v/>
      </c>
      <c r="AE288" s="361">
        <f>IF('01 Cover &amp; Control'!$C$19="Base",AE285,IF('01 Cover &amp; Control'!$C$19="Upside",AE286,AE287))</f>
        <v/>
      </c>
      <c r="AF288" s="361">
        <f>IF('01 Cover &amp; Control'!$C$19="Base",AF285,IF('01 Cover &amp; Control'!$C$19="Upside",AF286,AF287))</f>
        <v/>
      </c>
      <c r="AG288" s="361">
        <f>IF('01 Cover &amp; Control'!$C$19="Base",AG285,IF('01 Cover &amp; Control'!$C$19="Upside",AG286,AG287))</f>
        <v/>
      </c>
      <c r="AH288" s="347">
        <f>AVERAGE(AD288:AG288)</f>
        <v/>
      </c>
      <c r="AI288" s="361">
        <f>IF('01 Cover &amp; Control'!$C$19="Base",AI285,IF('01 Cover &amp; Control'!$C$19="Upside",AI286,AI287))</f>
        <v/>
      </c>
      <c r="AJ288" s="361">
        <f>IF('01 Cover &amp; Control'!$C$19="Base",AJ285,IF('01 Cover &amp; Control'!$C$19="Upside",AJ286,AJ287))</f>
        <v/>
      </c>
      <c r="AK288" s="361">
        <f>IF('01 Cover &amp; Control'!$C$19="Base",AK285,IF('01 Cover &amp; Control'!$C$19="Upside",AK286,AK287))</f>
        <v/>
      </c>
      <c r="AL288" s="361">
        <f>IF('01 Cover &amp; Control'!$C$19="Base",AL285,IF('01 Cover &amp; Control'!$C$19="Upside",AL286,AL287))</f>
        <v/>
      </c>
      <c r="AM288" s="347">
        <f>AVERAGE(AI288:AL288)</f>
        <v/>
      </c>
      <c r="AN288" s="361">
        <f>IF('01 Cover &amp; Control'!$C$19="Base",AN285,IF('01 Cover &amp; Control'!$C$19="Upside",AN286,AN287))</f>
        <v/>
      </c>
      <c r="AO288" s="361">
        <f>IF('01 Cover &amp; Control'!$C$19="Base",AO285,IF('01 Cover &amp; Control'!$C$19="Upside",AO286,AO287))</f>
        <v/>
      </c>
      <c r="AP288" s="361">
        <f>IF('01 Cover &amp; Control'!$C$19="Base",AP285,IF('01 Cover &amp; Control'!$C$19="Upside",AP286,AP287))</f>
        <v/>
      </c>
      <c r="AQ288" s="361">
        <f>IF('01 Cover &amp; Control'!$C$19="Base",AQ285,IF('01 Cover &amp; Control'!$C$19="Upside",AQ286,AQ287))</f>
        <v/>
      </c>
      <c r="AR288" s="347">
        <f>AVERAGE(AN288:AQ288)</f>
        <v/>
      </c>
    </row>
    <row r="289" ht="4.5" customHeight="1" s="290"/>
    <row r="290" ht="3" customHeight="1" s="290">
      <c r="A290" s="293" t="n"/>
    </row>
    <row r="291" ht="4.5" customHeight="1" s="290"/>
    <row r="292" ht="15.75" customHeight="1" s="290">
      <c r="A292" s="338" t="inlineStr">
        <is>
          <t xml:space="preserve">  SECTION E — OPERATING EXPENSE DRIVERS  (Input annually; divided by 4 in Opex Engine for quarterly allocation)</t>
        </is>
      </c>
    </row>
    <row r="293" ht="3.75" customHeight="1" s="290"/>
    <row r="294" ht="13.5" customHeight="1" s="290">
      <c r="A294" s="348" t="inlineStr">
        <is>
          <t xml:space="preserve">  Fixed costs: entered as annual totals ($K/yr). Opex Engine (Tab 07) divides by 4 for quarterly allocation. Variable costs: per-unit driver rates (cost per deal, per EPE, % of GCI). Applied in Opex Engine against deal counts and EPE counts from Tab 04 and Tab 05.</t>
        </is>
      </c>
    </row>
    <row r="295" ht="3.75" customHeight="1" s="290"/>
    <row r="296" ht="15" customHeight="1" s="290">
      <c r="A296" s="307" t="inlineStr">
        <is>
          <t xml:space="preserve">    E1 — FIXED OPERATING EXPENSES  (Annual inputs — $K/yr)</t>
        </is>
      </c>
    </row>
    <row r="297" ht="3" customHeight="1" s="290"/>
    <row r="298" ht="13.5" customHeight="1" s="290">
      <c r="A298" s="339" t="n"/>
      <c r="B298" s="357" t="inlineStr">
        <is>
          <t xml:space="preserve">  Office Rent / Occupancy — Annual</t>
        </is>
      </c>
      <c r="C298" s="341" t="inlineStr">
        <is>
          <t>$K/yr</t>
        </is>
      </c>
      <c r="D298" s="342" t="inlineStr">
        <is>
          <t>Total annual occupancy cost across all offices. Adjust upward for new market entries in forecast years.</t>
        </is>
      </c>
      <c r="E298" s="343" t="n">
        <v>1000</v>
      </c>
      <c r="F298" s="343" t="n">
        <v>1000</v>
      </c>
      <c r="G298" s="343" t="n">
        <v>1000</v>
      </c>
      <c r="H298" s="343" t="n">
        <v>1000</v>
      </c>
      <c r="I298" s="344">
        <f>SUM(E298:H298)</f>
        <v/>
      </c>
      <c r="J298" s="343" t="n">
        <v>1000</v>
      </c>
      <c r="K298" s="343" t="n">
        <v>1000</v>
      </c>
      <c r="L298" s="343" t="n">
        <v>1000</v>
      </c>
      <c r="M298" s="343" t="n">
        <v>1000</v>
      </c>
      <c r="N298" s="344">
        <f>SUM(J298:M298)</f>
        <v/>
      </c>
      <c r="O298" s="343" t="n">
        <v>1000</v>
      </c>
      <c r="P298" s="343" t="n">
        <v>1000</v>
      </c>
      <c r="Q298" s="343" t="n">
        <v>1000</v>
      </c>
      <c r="R298" s="343" t="n">
        <v>1000</v>
      </c>
      <c r="S298" s="344">
        <f>SUM(O298:R298)</f>
        <v/>
      </c>
      <c r="T298" s="343" t="n">
        <v>1000</v>
      </c>
      <c r="U298" s="343" t="n">
        <v>1000</v>
      </c>
      <c r="V298" s="343" t="n">
        <v>1000</v>
      </c>
      <c r="W298" s="343" t="n">
        <v>1000</v>
      </c>
      <c r="X298" s="344">
        <f>SUM(T298:W298)</f>
        <v/>
      </c>
      <c r="Y298" s="343" t="n">
        <v>1000</v>
      </c>
      <c r="Z298" s="343" t="n">
        <v>1000</v>
      </c>
      <c r="AA298" s="343" t="n">
        <v>1000</v>
      </c>
      <c r="AB298" s="343" t="n">
        <v>1000</v>
      </c>
      <c r="AC298" s="344">
        <f>SUM(Y298:AB298)</f>
        <v/>
      </c>
      <c r="AD298" s="343" t="n">
        <v>1000</v>
      </c>
      <c r="AE298" s="343" t="n">
        <v>1000</v>
      </c>
      <c r="AF298" s="343" t="n">
        <v>1000</v>
      </c>
      <c r="AG298" s="343" t="n">
        <v>1000</v>
      </c>
      <c r="AH298" s="344">
        <f>SUM(AD298:AG298)</f>
        <v/>
      </c>
      <c r="AI298" s="343" t="n">
        <v>1000</v>
      </c>
      <c r="AJ298" s="343" t="n">
        <v>1000</v>
      </c>
      <c r="AK298" s="343" t="n">
        <v>1000</v>
      </c>
      <c r="AL298" s="343" t="n">
        <v>1000</v>
      </c>
      <c r="AM298" s="344">
        <f>SUM(AI298:AL298)</f>
        <v/>
      </c>
      <c r="AN298" s="343" t="n">
        <v>1000</v>
      </c>
      <c r="AO298" s="343" t="n">
        <v>1000</v>
      </c>
      <c r="AP298" s="343" t="n">
        <v>1000</v>
      </c>
      <c r="AQ298" s="343" t="n">
        <v>1000</v>
      </c>
      <c r="AR298" s="344">
        <f>SUM(AN298:AQ298)</f>
        <v/>
      </c>
    </row>
    <row r="299" ht="13.5" customHeight="1" s="290">
      <c r="A299" s="339" t="n"/>
      <c r="B299" s="357" t="inlineStr">
        <is>
          <t xml:space="preserve">  E&amp;O Insurance Rate</t>
        </is>
      </c>
      <c r="C299" s="341" t="inlineStr">
        <is>
          <t>bps of GCI</t>
        </is>
      </c>
      <c r="D299" s="342" t="inlineStr">
        <is>
          <t>Errors &amp; Omissions insurance as basis points of total GCI. Computed in Opex Engine: rate × GCI. Industry norm: 10–30 bps.</t>
        </is>
      </c>
      <c r="E299" s="343" t="n">
        <v>35</v>
      </c>
      <c r="F299" s="343" t="n">
        <v>35</v>
      </c>
      <c r="G299" s="343" t="n">
        <v>35</v>
      </c>
      <c r="H299" s="343" t="n">
        <v>35</v>
      </c>
      <c r="I299" s="344">
        <f>SUM(E299:H299)</f>
        <v/>
      </c>
      <c r="J299" s="343" t="n">
        <v>35</v>
      </c>
      <c r="K299" s="343" t="n">
        <v>35</v>
      </c>
      <c r="L299" s="343" t="n">
        <v>35</v>
      </c>
      <c r="M299" s="343" t="n">
        <v>35</v>
      </c>
      <c r="N299" s="344">
        <f>SUM(J299:M299)</f>
        <v/>
      </c>
      <c r="O299" s="343" t="n">
        <v>35</v>
      </c>
      <c r="P299" s="343" t="n">
        <v>35</v>
      </c>
      <c r="Q299" s="343" t="n">
        <v>35</v>
      </c>
      <c r="R299" s="343" t="n">
        <v>35</v>
      </c>
      <c r="S299" s="344">
        <f>SUM(O299:R299)</f>
        <v/>
      </c>
      <c r="T299" s="343" t="n">
        <v>35</v>
      </c>
      <c r="U299" s="343" t="n">
        <v>35</v>
      </c>
      <c r="V299" s="343" t="n">
        <v>35</v>
      </c>
      <c r="W299" s="343" t="n">
        <v>35</v>
      </c>
      <c r="X299" s="344">
        <f>SUM(T299:W299)</f>
        <v/>
      </c>
      <c r="Y299" s="343" t="n">
        <v>35</v>
      </c>
      <c r="Z299" s="343" t="n">
        <v>35</v>
      </c>
      <c r="AA299" s="343" t="n">
        <v>35</v>
      </c>
      <c r="AB299" s="343" t="n">
        <v>35</v>
      </c>
      <c r="AC299" s="344">
        <f>SUM(Y299:AB299)</f>
        <v/>
      </c>
      <c r="AD299" s="343" t="n">
        <v>35</v>
      </c>
      <c r="AE299" s="343" t="n">
        <v>35</v>
      </c>
      <c r="AF299" s="343" t="n">
        <v>35</v>
      </c>
      <c r="AG299" s="343" t="n">
        <v>35</v>
      </c>
      <c r="AH299" s="344">
        <f>SUM(AD299:AG299)</f>
        <v/>
      </c>
      <c r="AI299" s="343" t="n">
        <v>35</v>
      </c>
      <c r="AJ299" s="343" t="n">
        <v>35</v>
      </c>
      <c r="AK299" s="343" t="n">
        <v>35</v>
      </c>
      <c r="AL299" s="343" t="n">
        <v>35</v>
      </c>
      <c r="AM299" s="344">
        <f>SUM(AI299:AL299)</f>
        <v/>
      </c>
      <c r="AN299" s="343" t="n">
        <v>35</v>
      </c>
      <c r="AO299" s="343" t="n">
        <v>35</v>
      </c>
      <c r="AP299" s="343" t="n">
        <v>35</v>
      </c>
      <c r="AQ299" s="343" t="n">
        <v>35</v>
      </c>
      <c r="AR299" s="344">
        <f>SUM(AN299:AQ299)</f>
        <v/>
      </c>
    </row>
    <row r="300" ht="13.5" customHeight="1" s="290">
      <c r="A300" s="339" t="n"/>
      <c r="B300" s="357" t="inlineStr">
        <is>
          <t xml:space="preserve">  D&amp;O Insurance — Annual</t>
        </is>
      </c>
      <c r="C300" s="341" t="inlineStr">
        <is>
          <t>$K/yr</t>
        </is>
      </c>
      <c r="D300" s="342" t="inlineStr">
        <is>
          <t>Directors &amp; Officers insurance. Flat annual input.</t>
        </is>
      </c>
      <c r="E300" s="343" t="n">
        <v>150</v>
      </c>
      <c r="F300" s="343" t="n">
        <v>150</v>
      </c>
      <c r="G300" s="343" t="n">
        <v>150</v>
      </c>
      <c r="H300" s="343" t="n">
        <v>150</v>
      </c>
      <c r="I300" s="344">
        <f>SUM(E300:H300)</f>
        <v/>
      </c>
      <c r="J300" s="343" t="n">
        <v>150</v>
      </c>
      <c r="K300" s="343" t="n">
        <v>150</v>
      </c>
      <c r="L300" s="343" t="n">
        <v>150</v>
      </c>
      <c r="M300" s="343" t="n">
        <v>150</v>
      </c>
      <c r="N300" s="344">
        <f>SUM(J300:M300)</f>
        <v/>
      </c>
      <c r="O300" s="343" t="n">
        <v>150</v>
      </c>
      <c r="P300" s="343" t="n">
        <v>150</v>
      </c>
      <c r="Q300" s="343" t="n">
        <v>150</v>
      </c>
      <c r="R300" s="343" t="n">
        <v>150</v>
      </c>
      <c r="S300" s="344">
        <f>SUM(O300:R300)</f>
        <v/>
      </c>
      <c r="T300" s="343" t="n">
        <v>150</v>
      </c>
      <c r="U300" s="343" t="n">
        <v>150</v>
      </c>
      <c r="V300" s="343" t="n">
        <v>150</v>
      </c>
      <c r="W300" s="343" t="n">
        <v>150</v>
      </c>
      <c r="X300" s="344">
        <f>SUM(T300:W300)</f>
        <v/>
      </c>
      <c r="Y300" s="343" t="n">
        <v>150</v>
      </c>
      <c r="Z300" s="343" t="n">
        <v>150</v>
      </c>
      <c r="AA300" s="343" t="n">
        <v>150</v>
      </c>
      <c r="AB300" s="343" t="n">
        <v>150</v>
      </c>
      <c r="AC300" s="344">
        <f>SUM(Y300:AB300)</f>
        <v/>
      </c>
      <c r="AD300" s="343" t="n">
        <v>150</v>
      </c>
      <c r="AE300" s="343" t="n">
        <v>150</v>
      </c>
      <c r="AF300" s="343" t="n">
        <v>150</v>
      </c>
      <c r="AG300" s="343" t="n">
        <v>150</v>
      </c>
      <c r="AH300" s="344">
        <f>SUM(AD300:AG300)</f>
        <v/>
      </c>
      <c r="AI300" s="343" t="n">
        <v>150</v>
      </c>
      <c r="AJ300" s="343" t="n">
        <v>150</v>
      </c>
      <c r="AK300" s="343" t="n">
        <v>150</v>
      </c>
      <c r="AL300" s="343" t="n">
        <v>150</v>
      </c>
      <c r="AM300" s="344">
        <f>SUM(AI300:AL300)</f>
        <v/>
      </c>
      <c r="AN300" s="343" t="n">
        <v>150</v>
      </c>
      <c r="AO300" s="343" t="n">
        <v>150</v>
      </c>
      <c r="AP300" s="343" t="n">
        <v>150</v>
      </c>
      <c r="AQ300" s="343" t="n">
        <v>150</v>
      </c>
      <c r="AR300" s="344">
        <f>SUM(AN300:AQ300)</f>
        <v/>
      </c>
    </row>
    <row r="301" ht="13.5" customHeight="1" s="290">
      <c r="A301" s="339" t="n"/>
      <c r="B301" s="357" t="inlineStr">
        <is>
          <t xml:space="preserve">  Audit, Tax &amp; Legal — Annual</t>
        </is>
      </c>
      <c r="C301" s="341" t="inlineStr">
        <is>
          <t>$K/yr</t>
        </is>
      </c>
      <c r="D301" s="342" t="inlineStr">
        <is>
          <t>External audit, tax prep, ongoing legal retainer.</t>
        </is>
      </c>
      <c r="E301" s="343" t="n">
        <v>112.5</v>
      </c>
      <c r="F301" s="343" t="n">
        <v>112.5</v>
      </c>
      <c r="G301" s="343" t="n">
        <v>112.5</v>
      </c>
      <c r="H301" s="343" t="n">
        <v>112.5</v>
      </c>
      <c r="I301" s="344">
        <f>SUM(E301:H301)</f>
        <v/>
      </c>
      <c r="J301" s="343" t="n">
        <v>112.5</v>
      </c>
      <c r="K301" s="343" t="n">
        <v>112.5</v>
      </c>
      <c r="L301" s="343" t="n">
        <v>112.5</v>
      </c>
      <c r="M301" s="343" t="n">
        <v>112.5</v>
      </c>
      <c r="N301" s="344">
        <f>SUM(J301:M301)</f>
        <v/>
      </c>
      <c r="O301" s="343" t="n">
        <v>112.5</v>
      </c>
      <c r="P301" s="343" t="n">
        <v>112.5</v>
      </c>
      <c r="Q301" s="343" t="n">
        <v>112.5</v>
      </c>
      <c r="R301" s="343" t="n">
        <v>112.5</v>
      </c>
      <c r="S301" s="344">
        <f>SUM(O301:R301)</f>
        <v/>
      </c>
      <c r="T301" s="343" t="n">
        <v>112.5</v>
      </c>
      <c r="U301" s="343" t="n">
        <v>112.5</v>
      </c>
      <c r="V301" s="343" t="n">
        <v>112.5</v>
      </c>
      <c r="W301" s="343" t="n">
        <v>112.5</v>
      </c>
      <c r="X301" s="344">
        <f>SUM(T301:W301)</f>
        <v/>
      </c>
      <c r="Y301" s="343" t="n">
        <v>112.5</v>
      </c>
      <c r="Z301" s="343" t="n">
        <v>112.5</v>
      </c>
      <c r="AA301" s="343" t="n">
        <v>112.5</v>
      </c>
      <c r="AB301" s="343" t="n">
        <v>112.5</v>
      </c>
      <c r="AC301" s="344">
        <f>SUM(Y301:AB301)</f>
        <v/>
      </c>
      <c r="AD301" s="343" t="n">
        <v>112.5</v>
      </c>
      <c r="AE301" s="343" t="n">
        <v>112.5</v>
      </c>
      <c r="AF301" s="343" t="n">
        <v>112.5</v>
      </c>
      <c r="AG301" s="343" t="n">
        <v>112.5</v>
      </c>
      <c r="AH301" s="344">
        <f>SUM(AD301:AG301)</f>
        <v/>
      </c>
      <c r="AI301" s="343" t="n">
        <v>112.5</v>
      </c>
      <c r="AJ301" s="343" t="n">
        <v>112.5</v>
      </c>
      <c r="AK301" s="343" t="n">
        <v>112.5</v>
      </c>
      <c r="AL301" s="343" t="n">
        <v>112.5</v>
      </c>
      <c r="AM301" s="344">
        <f>SUM(AI301:AL301)</f>
        <v/>
      </c>
      <c r="AN301" s="343" t="n">
        <v>112.5</v>
      </c>
      <c r="AO301" s="343" t="n">
        <v>112.5</v>
      </c>
      <c r="AP301" s="343" t="n">
        <v>112.5</v>
      </c>
      <c r="AQ301" s="343" t="n">
        <v>112.5</v>
      </c>
      <c r="AR301" s="344">
        <f>SUM(AN301:AQ301)</f>
        <v/>
      </c>
    </row>
    <row r="302" ht="13.5" customHeight="1" s="290">
      <c r="A302" s="339" t="n"/>
      <c r="B302" s="357" t="inlineStr">
        <is>
          <t xml:space="preserve">  Technology &amp; Data Subscriptions — Annual</t>
        </is>
      </c>
      <c r="C302" s="341" t="inlineStr">
        <is>
          <t>$K/yr</t>
        </is>
      </c>
      <c r="D302" s="342" t="inlineStr">
        <is>
          <t>CoStar, MSCI/RCA, internal systems, other data. Blended total.</t>
        </is>
      </c>
      <c r="E302" s="343" t="n">
        <v>300</v>
      </c>
      <c r="F302" s="343" t="n">
        <v>300</v>
      </c>
      <c r="G302" s="343" t="n">
        <v>300</v>
      </c>
      <c r="H302" s="343" t="n">
        <v>300</v>
      </c>
      <c r="I302" s="344">
        <f>SUM(E302:H302)</f>
        <v/>
      </c>
      <c r="J302" s="343" t="n">
        <v>300</v>
      </c>
      <c r="K302" s="343" t="n">
        <v>300</v>
      </c>
      <c r="L302" s="343" t="n">
        <v>300</v>
      </c>
      <c r="M302" s="343" t="n">
        <v>300</v>
      </c>
      <c r="N302" s="344">
        <f>SUM(J302:M302)</f>
        <v/>
      </c>
      <c r="O302" s="343" t="n">
        <v>300</v>
      </c>
      <c r="P302" s="343" t="n">
        <v>300</v>
      </c>
      <c r="Q302" s="343" t="n">
        <v>300</v>
      </c>
      <c r="R302" s="343" t="n">
        <v>300</v>
      </c>
      <c r="S302" s="344">
        <f>SUM(O302:R302)</f>
        <v/>
      </c>
      <c r="T302" s="343" t="n">
        <v>300</v>
      </c>
      <c r="U302" s="343" t="n">
        <v>300</v>
      </c>
      <c r="V302" s="343" t="n">
        <v>300</v>
      </c>
      <c r="W302" s="343" t="n">
        <v>300</v>
      </c>
      <c r="X302" s="344">
        <f>SUM(T302:W302)</f>
        <v/>
      </c>
      <c r="Y302" s="343" t="n">
        <v>300</v>
      </c>
      <c r="Z302" s="343" t="n">
        <v>300</v>
      </c>
      <c r="AA302" s="343" t="n">
        <v>300</v>
      </c>
      <c r="AB302" s="343" t="n">
        <v>300</v>
      </c>
      <c r="AC302" s="344">
        <f>SUM(Y302:AB302)</f>
        <v/>
      </c>
      <c r="AD302" s="343" t="n">
        <v>300</v>
      </c>
      <c r="AE302" s="343" t="n">
        <v>300</v>
      </c>
      <c r="AF302" s="343" t="n">
        <v>300</v>
      </c>
      <c r="AG302" s="343" t="n">
        <v>300</v>
      </c>
      <c r="AH302" s="344">
        <f>SUM(AD302:AG302)</f>
        <v/>
      </c>
      <c r="AI302" s="343" t="n">
        <v>300</v>
      </c>
      <c r="AJ302" s="343" t="n">
        <v>300</v>
      </c>
      <c r="AK302" s="343" t="n">
        <v>300</v>
      </c>
      <c r="AL302" s="343" t="n">
        <v>300</v>
      </c>
      <c r="AM302" s="344">
        <f>SUM(AI302:AL302)</f>
        <v/>
      </c>
      <c r="AN302" s="343" t="n">
        <v>300</v>
      </c>
      <c r="AO302" s="343" t="n">
        <v>300</v>
      </c>
      <c r="AP302" s="343" t="n">
        <v>300</v>
      </c>
      <c r="AQ302" s="343" t="n">
        <v>300</v>
      </c>
      <c r="AR302" s="344">
        <f>SUM(AN302:AQ302)</f>
        <v/>
      </c>
    </row>
    <row r="303" ht="13.5" customHeight="1" s="290">
      <c r="A303" s="339" t="n"/>
      <c r="B303" s="357" t="inlineStr">
        <is>
          <t xml:space="preserve">  Corporate Marketing &amp; Brand — Annual</t>
        </is>
      </c>
      <c r="C303" s="341" t="inlineStr">
        <is>
          <t>$K/yr</t>
        </is>
      </c>
      <c r="D303" s="342" t="inlineStr">
        <is>
          <t>Firm-level brand marketing, PR, events. Not deal-specific.</t>
        </is>
      </c>
      <c r="E303" s="343" t="n">
        <v>200</v>
      </c>
      <c r="F303" s="343" t="n">
        <v>200</v>
      </c>
      <c r="G303" s="343" t="n">
        <v>200</v>
      </c>
      <c r="H303" s="343" t="n">
        <v>200</v>
      </c>
      <c r="I303" s="344">
        <f>SUM(E303:H303)</f>
        <v/>
      </c>
      <c r="J303" s="343" t="n">
        <v>200</v>
      </c>
      <c r="K303" s="343" t="n">
        <v>200</v>
      </c>
      <c r="L303" s="343" t="n">
        <v>200</v>
      </c>
      <c r="M303" s="343" t="n">
        <v>200</v>
      </c>
      <c r="N303" s="344">
        <f>SUM(J303:M303)</f>
        <v/>
      </c>
      <c r="O303" s="343" t="n">
        <v>200</v>
      </c>
      <c r="P303" s="343" t="n">
        <v>200</v>
      </c>
      <c r="Q303" s="343" t="n">
        <v>200</v>
      </c>
      <c r="R303" s="343" t="n">
        <v>200</v>
      </c>
      <c r="S303" s="344">
        <f>SUM(O303:R303)</f>
        <v/>
      </c>
      <c r="T303" s="343" t="n">
        <v>200</v>
      </c>
      <c r="U303" s="343" t="n">
        <v>200</v>
      </c>
      <c r="V303" s="343" t="n">
        <v>200</v>
      </c>
      <c r="W303" s="343" t="n">
        <v>200</v>
      </c>
      <c r="X303" s="344">
        <f>SUM(T303:W303)</f>
        <v/>
      </c>
      <c r="Y303" s="343" t="n">
        <v>200</v>
      </c>
      <c r="Z303" s="343" t="n">
        <v>200</v>
      </c>
      <c r="AA303" s="343" t="n">
        <v>200</v>
      </c>
      <c r="AB303" s="343" t="n">
        <v>200</v>
      </c>
      <c r="AC303" s="344">
        <f>SUM(Y303:AB303)</f>
        <v/>
      </c>
      <c r="AD303" s="343" t="n">
        <v>200</v>
      </c>
      <c r="AE303" s="343" t="n">
        <v>200</v>
      </c>
      <c r="AF303" s="343" t="n">
        <v>200</v>
      </c>
      <c r="AG303" s="343" t="n">
        <v>200</v>
      </c>
      <c r="AH303" s="344">
        <f>SUM(AD303:AG303)</f>
        <v/>
      </c>
      <c r="AI303" s="343" t="n">
        <v>200</v>
      </c>
      <c r="AJ303" s="343" t="n">
        <v>200</v>
      </c>
      <c r="AK303" s="343" t="n">
        <v>200</v>
      </c>
      <c r="AL303" s="343" t="n">
        <v>200</v>
      </c>
      <c r="AM303" s="344">
        <f>SUM(AI303:AL303)</f>
        <v/>
      </c>
      <c r="AN303" s="343" t="n">
        <v>200</v>
      </c>
      <c r="AO303" s="343" t="n">
        <v>200</v>
      </c>
      <c r="AP303" s="343" t="n">
        <v>200</v>
      </c>
      <c r="AQ303" s="343" t="n">
        <v>200</v>
      </c>
      <c r="AR303" s="344">
        <f>SUM(AN303:AQ303)</f>
        <v/>
      </c>
    </row>
    <row r="304" ht="13.5" customHeight="1" s="290">
      <c r="A304" s="339" t="n"/>
      <c r="B304" s="357" t="inlineStr">
        <is>
          <t xml:space="preserve">  Other G&amp;A — Annual</t>
        </is>
      </c>
      <c r="C304" s="341" t="inlineStr">
        <is>
          <t>$K/yr</t>
        </is>
      </c>
      <c r="D304" s="342" t="inlineStr">
        <is>
          <t>Catch-all G&amp;A: office supplies, utilities, misc corporate.</t>
        </is>
      </c>
      <c r="E304" s="343" t="n">
        <v>375</v>
      </c>
      <c r="F304" s="343" t="n">
        <v>375</v>
      </c>
      <c r="G304" s="343" t="n">
        <v>375</v>
      </c>
      <c r="H304" s="343" t="n">
        <v>375</v>
      </c>
      <c r="I304" s="344">
        <f>SUM(E304:H304)</f>
        <v/>
      </c>
      <c r="J304" s="343" t="n">
        <v>375</v>
      </c>
      <c r="K304" s="343" t="n">
        <v>375</v>
      </c>
      <c r="L304" s="343" t="n">
        <v>375</v>
      </c>
      <c r="M304" s="343" t="n">
        <v>375</v>
      </c>
      <c r="N304" s="344">
        <f>SUM(J304:M304)</f>
        <v/>
      </c>
      <c r="O304" s="343" t="n">
        <v>375</v>
      </c>
      <c r="P304" s="343" t="n">
        <v>375</v>
      </c>
      <c r="Q304" s="343" t="n">
        <v>375</v>
      </c>
      <c r="R304" s="343" t="n">
        <v>375</v>
      </c>
      <c r="S304" s="344">
        <f>SUM(O304:R304)</f>
        <v/>
      </c>
      <c r="T304" s="343" t="n">
        <v>375</v>
      </c>
      <c r="U304" s="343" t="n">
        <v>375</v>
      </c>
      <c r="V304" s="343" t="n">
        <v>375</v>
      </c>
      <c r="W304" s="343" t="n">
        <v>375</v>
      </c>
      <c r="X304" s="344">
        <f>SUM(T304:W304)</f>
        <v/>
      </c>
      <c r="Y304" s="343" t="n">
        <v>375</v>
      </c>
      <c r="Z304" s="343" t="n">
        <v>375</v>
      </c>
      <c r="AA304" s="343" t="n">
        <v>375</v>
      </c>
      <c r="AB304" s="343" t="n">
        <v>375</v>
      </c>
      <c r="AC304" s="344">
        <f>SUM(Y304:AB304)</f>
        <v/>
      </c>
      <c r="AD304" s="343" t="n">
        <v>375</v>
      </c>
      <c r="AE304" s="343" t="n">
        <v>375</v>
      </c>
      <c r="AF304" s="343" t="n">
        <v>375</v>
      </c>
      <c r="AG304" s="343" t="n">
        <v>375</v>
      </c>
      <c r="AH304" s="344">
        <f>SUM(AD304:AG304)</f>
        <v/>
      </c>
      <c r="AI304" s="343" t="n">
        <v>375</v>
      </c>
      <c r="AJ304" s="343" t="n">
        <v>375</v>
      </c>
      <c r="AK304" s="343" t="n">
        <v>375</v>
      </c>
      <c r="AL304" s="343" t="n">
        <v>375</v>
      </c>
      <c r="AM304" s="344">
        <f>SUM(AI304:AL304)</f>
        <v/>
      </c>
      <c r="AN304" s="343" t="n">
        <v>375</v>
      </c>
      <c r="AO304" s="343" t="n">
        <v>375</v>
      </c>
      <c r="AP304" s="343" t="n">
        <v>375</v>
      </c>
      <c r="AQ304" s="343" t="n">
        <v>375</v>
      </c>
      <c r="AR304" s="344">
        <f>SUM(AN304:AQ304)</f>
        <v/>
      </c>
    </row>
    <row r="305" ht="4.5" customHeight="1" s="290"/>
    <row r="306" ht="15" customHeight="1" s="290">
      <c r="A306" s="307" t="inlineStr">
        <is>
          <t xml:space="preserve">    E2 — VARIABLE OPERATING EXPENSES  (Per-unit driver rates)</t>
        </is>
      </c>
    </row>
    <row r="307" ht="3" customHeight="1" s="290"/>
    <row r="308" ht="13.5" customHeight="1" s="290">
      <c r="A308" s="339" t="n"/>
      <c r="B308" s="357" t="inlineStr">
        <is>
          <t xml:space="preserve">  Deal Marketing Cost per IS Deal</t>
        </is>
      </c>
      <c r="C308" s="341" t="inlineStr">
        <is>
          <t>$K/deal</t>
        </is>
      </c>
      <c r="D308" s="342" t="inlineStr">
        <is>
          <t>Listing marketing, OM production, deal-specific costs per IS transaction.</t>
        </is>
      </c>
      <c r="E308" s="343" t="n">
        <v>8</v>
      </c>
      <c r="F308" s="343" t="n">
        <v>8</v>
      </c>
      <c r="G308" s="343" t="n">
        <v>8</v>
      </c>
      <c r="H308" s="343" t="n">
        <v>8</v>
      </c>
      <c r="I308" s="344">
        <f>SUM(E308:H308)</f>
        <v/>
      </c>
      <c r="J308" s="343" t="n">
        <v>8</v>
      </c>
      <c r="K308" s="343" t="n">
        <v>8</v>
      </c>
      <c r="L308" s="343" t="n">
        <v>8</v>
      </c>
      <c r="M308" s="343" t="n">
        <v>8</v>
      </c>
      <c r="N308" s="344">
        <f>SUM(J308:M308)</f>
        <v/>
      </c>
      <c r="O308" s="343" t="n">
        <v>8</v>
      </c>
      <c r="P308" s="343" t="n">
        <v>8</v>
      </c>
      <c r="Q308" s="343" t="n">
        <v>8</v>
      </c>
      <c r="R308" s="343" t="n">
        <v>8</v>
      </c>
      <c r="S308" s="344">
        <f>SUM(O308:R308)</f>
        <v/>
      </c>
      <c r="T308" s="343" t="n">
        <v>8</v>
      </c>
      <c r="U308" s="343" t="n">
        <v>8</v>
      </c>
      <c r="V308" s="343" t="n">
        <v>8</v>
      </c>
      <c r="W308" s="343" t="n">
        <v>8</v>
      </c>
      <c r="X308" s="344">
        <f>SUM(T308:W308)</f>
        <v/>
      </c>
      <c r="Y308" s="343" t="n">
        <v>8</v>
      </c>
      <c r="Z308" s="343" t="n">
        <v>8</v>
      </c>
      <c r="AA308" s="343" t="n">
        <v>8</v>
      </c>
      <c r="AB308" s="343" t="n">
        <v>8</v>
      </c>
      <c r="AC308" s="344">
        <f>SUM(Y308:AB308)</f>
        <v/>
      </c>
      <c r="AD308" s="343" t="n">
        <v>8</v>
      </c>
      <c r="AE308" s="343" t="n">
        <v>8</v>
      </c>
      <c r="AF308" s="343" t="n">
        <v>8</v>
      </c>
      <c r="AG308" s="343" t="n">
        <v>8</v>
      </c>
      <c r="AH308" s="344">
        <f>SUM(AD308:AG308)</f>
        <v/>
      </c>
      <c r="AI308" s="343" t="n">
        <v>8</v>
      </c>
      <c r="AJ308" s="343" t="n">
        <v>8</v>
      </c>
      <c r="AK308" s="343" t="n">
        <v>8</v>
      </c>
      <c r="AL308" s="343" t="n">
        <v>8</v>
      </c>
      <c r="AM308" s="344">
        <f>SUM(AI308:AL308)</f>
        <v/>
      </c>
      <c r="AN308" s="343" t="n">
        <v>8</v>
      </c>
      <c r="AO308" s="343" t="n">
        <v>8</v>
      </c>
      <c r="AP308" s="343" t="n">
        <v>8</v>
      </c>
      <c r="AQ308" s="343" t="n">
        <v>8</v>
      </c>
      <c r="AR308" s="344">
        <f>SUM(AN308:AQ308)</f>
        <v/>
      </c>
    </row>
    <row r="309" ht="13.5" customHeight="1" s="290">
      <c r="A309" s="339" t="n"/>
      <c r="B309" s="357" t="inlineStr">
        <is>
          <t xml:space="preserve">  Listing Cost per Leasing Deal</t>
        </is>
      </c>
      <c r="C309" s="341" t="inlineStr">
        <is>
          <t>$K/deal</t>
        </is>
      </c>
      <c r="D309" s="342" t="inlineStr">
        <is>
          <t>Listing costs for leasing engagements per deal.</t>
        </is>
      </c>
      <c r="E309" s="343" t="n">
        <v>2</v>
      </c>
      <c r="F309" s="343" t="n">
        <v>2</v>
      </c>
      <c r="G309" s="343" t="n">
        <v>2</v>
      </c>
      <c r="H309" s="343" t="n">
        <v>2</v>
      </c>
      <c r="I309" s="344">
        <f>SUM(E309:H309)</f>
        <v/>
      </c>
      <c r="J309" s="343" t="n">
        <v>2</v>
      </c>
      <c r="K309" s="343" t="n">
        <v>2</v>
      </c>
      <c r="L309" s="343" t="n">
        <v>2</v>
      </c>
      <c r="M309" s="343" t="n">
        <v>2</v>
      </c>
      <c r="N309" s="344">
        <f>SUM(J309:M309)</f>
        <v/>
      </c>
      <c r="O309" s="343" t="n">
        <v>2</v>
      </c>
      <c r="P309" s="343" t="n">
        <v>2</v>
      </c>
      <c r="Q309" s="343" t="n">
        <v>2</v>
      </c>
      <c r="R309" s="343" t="n">
        <v>2</v>
      </c>
      <c r="S309" s="344">
        <f>SUM(O309:R309)</f>
        <v/>
      </c>
      <c r="T309" s="343" t="n">
        <v>2</v>
      </c>
      <c r="U309" s="343" t="n">
        <v>2</v>
      </c>
      <c r="V309" s="343" t="n">
        <v>2</v>
      </c>
      <c r="W309" s="343" t="n">
        <v>2</v>
      </c>
      <c r="X309" s="344">
        <f>SUM(T309:W309)</f>
        <v/>
      </c>
      <c r="Y309" s="343" t="n">
        <v>2</v>
      </c>
      <c r="Z309" s="343" t="n">
        <v>2</v>
      </c>
      <c r="AA309" s="343" t="n">
        <v>2</v>
      </c>
      <c r="AB309" s="343" t="n">
        <v>2</v>
      </c>
      <c r="AC309" s="344">
        <f>SUM(Y309:AB309)</f>
        <v/>
      </c>
      <c r="AD309" s="343" t="n">
        <v>2</v>
      </c>
      <c r="AE309" s="343" t="n">
        <v>2</v>
      </c>
      <c r="AF309" s="343" t="n">
        <v>2</v>
      </c>
      <c r="AG309" s="343" t="n">
        <v>2</v>
      </c>
      <c r="AH309" s="344">
        <f>SUM(AD309:AG309)</f>
        <v/>
      </c>
      <c r="AI309" s="343" t="n">
        <v>2</v>
      </c>
      <c r="AJ309" s="343" t="n">
        <v>2</v>
      </c>
      <c r="AK309" s="343" t="n">
        <v>2</v>
      </c>
      <c r="AL309" s="343" t="n">
        <v>2</v>
      </c>
      <c r="AM309" s="344">
        <f>SUM(AI309:AL309)</f>
        <v/>
      </c>
      <c r="AN309" s="343" t="n">
        <v>2</v>
      </c>
      <c r="AO309" s="343" t="n">
        <v>2</v>
      </c>
      <c r="AP309" s="343" t="n">
        <v>2</v>
      </c>
      <c r="AQ309" s="343" t="n">
        <v>2</v>
      </c>
      <c r="AR309" s="344">
        <f>SUM(AN309:AQ309)</f>
        <v/>
      </c>
    </row>
    <row r="310" ht="13.5" customHeight="1" s="290">
      <c r="A310" s="339" t="n"/>
      <c r="B310" s="357" t="inlineStr">
        <is>
          <t xml:space="preserve">  T&amp;E per Producing EPE per Quarter</t>
        </is>
      </c>
      <c r="C310" s="341" t="inlineStr">
        <is>
          <t>$K/EPE/qtr</t>
        </is>
      </c>
      <c r="D310" s="342" t="inlineStr">
        <is>
          <t>Travel &amp; entertainment per producing EPE. Applied in Opex Engine: T&amp;E rate × total producing EPEs.</t>
        </is>
      </c>
      <c r="E310" s="343" t="n">
        <v>6</v>
      </c>
      <c r="F310" s="343" t="n">
        <v>6</v>
      </c>
      <c r="G310" s="343" t="n">
        <v>6</v>
      </c>
      <c r="H310" s="343" t="n">
        <v>6</v>
      </c>
      <c r="I310" s="344">
        <f>SUM(E310:H310)</f>
        <v/>
      </c>
      <c r="J310" s="343" t="n">
        <v>6</v>
      </c>
      <c r="K310" s="343" t="n">
        <v>6</v>
      </c>
      <c r="L310" s="343" t="n">
        <v>6</v>
      </c>
      <c r="M310" s="343" t="n">
        <v>6</v>
      </c>
      <c r="N310" s="344">
        <f>SUM(J310:M310)</f>
        <v/>
      </c>
      <c r="O310" s="343" t="n">
        <v>6</v>
      </c>
      <c r="P310" s="343" t="n">
        <v>6</v>
      </c>
      <c r="Q310" s="343" t="n">
        <v>6</v>
      </c>
      <c r="R310" s="343" t="n">
        <v>6</v>
      </c>
      <c r="S310" s="344">
        <f>SUM(O310:R310)</f>
        <v/>
      </c>
      <c r="T310" s="343" t="n">
        <v>6</v>
      </c>
      <c r="U310" s="343" t="n">
        <v>6</v>
      </c>
      <c r="V310" s="343" t="n">
        <v>6</v>
      </c>
      <c r="W310" s="343" t="n">
        <v>6</v>
      </c>
      <c r="X310" s="344">
        <f>SUM(T310:W310)</f>
        <v/>
      </c>
      <c r="Y310" s="343" t="n">
        <v>6</v>
      </c>
      <c r="Z310" s="343" t="n">
        <v>6</v>
      </c>
      <c r="AA310" s="343" t="n">
        <v>6</v>
      </c>
      <c r="AB310" s="343" t="n">
        <v>6</v>
      </c>
      <c r="AC310" s="344">
        <f>SUM(Y310:AB310)</f>
        <v/>
      </c>
      <c r="AD310" s="343" t="n">
        <v>6</v>
      </c>
      <c r="AE310" s="343" t="n">
        <v>6</v>
      </c>
      <c r="AF310" s="343" t="n">
        <v>6</v>
      </c>
      <c r="AG310" s="343" t="n">
        <v>6</v>
      </c>
      <c r="AH310" s="344">
        <f>SUM(AD310:AG310)</f>
        <v/>
      </c>
      <c r="AI310" s="343" t="n">
        <v>6</v>
      </c>
      <c r="AJ310" s="343" t="n">
        <v>6</v>
      </c>
      <c r="AK310" s="343" t="n">
        <v>6</v>
      </c>
      <c r="AL310" s="343" t="n">
        <v>6</v>
      </c>
      <c r="AM310" s="344">
        <f>SUM(AI310:AL310)</f>
        <v/>
      </c>
      <c r="AN310" s="343" t="n">
        <v>6</v>
      </c>
      <c r="AO310" s="343" t="n">
        <v>6</v>
      </c>
      <c r="AP310" s="343" t="n">
        <v>6</v>
      </c>
      <c r="AQ310" s="343" t="n">
        <v>6</v>
      </c>
      <c r="AR310" s="344">
        <f>SUM(AN310:AQ310)</f>
        <v/>
      </c>
    </row>
    <row r="311" ht="13.5" customHeight="1" s="290">
      <c r="A311" s="339" t="n"/>
      <c r="B311" s="357" t="inlineStr">
        <is>
          <t xml:space="preserve">  Referral Fees Out — % of Total GCI</t>
        </is>
      </c>
      <c r="C311" s="341" t="inlineStr">
        <is>
          <t>%</t>
        </is>
      </c>
      <c r="D311" s="342" t="inlineStr">
        <is>
          <t>Third-party referral fees paid out. % of total GCI. Applied in Opex Engine: rate × total GCI from Tab 05.</t>
        </is>
      </c>
      <c r="E311" s="343" t="n">
        <v>0.04</v>
      </c>
      <c r="F311" s="343" t="n">
        <v>0.04</v>
      </c>
      <c r="G311" s="343" t="n">
        <v>0.04</v>
      </c>
      <c r="H311" s="343" t="n">
        <v>0.04</v>
      </c>
      <c r="I311" s="344">
        <f>SUM(E311:H311)</f>
        <v/>
      </c>
      <c r="J311" s="343" t="n">
        <v>0.04</v>
      </c>
      <c r="K311" s="343" t="n">
        <v>0.04</v>
      </c>
      <c r="L311" s="343" t="n">
        <v>0.04</v>
      </c>
      <c r="M311" s="343" t="n">
        <v>0.04</v>
      </c>
      <c r="N311" s="344">
        <f>SUM(J311:M311)</f>
        <v/>
      </c>
      <c r="O311" s="343" t="n">
        <v>0.04</v>
      </c>
      <c r="P311" s="343" t="n">
        <v>0.04</v>
      </c>
      <c r="Q311" s="343" t="n">
        <v>0.04</v>
      </c>
      <c r="R311" s="343" t="n">
        <v>0.04</v>
      </c>
      <c r="S311" s="344">
        <f>SUM(O311:R311)</f>
        <v/>
      </c>
      <c r="T311" s="343" t="n">
        <v>0.04</v>
      </c>
      <c r="U311" s="343" t="n">
        <v>0.04</v>
      </c>
      <c r="V311" s="343" t="n">
        <v>0.04</v>
      </c>
      <c r="W311" s="343" t="n">
        <v>0.04</v>
      </c>
      <c r="X311" s="344">
        <f>SUM(T311:W311)</f>
        <v/>
      </c>
      <c r="Y311" s="343" t="n">
        <v>0.04</v>
      </c>
      <c r="Z311" s="343" t="n">
        <v>0.04</v>
      </c>
      <c r="AA311" s="343" t="n">
        <v>0.04</v>
      </c>
      <c r="AB311" s="343" t="n">
        <v>0.04</v>
      </c>
      <c r="AC311" s="344">
        <f>SUM(Y311:AB311)</f>
        <v/>
      </c>
      <c r="AD311" s="343" t="n">
        <v>0.04</v>
      </c>
      <c r="AE311" s="343" t="n">
        <v>0.04</v>
      </c>
      <c r="AF311" s="343" t="n">
        <v>0.04</v>
      </c>
      <c r="AG311" s="343" t="n">
        <v>0.04</v>
      </c>
      <c r="AH311" s="344">
        <f>SUM(AD311:AG311)</f>
        <v/>
      </c>
      <c r="AI311" s="343" t="n">
        <v>0.04</v>
      </c>
      <c r="AJ311" s="343" t="n">
        <v>0.04</v>
      </c>
      <c r="AK311" s="343" t="n">
        <v>0.04</v>
      </c>
      <c r="AL311" s="343" t="n">
        <v>0.04</v>
      </c>
      <c r="AM311" s="344">
        <f>SUM(AI311:AL311)</f>
        <v/>
      </c>
      <c r="AN311" s="343" t="n">
        <v>0.04</v>
      </c>
      <c r="AO311" s="343" t="n">
        <v>0.04</v>
      </c>
      <c r="AP311" s="343" t="n">
        <v>0.04</v>
      </c>
      <c r="AQ311" s="343" t="n">
        <v>0.04</v>
      </c>
      <c r="AR311" s="344">
        <f>SUM(AN311:AQ311)</f>
        <v/>
      </c>
    </row>
    <row r="312" ht="4.5" customHeight="1" s="290"/>
    <row r="313" ht="15" customHeight="1" s="290">
      <c r="A313" s="307" t="inlineStr">
        <is>
          <t xml:space="preserve">    E3 — DEPRECIATION &amp; AMORTIZATION</t>
        </is>
      </c>
    </row>
    <row r="314" ht="3" customHeight="1" s="290"/>
    <row r="315" ht="13.5" customHeight="1" s="290">
      <c r="A315" s="339" t="n"/>
      <c r="B315" s="357" t="inlineStr">
        <is>
          <t xml:space="preserve">  Annual D&amp;A — Flat Input (V1 simplification)</t>
        </is>
      </c>
      <c r="C315" s="341" t="inlineStr">
        <is>
          <t>$K/yr</t>
        </is>
      </c>
      <c r="D315" s="342" t="inlineStr">
        <is>
          <t>Simplified straight-line D&amp;A input. Tab 07 Opex Engine divides by 4 for quarterly D&amp;A. V2: replace with capex schedule and asset-class depreciation lives.</t>
        </is>
      </c>
      <c r="E315" s="343" t="n">
        <v>200</v>
      </c>
      <c r="F315" s="343" t="n">
        <v>200</v>
      </c>
      <c r="G315" s="343" t="n">
        <v>200</v>
      </c>
      <c r="H315" s="343" t="n">
        <v>200</v>
      </c>
      <c r="I315" s="344">
        <f>SUM(E315:H315)</f>
        <v/>
      </c>
      <c r="J315" s="343" t="n">
        <v>200</v>
      </c>
      <c r="K315" s="343" t="n">
        <v>200</v>
      </c>
      <c r="L315" s="343" t="n">
        <v>200</v>
      </c>
      <c r="M315" s="343" t="n">
        <v>200</v>
      </c>
      <c r="N315" s="344">
        <f>SUM(J315:M315)</f>
        <v/>
      </c>
      <c r="O315" s="343" t="n">
        <v>200</v>
      </c>
      <c r="P315" s="343" t="n">
        <v>200</v>
      </c>
      <c r="Q315" s="343" t="n">
        <v>200</v>
      </c>
      <c r="R315" s="343" t="n">
        <v>200</v>
      </c>
      <c r="S315" s="344">
        <f>SUM(O315:R315)</f>
        <v/>
      </c>
      <c r="T315" s="343" t="n">
        <v>200</v>
      </c>
      <c r="U315" s="343" t="n">
        <v>200</v>
      </c>
      <c r="V315" s="343" t="n">
        <v>200</v>
      </c>
      <c r="W315" s="343" t="n">
        <v>200</v>
      </c>
      <c r="X315" s="344">
        <f>SUM(T315:W315)</f>
        <v/>
      </c>
      <c r="Y315" s="343" t="n">
        <v>200</v>
      </c>
      <c r="Z315" s="343" t="n">
        <v>200</v>
      </c>
      <c r="AA315" s="343" t="n">
        <v>200</v>
      </c>
      <c r="AB315" s="343" t="n">
        <v>200</v>
      </c>
      <c r="AC315" s="344">
        <f>SUM(Y315:AB315)</f>
        <v/>
      </c>
      <c r="AD315" s="343" t="n">
        <v>200</v>
      </c>
      <c r="AE315" s="343" t="n">
        <v>200</v>
      </c>
      <c r="AF315" s="343" t="n">
        <v>200</v>
      </c>
      <c r="AG315" s="343" t="n">
        <v>200</v>
      </c>
      <c r="AH315" s="344">
        <f>SUM(AD315:AG315)</f>
        <v/>
      </c>
      <c r="AI315" s="343" t="n">
        <v>200</v>
      </c>
      <c r="AJ315" s="343" t="n">
        <v>200</v>
      </c>
      <c r="AK315" s="343" t="n">
        <v>200</v>
      </c>
      <c r="AL315" s="343" t="n">
        <v>200</v>
      </c>
      <c r="AM315" s="344">
        <f>SUM(AI315:AL315)</f>
        <v/>
      </c>
      <c r="AN315" s="343" t="n">
        <v>200</v>
      </c>
      <c r="AO315" s="343" t="n">
        <v>200</v>
      </c>
      <c r="AP315" s="343" t="n">
        <v>200</v>
      </c>
      <c r="AQ315" s="343" t="n">
        <v>200</v>
      </c>
      <c r="AR315" s="344">
        <f>SUM(AN315:AQ315)</f>
        <v/>
      </c>
    </row>
    <row r="316" ht="4.5" customHeight="1" s="290"/>
    <row r="317" ht="3" customHeight="1" s="290">
      <c r="A317" s="293" t="n"/>
    </row>
    <row r="318" ht="4.5" customHeight="1" s="290"/>
    <row r="319" ht="15.75" customHeight="1" s="290">
      <c r="A319" s="338" t="inlineStr">
        <is>
          <t xml:space="preserve">  SECTION F — OPERATIONAL ASSUMPTION CHECKS  [ Results feed Tab 11 — Checks ]</t>
        </is>
      </c>
    </row>
    <row r="320" ht="3.75" customHeight="1" s="290"/>
    <row r="321" ht="15" customHeight="1" s="290">
      <c r="B321" s="358" t="inlineStr">
        <is>
          <t>Check Description</t>
        </is>
      </c>
      <c r="D321" s="358" t="inlineStr">
        <is>
          <t>Linked To / Logic</t>
        </is>
      </c>
      <c r="I321" s="358" t="inlineStr">
        <is>
          <t>2023A</t>
        </is>
      </c>
      <c r="N321" s="358" t="inlineStr">
        <is>
          <t>2024A</t>
        </is>
      </c>
      <c r="S321" s="358" t="inlineStr">
        <is>
          <t>2025A</t>
        </is>
      </c>
      <c r="X321" s="358" t="inlineStr">
        <is>
          <t>2026E</t>
        </is>
      </c>
      <c r="AC321" s="358" t="inlineStr">
        <is>
          <t>2027E</t>
        </is>
      </c>
      <c r="AH321" s="358" t="inlineStr">
        <is>
          <t>2028E</t>
        </is>
      </c>
      <c r="AM321" s="358" t="inlineStr">
        <is>
          <t>2029E</t>
        </is>
      </c>
      <c r="AR321" s="358" t="inlineStr">
        <is>
          <t>2030E</t>
        </is>
      </c>
    </row>
    <row r="322" ht="3" customHeight="1" s="290"/>
    <row r="323" ht="13.5" customHeight="1" s="290">
      <c r="A323" s="359" t="n"/>
      <c r="B323" s="353" t="inlineStr">
        <is>
          <t xml:space="preserve">  ✔  Ramp Factors ≤ 100%  (Yr1 &amp; Yr2, all tiers)</t>
        </is>
      </c>
      <c r="D323" s="354" t="inlineStr">
        <is>
          <t>Static table rows 153–154, cols E–G</t>
        </is>
      </c>
      <c r="E323" s="368" t="inlineStr">
        <is>
          <t>—</t>
        </is>
      </c>
      <c r="F323" s="368" t="inlineStr">
        <is>
          <t>—</t>
        </is>
      </c>
      <c r="G323" s="368" t="inlineStr">
        <is>
          <t>—</t>
        </is>
      </c>
      <c r="H323" s="368" t="inlineStr">
        <is>
          <t>—</t>
        </is>
      </c>
      <c r="I323" s="356">
        <f>IF(MAX(E153,F153,G153,E154,F154,G154)&lt;=1,"PASS","FAIL — RAMP &gt; 100%")</f>
        <v/>
      </c>
      <c r="J323" s="368" t="inlineStr">
        <is>
          <t>—</t>
        </is>
      </c>
      <c r="K323" s="368" t="inlineStr">
        <is>
          <t>—</t>
        </is>
      </c>
      <c r="L323" s="368" t="inlineStr">
        <is>
          <t>—</t>
        </is>
      </c>
      <c r="M323" s="368" t="inlineStr">
        <is>
          <t>—</t>
        </is>
      </c>
      <c r="N323" s="356">
        <f>IF(MAX(E153,F153,G153,E154,F154,G154)&lt;=1,"PASS","FAIL — RAMP &gt; 100%")</f>
        <v/>
      </c>
      <c r="O323" s="368" t="inlineStr">
        <is>
          <t>—</t>
        </is>
      </c>
      <c r="P323" s="368" t="inlineStr">
        <is>
          <t>—</t>
        </is>
      </c>
      <c r="Q323" s="368" t="inlineStr">
        <is>
          <t>—</t>
        </is>
      </c>
      <c r="R323" s="368" t="inlineStr">
        <is>
          <t>—</t>
        </is>
      </c>
      <c r="S323" s="356">
        <f>IF(MAX(E153,F153,G153,E154,F154,G154)&lt;=1,"PASS","FAIL — RAMP &gt; 100%")</f>
        <v/>
      </c>
      <c r="T323" s="368" t="inlineStr">
        <is>
          <t>—</t>
        </is>
      </c>
      <c r="U323" s="368" t="inlineStr">
        <is>
          <t>—</t>
        </is>
      </c>
      <c r="V323" s="368" t="inlineStr">
        <is>
          <t>—</t>
        </is>
      </c>
      <c r="W323" s="368" t="inlineStr">
        <is>
          <t>—</t>
        </is>
      </c>
      <c r="X323" s="356">
        <f>IF(MAX(E153,F153,G153,E154,F154,G154)&lt;=1,"PASS","FAIL — RAMP &gt; 100%")</f>
        <v/>
      </c>
      <c r="Y323" s="368" t="inlineStr">
        <is>
          <t>—</t>
        </is>
      </c>
      <c r="Z323" s="368" t="inlineStr">
        <is>
          <t>—</t>
        </is>
      </c>
      <c r="AA323" s="368" t="inlineStr">
        <is>
          <t>—</t>
        </is>
      </c>
      <c r="AB323" s="368" t="inlineStr">
        <is>
          <t>—</t>
        </is>
      </c>
      <c r="AC323" s="356">
        <f>IF(MAX(E153,F153,G153,E154,F154,G154)&lt;=1,"PASS","FAIL — RAMP &gt; 100%")</f>
        <v/>
      </c>
      <c r="AD323" s="368" t="inlineStr">
        <is>
          <t>—</t>
        </is>
      </c>
      <c r="AE323" s="368" t="inlineStr">
        <is>
          <t>—</t>
        </is>
      </c>
      <c r="AF323" s="368" t="inlineStr">
        <is>
          <t>—</t>
        </is>
      </c>
      <c r="AG323" s="368" t="inlineStr">
        <is>
          <t>—</t>
        </is>
      </c>
      <c r="AH323" s="356">
        <f>IF(MAX(E153,F153,G153,E154,F154,G154)&lt;=1,"PASS","FAIL — RAMP &gt; 100%")</f>
        <v/>
      </c>
      <c r="AI323" s="368" t="inlineStr">
        <is>
          <t>—</t>
        </is>
      </c>
      <c r="AJ323" s="368" t="inlineStr">
        <is>
          <t>—</t>
        </is>
      </c>
      <c r="AK323" s="368" t="inlineStr">
        <is>
          <t>—</t>
        </is>
      </c>
      <c r="AL323" s="368" t="inlineStr">
        <is>
          <t>—</t>
        </is>
      </c>
      <c r="AM323" s="356">
        <f>IF(MAX(E153,F153,G153,E154,F154,G154)&lt;=1,"PASS","FAIL — RAMP &gt; 100%")</f>
        <v/>
      </c>
      <c r="AN323" s="368" t="inlineStr">
        <is>
          <t>—</t>
        </is>
      </c>
      <c r="AO323" s="368" t="inlineStr">
        <is>
          <t>—</t>
        </is>
      </c>
      <c r="AP323" s="368" t="inlineStr">
        <is>
          <t>—</t>
        </is>
      </c>
      <c r="AQ323" s="368" t="inlineStr">
        <is>
          <t>—</t>
        </is>
      </c>
      <c r="AR323" s="356">
        <f>IF(MAX(E153,F153,G153,E154,F154,G154)&lt;=1,"PASS","FAIL — RAMP &gt; 100%")</f>
        <v/>
      </c>
    </row>
    <row r="324" ht="13.5" customHeight="1" s="290">
      <c r="A324" s="359" t="n"/>
      <c r="B324" s="353" t="inlineStr">
        <is>
          <t xml:space="preserve">  ✔  Book Loss Factors ≤ 100%  (all lines except Advisory)</t>
        </is>
      </c>
      <c r="D324" s="354" t="inlineStr">
        <is>
          <t>Static table rows 162–164, cols E–G</t>
        </is>
      </c>
      <c r="E324" s="368" t="inlineStr">
        <is>
          <t>—</t>
        </is>
      </c>
      <c r="F324" s="368" t="inlineStr">
        <is>
          <t>—</t>
        </is>
      </c>
      <c r="G324" s="368" t="inlineStr">
        <is>
          <t>—</t>
        </is>
      </c>
      <c r="H324" s="368" t="inlineStr">
        <is>
          <t>—</t>
        </is>
      </c>
      <c r="I324" s="356">
        <f>IF(MAX(E162,F162,G162,E163,F163,G163,E164,F164,G164)&lt;=1,"PASS","FAIL — BOOK LOSS &gt; 100%")</f>
        <v/>
      </c>
      <c r="J324" s="368" t="inlineStr">
        <is>
          <t>—</t>
        </is>
      </c>
      <c r="K324" s="368" t="inlineStr">
        <is>
          <t>—</t>
        </is>
      </c>
      <c r="L324" s="368" t="inlineStr">
        <is>
          <t>—</t>
        </is>
      </c>
      <c r="M324" s="368" t="inlineStr">
        <is>
          <t>—</t>
        </is>
      </c>
      <c r="N324" s="356">
        <f>IF(MAX(E162,F162,G162,E163,F163,G163,E164,F164,G164)&lt;=1,"PASS","FAIL — BOOK LOSS &gt; 100%")</f>
        <v/>
      </c>
      <c r="O324" s="368" t="inlineStr">
        <is>
          <t>—</t>
        </is>
      </c>
      <c r="P324" s="368" t="inlineStr">
        <is>
          <t>—</t>
        </is>
      </c>
      <c r="Q324" s="368" t="inlineStr">
        <is>
          <t>—</t>
        </is>
      </c>
      <c r="R324" s="368" t="inlineStr">
        <is>
          <t>—</t>
        </is>
      </c>
      <c r="S324" s="356">
        <f>IF(MAX(E162,F162,G162,E163,F163,G163,E164,F164,G164)&lt;=1,"PASS","FAIL — BOOK LOSS &gt; 100%")</f>
        <v/>
      </c>
      <c r="T324" s="368" t="inlineStr">
        <is>
          <t>—</t>
        </is>
      </c>
      <c r="U324" s="368" t="inlineStr">
        <is>
          <t>—</t>
        </is>
      </c>
      <c r="V324" s="368" t="inlineStr">
        <is>
          <t>—</t>
        </is>
      </c>
      <c r="W324" s="368" t="inlineStr">
        <is>
          <t>—</t>
        </is>
      </c>
      <c r="X324" s="356">
        <f>IF(MAX(E162,F162,G162,E163,F163,G163,E164,F164,G164)&lt;=1,"PASS","FAIL — BOOK LOSS &gt; 100%")</f>
        <v/>
      </c>
      <c r="Y324" s="368" t="inlineStr">
        <is>
          <t>—</t>
        </is>
      </c>
      <c r="Z324" s="368" t="inlineStr">
        <is>
          <t>—</t>
        </is>
      </c>
      <c r="AA324" s="368" t="inlineStr">
        <is>
          <t>—</t>
        </is>
      </c>
      <c r="AB324" s="368" t="inlineStr">
        <is>
          <t>—</t>
        </is>
      </c>
      <c r="AC324" s="356">
        <f>IF(MAX(E162,F162,G162,E163,F163,G163,E164,F164,G164)&lt;=1,"PASS","FAIL — BOOK LOSS &gt; 100%")</f>
        <v/>
      </c>
      <c r="AD324" s="368" t="inlineStr">
        <is>
          <t>—</t>
        </is>
      </c>
      <c r="AE324" s="368" t="inlineStr">
        <is>
          <t>—</t>
        </is>
      </c>
      <c r="AF324" s="368" t="inlineStr">
        <is>
          <t>—</t>
        </is>
      </c>
      <c r="AG324" s="368" t="inlineStr">
        <is>
          <t>—</t>
        </is>
      </c>
      <c r="AH324" s="356">
        <f>IF(MAX(E162,F162,G162,E163,F163,G163,E164,F164,G164)&lt;=1,"PASS","FAIL — BOOK LOSS &gt; 100%")</f>
        <v/>
      </c>
      <c r="AI324" s="368" t="inlineStr">
        <is>
          <t>—</t>
        </is>
      </c>
      <c r="AJ324" s="368" t="inlineStr">
        <is>
          <t>—</t>
        </is>
      </c>
      <c r="AK324" s="368" t="inlineStr">
        <is>
          <t>—</t>
        </is>
      </c>
      <c r="AL324" s="368" t="inlineStr">
        <is>
          <t>—</t>
        </is>
      </c>
      <c r="AM324" s="356">
        <f>IF(MAX(E162,F162,G162,E163,F163,G163,E164,F164,G164)&lt;=1,"PASS","FAIL — BOOK LOSS &gt; 100%")</f>
        <v/>
      </c>
      <c r="AN324" s="368" t="inlineStr">
        <is>
          <t>—</t>
        </is>
      </c>
      <c r="AO324" s="368" t="inlineStr">
        <is>
          <t>—</t>
        </is>
      </c>
      <c r="AP324" s="368" t="inlineStr">
        <is>
          <t>—</t>
        </is>
      </c>
      <c r="AQ324" s="368" t="inlineStr">
        <is>
          <t>—</t>
        </is>
      </c>
      <c r="AR324" s="356">
        <f>IF(MAX(E162,F162,G162,E163,F163,G163,E164,F164,G164)&lt;=1,"PASS","FAIL — BOOK LOSS &gt; 100%")</f>
        <v/>
      </c>
    </row>
    <row r="325" ht="13.5" customHeight="1" s="290">
      <c r="A325" s="359" t="n"/>
      <c r="B325" s="353" t="inlineStr">
        <is>
          <t xml:space="preserve">  ✔  Advisory Utilization ≤ 100%  (Active row)</t>
        </is>
      </c>
      <c r="D325" s="354" t="inlineStr">
        <is>
          <t>Active row 235</t>
        </is>
      </c>
      <c r="E325" s="368" t="inlineStr">
        <is>
          <t>—</t>
        </is>
      </c>
      <c r="F325" s="368" t="inlineStr">
        <is>
          <t>—</t>
        </is>
      </c>
      <c r="G325" s="368" t="inlineStr">
        <is>
          <t>—</t>
        </is>
      </c>
      <c r="H325" s="368" t="inlineStr">
        <is>
          <t>—</t>
        </is>
      </c>
      <c r="I325" s="356">
        <f>IF(MAX(I235)&lt;=1,"PASS","FAIL — UTIL &gt; 100%")</f>
        <v/>
      </c>
      <c r="J325" s="368" t="inlineStr">
        <is>
          <t>—</t>
        </is>
      </c>
      <c r="K325" s="368" t="inlineStr">
        <is>
          <t>—</t>
        </is>
      </c>
      <c r="L325" s="368" t="inlineStr">
        <is>
          <t>—</t>
        </is>
      </c>
      <c r="M325" s="368" t="inlineStr">
        <is>
          <t>—</t>
        </is>
      </c>
      <c r="N325" s="356">
        <f>IF(MAX(N235)&lt;=1,"PASS","FAIL — UTIL &gt; 100%")</f>
        <v/>
      </c>
      <c r="O325" s="368" t="inlineStr">
        <is>
          <t>—</t>
        </is>
      </c>
      <c r="P325" s="368" t="inlineStr">
        <is>
          <t>—</t>
        </is>
      </c>
      <c r="Q325" s="368" t="inlineStr">
        <is>
          <t>—</t>
        </is>
      </c>
      <c r="R325" s="368" t="inlineStr">
        <is>
          <t>—</t>
        </is>
      </c>
      <c r="S325" s="356">
        <f>IF(MAX(S235)&lt;=1,"PASS","FAIL — UTIL &gt; 100%")</f>
        <v/>
      </c>
      <c r="T325" s="368" t="inlineStr">
        <is>
          <t>—</t>
        </is>
      </c>
      <c r="U325" s="368" t="inlineStr">
        <is>
          <t>—</t>
        </is>
      </c>
      <c r="V325" s="368" t="inlineStr">
        <is>
          <t>—</t>
        </is>
      </c>
      <c r="W325" s="368" t="inlineStr">
        <is>
          <t>—</t>
        </is>
      </c>
      <c r="X325" s="356">
        <f>IF(MAX(X235)&lt;=1,"PASS","FAIL — UTIL &gt; 100%")</f>
        <v/>
      </c>
      <c r="Y325" s="368" t="inlineStr">
        <is>
          <t>—</t>
        </is>
      </c>
      <c r="Z325" s="368" t="inlineStr">
        <is>
          <t>—</t>
        </is>
      </c>
      <c r="AA325" s="368" t="inlineStr">
        <is>
          <t>—</t>
        </is>
      </c>
      <c r="AB325" s="368" t="inlineStr">
        <is>
          <t>—</t>
        </is>
      </c>
      <c r="AC325" s="356">
        <f>IF(MAX(AC235)&lt;=1,"PASS","FAIL — UTIL &gt; 100%")</f>
        <v/>
      </c>
      <c r="AD325" s="368" t="inlineStr">
        <is>
          <t>—</t>
        </is>
      </c>
      <c r="AE325" s="368" t="inlineStr">
        <is>
          <t>—</t>
        </is>
      </c>
      <c r="AF325" s="368" t="inlineStr">
        <is>
          <t>—</t>
        </is>
      </c>
      <c r="AG325" s="368" t="inlineStr">
        <is>
          <t>—</t>
        </is>
      </c>
      <c r="AH325" s="356">
        <f>IF(MAX(AH235)&lt;=1,"PASS","FAIL — UTIL &gt; 100%")</f>
        <v/>
      </c>
      <c r="AI325" s="368" t="inlineStr">
        <is>
          <t>—</t>
        </is>
      </c>
      <c r="AJ325" s="368" t="inlineStr">
        <is>
          <t>—</t>
        </is>
      </c>
      <c r="AK325" s="368" t="inlineStr">
        <is>
          <t>—</t>
        </is>
      </c>
      <c r="AL325" s="368" t="inlineStr">
        <is>
          <t>—</t>
        </is>
      </c>
      <c r="AM325" s="356">
        <f>IF(MAX(AM235)&lt;=1,"PASS","FAIL — UTIL &gt; 100%")</f>
        <v/>
      </c>
      <c r="AN325" s="368" t="inlineStr">
        <is>
          <t>—</t>
        </is>
      </c>
      <c r="AO325" s="368" t="inlineStr">
        <is>
          <t>—</t>
        </is>
      </c>
      <c r="AP325" s="368" t="inlineStr">
        <is>
          <t>—</t>
        </is>
      </c>
      <c r="AQ325" s="368" t="inlineStr">
        <is>
          <t>—</t>
        </is>
      </c>
      <c r="AR325" s="356">
        <f>IF(MAX(AR235)&lt;=1,"PASS","FAIL — UTIL &gt; 100%")</f>
        <v/>
      </c>
    </row>
    <row r="326" ht="13.5" customHeight="1" s="290">
      <c r="A326" s="359" t="n"/>
      <c r="B326" s="353" t="inlineStr">
        <is>
          <t xml:space="preserve">  ✔  Split % Escalation: S1 &lt; S2 &lt; S3  (all tiers, all lines)</t>
        </is>
      </c>
      <c r="D326" s="354" t="inlineStr">
        <is>
          <t>Cols F(S1), H(S2), J(S3) for each split row</t>
        </is>
      </c>
      <c r="E326" s="368" t="inlineStr">
        <is>
          <t>—</t>
        </is>
      </c>
      <c r="F326" s="368" t="inlineStr">
        <is>
          <t>—</t>
        </is>
      </c>
      <c r="G326" s="368" t="inlineStr">
        <is>
          <t>—</t>
        </is>
      </c>
      <c r="H326" s="368" t="inlineStr">
        <is>
          <t>—</t>
        </is>
      </c>
      <c r="I326" s="356">
        <f>IF(AND(F252=0,H252=0,J252=0),"WARN — BLANK INPUTS (split schedule not yet entered)",IF(AND(F252&lt;H252,H252&lt;J252, F253&lt;H253,H253&lt;J253, F254&lt;H254,H254&lt;J254, F258&lt;H258,H258&lt;J258, F259&lt;H259,H259&lt;J259, F260&lt;H260,H260&lt;J260, F264&lt;H264,H264&lt;J264, F265&lt;H265,H265&lt;J265, F266&lt;H266,H266&lt;J266),"PASS","FAIL — SPLIT ORDER VIOLATED"))</f>
        <v/>
      </c>
      <c r="J326" s="368" t="inlineStr">
        <is>
          <t>—</t>
        </is>
      </c>
      <c r="K326" s="368" t="inlineStr">
        <is>
          <t>—</t>
        </is>
      </c>
      <c r="L326" s="368" t="inlineStr">
        <is>
          <t>—</t>
        </is>
      </c>
      <c r="M326" s="368" t="inlineStr">
        <is>
          <t>—</t>
        </is>
      </c>
      <c r="N326" s="356">
        <f>IF(AND(F252=0,H252=0,J252=0),"WARN — BLANK INPUTS (split schedule not yet entered)",IF(AND(F252&lt;H252,H252&lt;J252, F253&lt;H253,H253&lt;J253, F254&lt;H254,H254&lt;J254, F258&lt;H258,H258&lt;J258, F259&lt;H259,H259&lt;J259, F260&lt;H260,H260&lt;J260, F264&lt;H264,H264&lt;J264, F265&lt;H265,H265&lt;J265, F266&lt;H266,H266&lt;J266),"PASS","FAIL — SPLIT ORDER VIOLATED"))</f>
        <v/>
      </c>
      <c r="O326" s="368" t="inlineStr">
        <is>
          <t>—</t>
        </is>
      </c>
      <c r="P326" s="368" t="inlineStr">
        <is>
          <t>—</t>
        </is>
      </c>
      <c r="Q326" s="368" t="inlineStr">
        <is>
          <t>—</t>
        </is>
      </c>
      <c r="R326" s="368" t="inlineStr">
        <is>
          <t>—</t>
        </is>
      </c>
      <c r="S326" s="356">
        <f>IF(AND(F252=0,H252=0,J252=0),"WARN — BLANK INPUTS (split schedule not yet entered)",IF(AND(F252&lt;H252,H252&lt;J252, F253&lt;H253,H253&lt;J253, F254&lt;H254,H254&lt;J254, F258&lt;H258,H258&lt;J258, F259&lt;H259,H259&lt;J259, F260&lt;H260,H260&lt;J260, F264&lt;H264,H264&lt;J264, F265&lt;H265,H265&lt;J265, F266&lt;H266,H266&lt;J266),"PASS","FAIL — SPLIT ORDER VIOLATED"))</f>
        <v/>
      </c>
      <c r="T326" s="368" t="inlineStr">
        <is>
          <t>—</t>
        </is>
      </c>
      <c r="U326" s="368" t="inlineStr">
        <is>
          <t>—</t>
        </is>
      </c>
      <c r="V326" s="368" t="inlineStr">
        <is>
          <t>—</t>
        </is>
      </c>
      <c r="W326" s="368" t="inlineStr">
        <is>
          <t>—</t>
        </is>
      </c>
      <c r="X326" s="356">
        <f>IF(AND(F252=0,H252=0,J252=0),"WARN — BLANK INPUTS (split schedule not yet entered)",IF(AND(F252&lt;H252,H252&lt;J252, F253&lt;H253,H253&lt;J253, F254&lt;H254,H254&lt;J254, F258&lt;H258,H258&lt;J258, F259&lt;H259,H259&lt;J259, F260&lt;H260,H260&lt;J260, F264&lt;H264,H264&lt;J264, F265&lt;H265,H265&lt;J265, F266&lt;H266,H266&lt;J266),"PASS","FAIL — SPLIT ORDER VIOLATED"))</f>
        <v/>
      </c>
      <c r="Y326" s="368" t="inlineStr">
        <is>
          <t>—</t>
        </is>
      </c>
      <c r="Z326" s="368" t="inlineStr">
        <is>
          <t>—</t>
        </is>
      </c>
      <c r="AA326" s="368" t="inlineStr">
        <is>
          <t>—</t>
        </is>
      </c>
      <c r="AB326" s="368" t="inlineStr">
        <is>
          <t>—</t>
        </is>
      </c>
      <c r="AC326" s="356">
        <f>IF(AND(F252=0,H252=0,J252=0),"WARN — BLANK INPUTS (split schedule not yet entered)",IF(AND(F252&lt;H252,H252&lt;J252, F253&lt;H253,H253&lt;J253, F254&lt;H254,H254&lt;J254, F258&lt;H258,H258&lt;J258, F259&lt;H259,H259&lt;J259, F260&lt;H260,H260&lt;J260, F264&lt;H264,H264&lt;J264, F265&lt;H265,H265&lt;J265, F266&lt;H266,H266&lt;J266),"PASS","FAIL — SPLIT ORDER VIOLATED"))</f>
        <v/>
      </c>
      <c r="AD326" s="368" t="inlineStr">
        <is>
          <t>—</t>
        </is>
      </c>
      <c r="AE326" s="368" t="inlineStr">
        <is>
          <t>—</t>
        </is>
      </c>
      <c r="AF326" s="368" t="inlineStr">
        <is>
          <t>—</t>
        </is>
      </c>
      <c r="AG326" s="368" t="inlineStr">
        <is>
          <t>—</t>
        </is>
      </c>
      <c r="AH326" s="356">
        <f>IF(AND(F252=0,H252=0,J252=0),"WARN — BLANK INPUTS (split schedule not yet entered)",IF(AND(F252&lt;H252,H252&lt;J252, F253&lt;H253,H253&lt;J253, F254&lt;H254,H254&lt;J254, F258&lt;H258,H258&lt;J258, F259&lt;H259,H259&lt;J259, F260&lt;H260,H260&lt;J260, F264&lt;H264,H264&lt;J264, F265&lt;H265,H265&lt;J265, F266&lt;H266,H266&lt;J266),"PASS","FAIL — SPLIT ORDER VIOLATED"))</f>
        <v/>
      </c>
      <c r="AI326" s="368" t="inlineStr">
        <is>
          <t>—</t>
        </is>
      </c>
      <c r="AJ326" s="368" t="inlineStr">
        <is>
          <t>—</t>
        </is>
      </c>
      <c r="AK326" s="368" t="inlineStr">
        <is>
          <t>—</t>
        </is>
      </c>
      <c r="AL326" s="368" t="inlineStr">
        <is>
          <t>—</t>
        </is>
      </c>
      <c r="AM326" s="356">
        <f>IF(AND(F252=0,H252=0,J252=0),"WARN — BLANK INPUTS (split schedule not yet entered)",IF(AND(F252&lt;H252,H252&lt;J252, F253&lt;H253,H253&lt;J253, F254&lt;H254,H254&lt;J254, F258&lt;H258,H258&lt;J258, F259&lt;H259,H259&lt;J259, F260&lt;H260,H260&lt;J260, F264&lt;H264,H264&lt;J264, F265&lt;H265,H265&lt;J265, F266&lt;H266,H266&lt;J266),"PASS","FAIL — SPLIT ORDER VIOLATED"))</f>
        <v/>
      </c>
      <c r="AN326" s="368" t="inlineStr">
        <is>
          <t>—</t>
        </is>
      </c>
      <c r="AO326" s="368" t="inlineStr">
        <is>
          <t>—</t>
        </is>
      </c>
      <c r="AP326" s="368" t="inlineStr">
        <is>
          <t>—</t>
        </is>
      </c>
      <c r="AQ326" s="368" t="inlineStr">
        <is>
          <t>—</t>
        </is>
      </c>
      <c r="AR326" s="356">
        <f>IF(AND(F252=0,H252=0,J252=0),"WARN — BLANK INPUTS (split schedule not yet entered)",IF(AND(F252&lt;H252,H252&lt;J252, F253&lt;H253,H253&lt;J253, F254&lt;H254,H254&lt;J254, F258&lt;H258,H258&lt;J258, F259&lt;H259,H259&lt;J259, F260&lt;H260,H260&lt;J260, F264&lt;H264,H264&lt;J264, F265&lt;H265,H265&lt;J265, F266&lt;H266,H266&lt;J266),"PASS","FAIL — SPLIT ORDER VIOLATED"))</f>
        <v/>
      </c>
    </row>
    <row r="327" ht="13.5" customHeight="1" s="290">
      <c r="A327" s="359" t="n"/>
      <c r="B327" s="353" t="inlineStr">
        <is>
          <t xml:space="preserve">  ✔  Split Thresholds: T1 &lt; T2  (all tiers, all lines)</t>
        </is>
      </c>
      <c r="D327" s="354" t="inlineStr">
        <is>
          <t>Cols E(T1) &lt; G(T2) for each split row</t>
        </is>
      </c>
      <c r="E327" s="368" t="inlineStr">
        <is>
          <t>—</t>
        </is>
      </c>
      <c r="F327" s="368" t="inlineStr">
        <is>
          <t>—</t>
        </is>
      </c>
      <c r="G327" s="368" t="inlineStr">
        <is>
          <t>—</t>
        </is>
      </c>
      <c r="H327" s="368" t="inlineStr">
        <is>
          <t>—</t>
        </is>
      </c>
      <c r="I327" s="356">
        <f>IF(AND(F252=0,H252=0,J252=0),"WARN — BLANK INPUTS (split schedule not yet entered)",IF(AND(E252&lt;G252, E253&lt;G253, E254&lt;G254, E258&lt;G258, E259&lt;G259, E260&lt;G260, E264&lt;G264, E265&lt;G265, E266&lt;G266),"PASS","FAIL — THRESHOLD ORDER VIOLATED"))</f>
        <v/>
      </c>
      <c r="J327" s="368" t="inlineStr">
        <is>
          <t>—</t>
        </is>
      </c>
      <c r="K327" s="368" t="inlineStr">
        <is>
          <t>—</t>
        </is>
      </c>
      <c r="L327" s="368" t="inlineStr">
        <is>
          <t>—</t>
        </is>
      </c>
      <c r="M327" s="368" t="inlineStr">
        <is>
          <t>—</t>
        </is>
      </c>
      <c r="N327" s="356">
        <f>IF(AND(F252=0,H252=0,J252=0),"WARN — BLANK INPUTS (split schedule not yet entered)",IF(AND(E252&lt;G252, E253&lt;G253, E254&lt;G254, E258&lt;G258, E259&lt;G259, E260&lt;G260, E264&lt;G264, E265&lt;G265, E266&lt;G266),"PASS","FAIL — THRESHOLD ORDER VIOLATED"))</f>
        <v/>
      </c>
      <c r="O327" s="368" t="inlineStr">
        <is>
          <t>—</t>
        </is>
      </c>
      <c r="P327" s="368" t="inlineStr">
        <is>
          <t>—</t>
        </is>
      </c>
      <c r="Q327" s="368" t="inlineStr">
        <is>
          <t>—</t>
        </is>
      </c>
      <c r="R327" s="368" t="inlineStr">
        <is>
          <t>—</t>
        </is>
      </c>
      <c r="S327" s="356">
        <f>IF(AND(F252=0,H252=0,J252=0),"WARN — BLANK INPUTS (split schedule not yet entered)",IF(AND(E252&lt;G252, E253&lt;G253, E254&lt;G254, E258&lt;G258, E259&lt;G259, E260&lt;G260, E264&lt;G264, E265&lt;G265, E266&lt;G266),"PASS","FAIL — THRESHOLD ORDER VIOLATED"))</f>
        <v/>
      </c>
      <c r="T327" s="368" t="inlineStr">
        <is>
          <t>—</t>
        </is>
      </c>
      <c r="U327" s="368" t="inlineStr">
        <is>
          <t>—</t>
        </is>
      </c>
      <c r="V327" s="368" t="inlineStr">
        <is>
          <t>—</t>
        </is>
      </c>
      <c r="W327" s="368" t="inlineStr">
        <is>
          <t>—</t>
        </is>
      </c>
      <c r="X327" s="356">
        <f>IF(AND(F252=0,H252=0,J252=0),"WARN — BLANK INPUTS (split schedule not yet entered)",IF(AND(E252&lt;G252, E253&lt;G253, E254&lt;G254, E258&lt;G258, E259&lt;G259, E260&lt;G260, E264&lt;G264, E265&lt;G265, E266&lt;G266),"PASS","FAIL — THRESHOLD ORDER VIOLATED"))</f>
        <v/>
      </c>
      <c r="Y327" s="368" t="inlineStr">
        <is>
          <t>—</t>
        </is>
      </c>
      <c r="Z327" s="368" t="inlineStr">
        <is>
          <t>—</t>
        </is>
      </c>
      <c r="AA327" s="368" t="inlineStr">
        <is>
          <t>—</t>
        </is>
      </c>
      <c r="AB327" s="368" t="inlineStr">
        <is>
          <t>—</t>
        </is>
      </c>
      <c r="AC327" s="356">
        <f>IF(AND(F252=0,H252=0,J252=0),"WARN — BLANK INPUTS (split schedule not yet entered)",IF(AND(E252&lt;G252, E253&lt;G253, E254&lt;G254, E258&lt;G258, E259&lt;G259, E260&lt;G260, E264&lt;G264, E265&lt;G265, E266&lt;G266),"PASS","FAIL — THRESHOLD ORDER VIOLATED"))</f>
        <v/>
      </c>
      <c r="AD327" s="368" t="inlineStr">
        <is>
          <t>—</t>
        </is>
      </c>
      <c r="AE327" s="368" t="inlineStr">
        <is>
          <t>—</t>
        </is>
      </c>
      <c r="AF327" s="368" t="inlineStr">
        <is>
          <t>—</t>
        </is>
      </c>
      <c r="AG327" s="368" t="inlineStr">
        <is>
          <t>—</t>
        </is>
      </c>
      <c r="AH327" s="356">
        <f>IF(AND(F252=0,H252=0,J252=0),"WARN — BLANK INPUTS (split schedule not yet entered)",IF(AND(E252&lt;G252, E253&lt;G253, E254&lt;G254, E258&lt;G258, E259&lt;G259, E260&lt;G260, E264&lt;G264, E265&lt;G265, E266&lt;G266),"PASS","FAIL — THRESHOLD ORDER VIOLATED"))</f>
        <v/>
      </c>
      <c r="AI327" s="368" t="inlineStr">
        <is>
          <t>—</t>
        </is>
      </c>
      <c r="AJ327" s="368" t="inlineStr">
        <is>
          <t>—</t>
        </is>
      </c>
      <c r="AK327" s="368" t="inlineStr">
        <is>
          <t>—</t>
        </is>
      </c>
      <c r="AL327" s="368" t="inlineStr">
        <is>
          <t>—</t>
        </is>
      </c>
      <c r="AM327" s="356">
        <f>IF(AND(F252=0,H252=0,J252=0),"WARN — BLANK INPUTS (split schedule not yet entered)",IF(AND(E252&lt;G252, E253&lt;G253, E254&lt;G254, E258&lt;G258, E259&lt;G259, E260&lt;G260, E264&lt;G264, E265&lt;G265, E266&lt;G266),"PASS","FAIL — THRESHOLD ORDER VIOLATED"))</f>
        <v/>
      </c>
      <c r="AN327" s="368" t="inlineStr">
        <is>
          <t>—</t>
        </is>
      </c>
      <c r="AO327" s="368" t="inlineStr">
        <is>
          <t>—</t>
        </is>
      </c>
      <c r="AP327" s="368" t="inlineStr">
        <is>
          <t>—</t>
        </is>
      </c>
      <c r="AQ327" s="368" t="inlineStr">
        <is>
          <t>—</t>
        </is>
      </c>
      <c r="AR327" s="356">
        <f>IF(AND(F252=0,H252=0,J252=0),"WARN — BLANK INPUTS (split schedule not yet entered)",IF(AND(E252&lt;G252, E253&lt;G253, E254&lt;G254, E258&lt;G258, E259&lt;G259, E260&lt;G260, E264&lt;G264, E265&lt;G265, E266&lt;G266),"PASS","FAIL — THRESHOLD ORDER VIOLATED"))</f>
        <v/>
      </c>
    </row>
    <row r="328" ht="13.5" customHeight="1" s="290">
      <c r="A328" s="359" t="n"/>
      <c r="B328" s="353" t="inlineStr">
        <is>
          <t xml:space="preserve">  ✔  Attrition Rates ≥ 0  (Active rows, all lines &amp; tiers)</t>
        </is>
      </c>
      <c r="D328" s="354" t="inlineStr">
        <is>
          <t>Active attrition rows: 19, 29, 39, 53...</t>
        </is>
      </c>
      <c r="E328" s="368" t="inlineStr">
        <is>
          <t>—</t>
        </is>
      </c>
      <c r="F328" s="368" t="inlineStr">
        <is>
          <t>—</t>
        </is>
      </c>
      <c r="G328" s="368" t="inlineStr">
        <is>
          <t>—</t>
        </is>
      </c>
      <c r="H328" s="368" t="inlineStr">
        <is>
          <t>—</t>
        </is>
      </c>
      <c r="I328" s="356">
        <f>IF(MIN(I19,I29,I39,I53,I63,I73)&gt;=0,"PASS","FAIL — NEGATIVE ATTRITION")</f>
        <v/>
      </c>
      <c r="J328" s="368" t="inlineStr">
        <is>
          <t>—</t>
        </is>
      </c>
      <c r="K328" s="368" t="inlineStr">
        <is>
          <t>—</t>
        </is>
      </c>
      <c r="L328" s="368" t="inlineStr">
        <is>
          <t>—</t>
        </is>
      </c>
      <c r="M328" s="368" t="inlineStr">
        <is>
          <t>—</t>
        </is>
      </c>
      <c r="N328" s="356">
        <f>IF(MIN(N19,N29,N39,N53,N63,N73)&gt;=0,"PASS","FAIL — NEGATIVE ATTRITION")</f>
        <v/>
      </c>
      <c r="O328" s="368" t="inlineStr">
        <is>
          <t>—</t>
        </is>
      </c>
      <c r="P328" s="368" t="inlineStr">
        <is>
          <t>—</t>
        </is>
      </c>
      <c r="Q328" s="368" t="inlineStr">
        <is>
          <t>—</t>
        </is>
      </c>
      <c r="R328" s="368" t="inlineStr">
        <is>
          <t>—</t>
        </is>
      </c>
      <c r="S328" s="356">
        <f>IF(MIN(S19,S29,S39,S53,S63,S73)&gt;=0,"PASS","FAIL — NEGATIVE ATTRITION")</f>
        <v/>
      </c>
      <c r="T328" s="368" t="inlineStr">
        <is>
          <t>—</t>
        </is>
      </c>
      <c r="U328" s="368" t="inlineStr">
        <is>
          <t>—</t>
        </is>
      </c>
      <c r="V328" s="368" t="inlineStr">
        <is>
          <t>—</t>
        </is>
      </c>
      <c r="W328" s="368" t="inlineStr">
        <is>
          <t>—</t>
        </is>
      </c>
      <c r="X328" s="356">
        <f>IF(MIN(X19,X29,X39,X53,X63,X73)&gt;=0,"PASS","FAIL — NEGATIVE ATTRITION")</f>
        <v/>
      </c>
      <c r="Y328" s="368" t="inlineStr">
        <is>
          <t>—</t>
        </is>
      </c>
      <c r="Z328" s="368" t="inlineStr">
        <is>
          <t>—</t>
        </is>
      </c>
      <c r="AA328" s="368" t="inlineStr">
        <is>
          <t>—</t>
        </is>
      </c>
      <c r="AB328" s="368" t="inlineStr">
        <is>
          <t>—</t>
        </is>
      </c>
      <c r="AC328" s="356">
        <f>IF(MIN(AC19,AC29,AC39,AC53,AC63,AC73)&gt;=0,"PASS","FAIL — NEGATIVE ATTRITION")</f>
        <v/>
      </c>
      <c r="AD328" s="368" t="inlineStr">
        <is>
          <t>—</t>
        </is>
      </c>
      <c r="AE328" s="368" t="inlineStr">
        <is>
          <t>—</t>
        </is>
      </c>
      <c r="AF328" s="368" t="inlineStr">
        <is>
          <t>—</t>
        </is>
      </c>
      <c r="AG328" s="368" t="inlineStr">
        <is>
          <t>—</t>
        </is>
      </c>
      <c r="AH328" s="356">
        <f>IF(MIN(AH19,AH29,AH39,AH53,AH63,AH73)&gt;=0,"PASS","FAIL — NEGATIVE ATTRITION")</f>
        <v/>
      </c>
      <c r="AI328" s="368" t="inlineStr">
        <is>
          <t>—</t>
        </is>
      </c>
      <c r="AJ328" s="368" t="inlineStr">
        <is>
          <t>—</t>
        </is>
      </c>
      <c r="AK328" s="368" t="inlineStr">
        <is>
          <t>—</t>
        </is>
      </c>
      <c r="AL328" s="368" t="inlineStr">
        <is>
          <t>—</t>
        </is>
      </c>
      <c r="AM328" s="356">
        <f>IF(MIN(AM19,AM29,AM39,AM53,AM63,AM73)&gt;=0,"PASS","FAIL — NEGATIVE ATTRITION")</f>
        <v/>
      </c>
      <c r="AN328" s="368" t="inlineStr">
        <is>
          <t>—</t>
        </is>
      </c>
      <c r="AO328" s="368" t="inlineStr">
        <is>
          <t>—</t>
        </is>
      </c>
      <c r="AP328" s="368" t="inlineStr">
        <is>
          <t>—</t>
        </is>
      </c>
      <c r="AQ328" s="368" t="inlineStr">
        <is>
          <t>—</t>
        </is>
      </c>
      <c r="AR328" s="356">
        <f>IF(MIN(AR19,AR29,AR39,AR53,AR63,AR73)&gt;=0,"PASS","FAIL — NEGATIVE ATTRITION")</f>
        <v/>
      </c>
    </row>
    <row r="329" ht="13.5" customHeight="1" s="290">
      <c r="A329" s="359" t="n"/>
      <c r="B329" s="353" t="inlineStr">
        <is>
          <t xml:space="preserve">  ✔  Gross Hires ≥ 0  (Active rows, all lines &amp; tiers)</t>
        </is>
      </c>
      <c r="D329" s="354" t="inlineStr">
        <is>
          <t>Active hire rows: 15, 25, 35, 49...</t>
        </is>
      </c>
      <c r="E329" s="368" t="inlineStr">
        <is>
          <t>—</t>
        </is>
      </c>
      <c r="F329" s="368" t="inlineStr">
        <is>
          <t>—</t>
        </is>
      </c>
      <c r="G329" s="368" t="inlineStr">
        <is>
          <t>—</t>
        </is>
      </c>
      <c r="H329" s="368" t="inlineStr">
        <is>
          <t>—</t>
        </is>
      </c>
      <c r="I329" s="356">
        <f>IF(MIN(I15,I25,I35,I49,I59,I69)&gt;=0,"PASS","FAIL — NEGATIVE HIRES")</f>
        <v/>
      </c>
      <c r="J329" s="368" t="inlineStr">
        <is>
          <t>—</t>
        </is>
      </c>
      <c r="K329" s="368" t="inlineStr">
        <is>
          <t>—</t>
        </is>
      </c>
      <c r="L329" s="368" t="inlineStr">
        <is>
          <t>—</t>
        </is>
      </c>
      <c r="M329" s="368" t="inlineStr">
        <is>
          <t>—</t>
        </is>
      </c>
      <c r="N329" s="356">
        <f>IF(MIN(N15,N25,N35,N49,N59,N69)&gt;=0,"PASS","FAIL — NEGATIVE HIRES")</f>
        <v/>
      </c>
      <c r="O329" s="368" t="inlineStr">
        <is>
          <t>—</t>
        </is>
      </c>
      <c r="P329" s="368" t="inlineStr">
        <is>
          <t>—</t>
        </is>
      </c>
      <c r="Q329" s="368" t="inlineStr">
        <is>
          <t>—</t>
        </is>
      </c>
      <c r="R329" s="368" t="inlineStr">
        <is>
          <t>—</t>
        </is>
      </c>
      <c r="S329" s="356">
        <f>IF(MIN(S15,S25,S35,S49,S59,S69)&gt;=0,"PASS","FAIL — NEGATIVE HIRES")</f>
        <v/>
      </c>
      <c r="T329" s="368" t="inlineStr">
        <is>
          <t>—</t>
        </is>
      </c>
      <c r="U329" s="368" t="inlineStr">
        <is>
          <t>—</t>
        </is>
      </c>
      <c r="V329" s="368" t="inlineStr">
        <is>
          <t>—</t>
        </is>
      </c>
      <c r="W329" s="368" t="inlineStr">
        <is>
          <t>—</t>
        </is>
      </c>
      <c r="X329" s="356">
        <f>IF(MIN(X15,X25,X35,X49,X59,X69)&gt;=0,"PASS","FAIL — NEGATIVE HIRES")</f>
        <v/>
      </c>
      <c r="Y329" s="368" t="inlineStr">
        <is>
          <t>—</t>
        </is>
      </c>
      <c r="Z329" s="368" t="inlineStr">
        <is>
          <t>—</t>
        </is>
      </c>
      <c r="AA329" s="368" t="inlineStr">
        <is>
          <t>—</t>
        </is>
      </c>
      <c r="AB329" s="368" t="inlineStr">
        <is>
          <t>—</t>
        </is>
      </c>
      <c r="AC329" s="356">
        <f>IF(MIN(AC15,AC25,AC35,AC49,AC59,AC69)&gt;=0,"PASS","FAIL — NEGATIVE HIRES")</f>
        <v/>
      </c>
      <c r="AD329" s="368" t="inlineStr">
        <is>
          <t>—</t>
        </is>
      </c>
      <c r="AE329" s="368" t="inlineStr">
        <is>
          <t>—</t>
        </is>
      </c>
      <c r="AF329" s="368" t="inlineStr">
        <is>
          <t>—</t>
        </is>
      </c>
      <c r="AG329" s="368" t="inlineStr">
        <is>
          <t>—</t>
        </is>
      </c>
      <c r="AH329" s="356">
        <f>IF(MIN(AH15,AH25,AH35,AH49,AH59,AH69)&gt;=0,"PASS","FAIL — NEGATIVE HIRES")</f>
        <v/>
      </c>
      <c r="AI329" s="368" t="inlineStr">
        <is>
          <t>—</t>
        </is>
      </c>
      <c r="AJ329" s="368" t="inlineStr">
        <is>
          <t>—</t>
        </is>
      </c>
      <c r="AK329" s="368" t="inlineStr">
        <is>
          <t>—</t>
        </is>
      </c>
      <c r="AL329" s="368" t="inlineStr">
        <is>
          <t>—</t>
        </is>
      </c>
      <c r="AM329" s="356">
        <f>IF(MIN(AM15,AM25,AM35,AM49,AM59,AM69)&gt;=0,"PASS","FAIL — NEGATIVE HIRES")</f>
        <v/>
      </c>
      <c r="AN329" s="368" t="inlineStr">
        <is>
          <t>—</t>
        </is>
      </c>
      <c r="AO329" s="368" t="inlineStr">
        <is>
          <t>—</t>
        </is>
      </c>
      <c r="AP329" s="368" t="inlineStr">
        <is>
          <t>—</t>
        </is>
      </c>
      <c r="AQ329" s="368" t="inlineStr">
        <is>
          <t>—</t>
        </is>
      </c>
      <c r="AR329" s="356">
        <f>IF(MIN(AR15,AR25,AR35,AR49,AR59,AR69)&gt;=0,"PASS","FAIL — NEGATIVE HIRES")</f>
        <v/>
      </c>
    </row>
    <row r="330" ht="13.5" customHeight="1" s="290">
      <c r="A330" s="359" t="n"/>
      <c r="B330" s="353" t="inlineStr">
        <is>
          <t xml:space="preserve">  ✔  D&amp;E Capture Rate ≤ 100%  (Active row)</t>
        </is>
      </c>
      <c r="D330" s="354" t="inlineStr">
        <is>
          <t>Active row 217</t>
        </is>
      </c>
      <c r="E330" s="368" t="inlineStr">
        <is>
          <t>—</t>
        </is>
      </c>
      <c r="F330" s="368" t="inlineStr">
        <is>
          <t>—</t>
        </is>
      </c>
      <c r="G330" s="368" t="inlineStr">
        <is>
          <t>—</t>
        </is>
      </c>
      <c r="H330" s="368" t="inlineStr">
        <is>
          <t>—</t>
        </is>
      </c>
      <c r="I330" s="356">
        <f>IF(MAX(I217)&lt;=1,"PASS","FAIL — CAPTURE &gt; 100%")</f>
        <v/>
      </c>
      <c r="J330" s="368" t="inlineStr">
        <is>
          <t>—</t>
        </is>
      </c>
      <c r="K330" s="368" t="inlineStr">
        <is>
          <t>—</t>
        </is>
      </c>
      <c r="L330" s="368" t="inlineStr">
        <is>
          <t>—</t>
        </is>
      </c>
      <c r="M330" s="368" t="inlineStr">
        <is>
          <t>—</t>
        </is>
      </c>
      <c r="N330" s="356">
        <f>IF(MAX(N217)&lt;=1,"PASS","FAIL — CAPTURE &gt; 100%")</f>
        <v/>
      </c>
      <c r="O330" s="368" t="inlineStr">
        <is>
          <t>—</t>
        </is>
      </c>
      <c r="P330" s="368" t="inlineStr">
        <is>
          <t>—</t>
        </is>
      </c>
      <c r="Q330" s="368" t="inlineStr">
        <is>
          <t>—</t>
        </is>
      </c>
      <c r="R330" s="368" t="inlineStr">
        <is>
          <t>—</t>
        </is>
      </c>
      <c r="S330" s="356">
        <f>IF(MAX(S217)&lt;=1,"PASS","FAIL — CAPTURE &gt; 100%")</f>
        <v/>
      </c>
      <c r="T330" s="368" t="inlineStr">
        <is>
          <t>—</t>
        </is>
      </c>
      <c r="U330" s="368" t="inlineStr">
        <is>
          <t>—</t>
        </is>
      </c>
      <c r="V330" s="368" t="inlineStr">
        <is>
          <t>—</t>
        </is>
      </c>
      <c r="W330" s="368" t="inlineStr">
        <is>
          <t>—</t>
        </is>
      </c>
      <c r="X330" s="356">
        <f>IF(MAX(X217)&lt;=1,"PASS","FAIL — CAPTURE &gt; 100%")</f>
        <v/>
      </c>
      <c r="Y330" s="368" t="inlineStr">
        <is>
          <t>—</t>
        </is>
      </c>
      <c r="Z330" s="368" t="inlineStr">
        <is>
          <t>—</t>
        </is>
      </c>
      <c r="AA330" s="368" t="inlineStr">
        <is>
          <t>—</t>
        </is>
      </c>
      <c r="AB330" s="368" t="inlineStr">
        <is>
          <t>—</t>
        </is>
      </c>
      <c r="AC330" s="356">
        <f>IF(MAX(AC217)&lt;=1,"PASS","FAIL — CAPTURE &gt; 100%")</f>
        <v/>
      </c>
      <c r="AD330" s="368" t="inlineStr">
        <is>
          <t>—</t>
        </is>
      </c>
      <c r="AE330" s="368" t="inlineStr">
        <is>
          <t>—</t>
        </is>
      </c>
      <c r="AF330" s="368" t="inlineStr">
        <is>
          <t>—</t>
        </is>
      </c>
      <c r="AG330" s="368" t="inlineStr">
        <is>
          <t>—</t>
        </is>
      </c>
      <c r="AH330" s="356">
        <f>IF(MAX(AH217)&lt;=1,"PASS","FAIL — CAPTURE &gt; 100%")</f>
        <v/>
      </c>
      <c r="AI330" s="368" t="inlineStr">
        <is>
          <t>—</t>
        </is>
      </c>
      <c r="AJ330" s="368" t="inlineStr">
        <is>
          <t>—</t>
        </is>
      </c>
      <c r="AK330" s="368" t="inlineStr">
        <is>
          <t>—</t>
        </is>
      </c>
      <c r="AL330" s="368" t="inlineStr">
        <is>
          <t>—</t>
        </is>
      </c>
      <c r="AM330" s="356">
        <f>IF(MAX(AM217)&lt;=1,"PASS","FAIL — CAPTURE &gt; 100%")</f>
        <v/>
      </c>
      <c r="AN330" s="368" t="inlineStr">
        <is>
          <t>—</t>
        </is>
      </c>
      <c r="AO330" s="368" t="inlineStr">
        <is>
          <t>—</t>
        </is>
      </c>
      <c r="AP330" s="368" t="inlineStr">
        <is>
          <t>—</t>
        </is>
      </c>
      <c r="AQ330" s="368" t="inlineStr">
        <is>
          <t>—</t>
        </is>
      </c>
      <c r="AR330" s="356">
        <f>IF(MAX(AR217)&lt;=1,"PASS","FAIL — CAPTURE &gt; 100%")</f>
        <v/>
      </c>
    </row>
    <row r="331" ht="13.5" customHeight="1" s="290">
      <c r="A331" s="359" t="n"/>
      <c r="B331" s="353" t="inlineStr">
        <is>
          <t xml:space="preserve">  ✔  D&amp;E Pull-Through ≤ 100%  (Active row)</t>
        </is>
      </c>
      <c r="D331" s="354" t="inlineStr">
        <is>
          <t>Active row 222</t>
        </is>
      </c>
      <c r="E331" s="368" t="inlineStr">
        <is>
          <t>—</t>
        </is>
      </c>
      <c r="F331" s="368" t="inlineStr">
        <is>
          <t>—</t>
        </is>
      </c>
      <c r="G331" s="368" t="inlineStr">
        <is>
          <t>—</t>
        </is>
      </c>
      <c r="H331" s="368" t="inlineStr">
        <is>
          <t>—</t>
        </is>
      </c>
      <c r="I331" s="356">
        <f>IF(MAX(I222)&lt;=1,"PASS","FAIL — PULL-THROUGH &gt; 100%")</f>
        <v/>
      </c>
      <c r="J331" s="368" t="inlineStr">
        <is>
          <t>—</t>
        </is>
      </c>
      <c r="K331" s="368" t="inlineStr">
        <is>
          <t>—</t>
        </is>
      </c>
      <c r="L331" s="368" t="inlineStr">
        <is>
          <t>—</t>
        </is>
      </c>
      <c r="M331" s="368" t="inlineStr">
        <is>
          <t>—</t>
        </is>
      </c>
      <c r="N331" s="356">
        <f>IF(MAX(N222)&lt;=1,"PASS","FAIL — PULL-THROUGH &gt; 100%")</f>
        <v/>
      </c>
      <c r="O331" s="368" t="inlineStr">
        <is>
          <t>—</t>
        </is>
      </c>
      <c r="P331" s="368" t="inlineStr">
        <is>
          <t>—</t>
        </is>
      </c>
      <c r="Q331" s="368" t="inlineStr">
        <is>
          <t>—</t>
        </is>
      </c>
      <c r="R331" s="368" t="inlineStr">
        <is>
          <t>—</t>
        </is>
      </c>
      <c r="S331" s="356">
        <f>IF(MAX(S222)&lt;=1,"PASS","FAIL — PULL-THROUGH &gt; 100%")</f>
        <v/>
      </c>
      <c r="T331" s="368" t="inlineStr">
        <is>
          <t>—</t>
        </is>
      </c>
      <c r="U331" s="368" t="inlineStr">
        <is>
          <t>—</t>
        </is>
      </c>
      <c r="V331" s="368" t="inlineStr">
        <is>
          <t>—</t>
        </is>
      </c>
      <c r="W331" s="368" t="inlineStr">
        <is>
          <t>—</t>
        </is>
      </c>
      <c r="X331" s="356">
        <f>IF(MAX(X222)&lt;=1,"PASS","FAIL — PULL-THROUGH &gt; 100%")</f>
        <v/>
      </c>
      <c r="Y331" s="368" t="inlineStr">
        <is>
          <t>—</t>
        </is>
      </c>
      <c r="Z331" s="368" t="inlineStr">
        <is>
          <t>—</t>
        </is>
      </c>
      <c r="AA331" s="368" t="inlineStr">
        <is>
          <t>—</t>
        </is>
      </c>
      <c r="AB331" s="368" t="inlineStr">
        <is>
          <t>—</t>
        </is>
      </c>
      <c r="AC331" s="356">
        <f>IF(MAX(AC222)&lt;=1,"PASS","FAIL — PULL-THROUGH &gt; 100%")</f>
        <v/>
      </c>
      <c r="AD331" s="368" t="inlineStr">
        <is>
          <t>—</t>
        </is>
      </c>
      <c r="AE331" s="368" t="inlineStr">
        <is>
          <t>—</t>
        </is>
      </c>
      <c r="AF331" s="368" t="inlineStr">
        <is>
          <t>—</t>
        </is>
      </c>
      <c r="AG331" s="368" t="inlineStr">
        <is>
          <t>—</t>
        </is>
      </c>
      <c r="AH331" s="356">
        <f>IF(MAX(AH222)&lt;=1,"PASS","FAIL — PULL-THROUGH &gt; 100%")</f>
        <v/>
      </c>
      <c r="AI331" s="368" t="inlineStr">
        <is>
          <t>—</t>
        </is>
      </c>
      <c r="AJ331" s="368" t="inlineStr">
        <is>
          <t>—</t>
        </is>
      </c>
      <c r="AK331" s="368" t="inlineStr">
        <is>
          <t>—</t>
        </is>
      </c>
      <c r="AL331" s="368" t="inlineStr">
        <is>
          <t>—</t>
        </is>
      </c>
      <c r="AM331" s="356">
        <f>IF(MAX(AM222)&lt;=1,"PASS","FAIL — PULL-THROUGH &gt; 100%")</f>
        <v/>
      </c>
      <c r="AN331" s="368" t="inlineStr">
        <is>
          <t>—</t>
        </is>
      </c>
      <c r="AO331" s="368" t="inlineStr">
        <is>
          <t>—</t>
        </is>
      </c>
      <c r="AP331" s="368" t="inlineStr">
        <is>
          <t>—</t>
        </is>
      </c>
      <c r="AQ331" s="368" t="inlineStr">
        <is>
          <t>—</t>
        </is>
      </c>
      <c r="AR331" s="356">
        <f>IF(MAX(AR222)&lt;=1,"PASS","FAIL — PULL-THROUGH &gt; 100%")</f>
        <v/>
      </c>
    </row>
    <row r="332" ht="4.5" customHeight="1" s="290"/>
    <row r="333" ht="18" customHeight="1" s="290">
      <c r="A333" s="360" t="inlineStr">
        <is>
          <t xml:space="preserve">  All PASS/FAIL results above are referenced by Tab 11 — Checks. Checks on static tables (ramp, book loss, splits) return the same result in every column since they are not time-series. FAIL in any year = input error requiring correction.</t>
        </is>
      </c>
    </row>
    <row r="334" ht="4.5" customHeight="1" s="290"/>
    <row r="335" ht="3" customHeight="1" s="290">
      <c r="A335" s="293" t="n"/>
    </row>
  </sheetData>
  <mergeCells count="49">
    <mergeCell ref="A109:AR109"/>
    <mergeCell ref="A43:AR43"/>
    <mergeCell ref="A230:AR230"/>
    <mergeCell ref="E2:AR2"/>
    <mergeCell ref="A9:AR9"/>
    <mergeCell ref="A111:AR111"/>
    <mergeCell ref="A167:AR167"/>
    <mergeCell ref="A143:AR143"/>
    <mergeCell ref="A245:AR245"/>
    <mergeCell ref="A319:AR319"/>
    <mergeCell ref="A270:AR270"/>
    <mergeCell ref="A77:AR77"/>
    <mergeCell ref="A157:AR157"/>
    <mergeCell ref="A148:AR148"/>
    <mergeCell ref="A257:AR257"/>
    <mergeCell ref="A169:AR169"/>
    <mergeCell ref="A296:AR296"/>
    <mergeCell ref="A1:AR1"/>
    <mergeCell ref="A146:AR146"/>
    <mergeCell ref="A250:AR250"/>
    <mergeCell ref="A228:AR228"/>
    <mergeCell ref="A256:AR256"/>
    <mergeCell ref="A7:AR7"/>
    <mergeCell ref="A41:AR41"/>
    <mergeCell ref="A212:AR212"/>
    <mergeCell ref="A243:AR243"/>
    <mergeCell ref="A283:AR283"/>
    <mergeCell ref="A277:AR277"/>
    <mergeCell ref="A292:AR292"/>
    <mergeCell ref="A335:AR335"/>
    <mergeCell ref="A193:AR193"/>
    <mergeCell ref="A268:AR268"/>
    <mergeCell ref="A75:AR75"/>
    <mergeCell ref="A317:AR317"/>
    <mergeCell ref="A210:AR210"/>
    <mergeCell ref="A294:AR294"/>
    <mergeCell ref="A306:AR306"/>
    <mergeCell ref="A313:AR313"/>
    <mergeCell ref="A251:AR251"/>
    <mergeCell ref="A247:AR247"/>
    <mergeCell ref="A5:AR5"/>
    <mergeCell ref="A150:AR150"/>
    <mergeCell ref="A263:AR263"/>
    <mergeCell ref="A2:D2"/>
    <mergeCell ref="A159:AR159"/>
    <mergeCell ref="A290:AR290"/>
    <mergeCell ref="A262:AR262"/>
    <mergeCell ref="A333:AR333"/>
    <mergeCell ref="A171:AR171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FF8C00"/>
    <outlinePr summaryBelow="1" summaryRight="1"/>
    <pageSetUpPr fitToPage="1"/>
  </sheetPr>
  <dimension ref="A1:AR26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2" customWidth="1" style="289" min="1" max="1"/>
    <col width="36" customWidth="1" style="289" min="2" max="2"/>
    <col width="10" customWidth="1" style="289" min="3" max="3"/>
    <col width="22" customWidth="1" style="289" min="4" max="4"/>
    <col width="8.800000000000001" customWidth="1" style="289" min="5" max="8"/>
    <col width="10.51" customWidth="1" style="289" min="9" max="9"/>
    <col width="8.800000000000001" customWidth="1" style="289" min="10" max="13"/>
    <col width="10.51" customWidth="1" style="289" min="14" max="14"/>
    <col width="8.800000000000001" customWidth="1" style="289" min="15" max="18"/>
    <col width="10.51" customWidth="1" style="289" min="19" max="19"/>
    <col width="8.800000000000001" customWidth="1" style="289" min="20" max="23"/>
    <col width="10.51" customWidth="1" style="289" min="24" max="24"/>
    <col width="8.800000000000001" customWidth="1" style="289" min="25" max="28"/>
    <col width="10.51" customWidth="1" style="289" min="29" max="29"/>
    <col width="8.800000000000001" customWidth="1" style="289" min="30" max="33"/>
    <col width="10.51" customWidth="1" style="289" min="34" max="34"/>
    <col width="8.800000000000001" customWidth="1" style="289" min="35" max="38"/>
    <col width="10.51" customWidth="1" style="289" min="39" max="39"/>
    <col width="8.800000000000001" customWidth="1" style="289" min="40" max="43"/>
    <col width="10.51" customWidth="1" style="289" min="44" max="44"/>
  </cols>
  <sheetData>
    <row r="1" ht="25.5" customHeight="1" s="290">
      <c r="A1" s="330" t="inlineStr">
        <is>
          <t xml:space="preserve">  04  |  PRODUCER ENGINE  —  Headcount → Effective Producer-Equivalents (EPEs)</t>
        </is>
      </c>
    </row>
    <row r="2" ht="15" customHeight="1" s="290">
      <c r="A2" s="331" t="inlineStr">
        <is>
          <t xml:space="preserve">  EPE Formula (V1): Beginning HC  +  (Gross Hires × Ramp Factor Yr1)  −  Attrition  | Green = link from Tab 03 | Black = calculation | Orange tab = Engine</t>
        </is>
      </c>
    </row>
    <row r="3" ht="30" customHeight="1" s="290">
      <c r="A3" s="332" t="n"/>
      <c r="B3" s="333" t="inlineStr">
        <is>
          <t>Row Description</t>
        </is>
      </c>
      <c r="C3" s="333" t="inlineStr">
        <is>
          <t>Units</t>
        </is>
      </c>
      <c r="D3" s="333" t="inlineStr">
        <is>
          <t>Formula / Source</t>
        </is>
      </c>
      <c r="E3" s="334" t="inlineStr">
        <is>
          <t>2023A
Q1</t>
        </is>
      </c>
      <c r="F3" s="334" t="inlineStr">
        <is>
          <t>2023A
Q2</t>
        </is>
      </c>
      <c r="G3" s="334" t="inlineStr">
        <is>
          <t>2023A
Q3</t>
        </is>
      </c>
      <c r="H3" s="334" t="inlineStr">
        <is>
          <t>2023A
Q4</t>
        </is>
      </c>
      <c r="I3" s="335" t="inlineStr">
        <is>
          <t>2023A
Annual</t>
        </is>
      </c>
      <c r="J3" s="334" t="inlineStr">
        <is>
          <t>2024A
Q1</t>
        </is>
      </c>
      <c r="K3" s="334" t="inlineStr">
        <is>
          <t>2024A
Q2</t>
        </is>
      </c>
      <c r="L3" s="334" t="inlineStr">
        <is>
          <t>2024A
Q3</t>
        </is>
      </c>
      <c r="M3" s="334" t="inlineStr">
        <is>
          <t>2024A
Q4</t>
        </is>
      </c>
      <c r="N3" s="335" t="inlineStr">
        <is>
          <t>2024A
Annual</t>
        </is>
      </c>
      <c r="O3" s="334" t="inlineStr">
        <is>
          <t>2025A
Q1</t>
        </is>
      </c>
      <c r="P3" s="334" t="inlineStr">
        <is>
          <t>2025A
Q2</t>
        </is>
      </c>
      <c r="Q3" s="334" t="inlineStr">
        <is>
          <t>2025A
Q3</t>
        </is>
      </c>
      <c r="R3" s="334" t="inlineStr">
        <is>
          <t>2025A
Q4</t>
        </is>
      </c>
      <c r="S3" s="335" t="inlineStr">
        <is>
          <t>2025A
Annual</t>
        </is>
      </c>
      <c r="T3" s="336" t="inlineStr">
        <is>
          <t>2026E
Q1</t>
        </is>
      </c>
      <c r="U3" s="336" t="inlineStr">
        <is>
          <t>2026E
Q2</t>
        </is>
      </c>
      <c r="V3" s="336" t="inlineStr">
        <is>
          <t>2026E
Q3</t>
        </is>
      </c>
      <c r="W3" s="336" t="inlineStr">
        <is>
          <t>2026E
Q4</t>
        </is>
      </c>
      <c r="X3" s="337" t="inlineStr">
        <is>
          <t>2026E
Annual</t>
        </is>
      </c>
      <c r="Y3" s="336" t="inlineStr">
        <is>
          <t>2027E
Q1</t>
        </is>
      </c>
      <c r="Z3" s="336" t="inlineStr">
        <is>
          <t>2027E
Q2</t>
        </is>
      </c>
      <c r="AA3" s="336" t="inlineStr">
        <is>
          <t>2027E
Q3</t>
        </is>
      </c>
      <c r="AB3" s="336" t="inlineStr">
        <is>
          <t>2027E
Q4</t>
        </is>
      </c>
      <c r="AC3" s="337" t="inlineStr">
        <is>
          <t>2027E
Annual</t>
        </is>
      </c>
      <c r="AD3" s="336" t="inlineStr">
        <is>
          <t>2028E
Q1</t>
        </is>
      </c>
      <c r="AE3" s="336" t="inlineStr">
        <is>
          <t>2028E
Q2</t>
        </is>
      </c>
      <c r="AF3" s="336" t="inlineStr">
        <is>
          <t>2028E
Q3</t>
        </is>
      </c>
      <c r="AG3" s="336" t="inlineStr">
        <is>
          <t>2028E
Q4</t>
        </is>
      </c>
      <c r="AH3" s="337" t="inlineStr">
        <is>
          <t>2028E
Annual</t>
        </is>
      </c>
      <c r="AI3" s="336" t="inlineStr">
        <is>
          <t>2029E
Q1</t>
        </is>
      </c>
      <c r="AJ3" s="336" t="inlineStr">
        <is>
          <t>2029E
Q2</t>
        </is>
      </c>
      <c r="AK3" s="336" t="inlineStr">
        <is>
          <t>2029E
Q3</t>
        </is>
      </c>
      <c r="AL3" s="336" t="inlineStr">
        <is>
          <t>2029E
Q4</t>
        </is>
      </c>
      <c r="AM3" s="337" t="inlineStr">
        <is>
          <t>2029E
Annual</t>
        </is>
      </c>
      <c r="AN3" s="336" t="inlineStr">
        <is>
          <t>2030E
Q1</t>
        </is>
      </c>
      <c r="AO3" s="336" t="inlineStr">
        <is>
          <t>2030E
Q2</t>
        </is>
      </c>
      <c r="AP3" s="336" t="inlineStr">
        <is>
          <t>2030E
Q3</t>
        </is>
      </c>
      <c r="AQ3" s="336" t="inlineStr">
        <is>
          <t>2030E
Q4</t>
        </is>
      </c>
      <c r="AR3" s="337" t="inlineStr">
        <is>
          <t>2030E
Annual</t>
        </is>
      </c>
    </row>
    <row r="4" ht="4.5" customHeight="1" s="290"/>
    <row r="5" ht="15.75" customHeight="1" s="290">
      <c r="A5" s="338" t="inlineStr">
        <is>
          <t xml:space="preserve">  SECTION — LEASING PRODUCER ENGINE</t>
        </is>
      </c>
    </row>
    <row r="6" ht="3.75" customHeight="1" s="290"/>
    <row r="7" ht="13.5" customHeight="1" s="290">
      <c r="A7" s="348" t="inlineStr">
        <is>
          <t xml:space="preserve">  EPE = Beginning HC + (Hires × Ramp Factor Yr1) − Attrition.  Green rows = links from Tab 03.  Black rows = calculations performed here.  Book Loss GCI Drag = Attrition Count × Book Loss Factor × Mature GCI/EPE placeholder.</t>
        </is>
      </c>
    </row>
    <row r="8" ht="3.75" customHeight="1" s="290"/>
    <row r="9" ht="13.5" customHeight="1" s="290">
      <c r="A9" s="369" t="inlineStr">
        <is>
          <t xml:space="preserve">    ── Rainmaker ──</t>
        </is>
      </c>
    </row>
    <row r="10" ht="13.5" customHeight="1" s="290">
      <c r="A10" s="339" t="n"/>
      <c r="B10" s="370" t="inlineStr">
        <is>
          <t xml:space="preserve">  Beginning HC — Rainmaker</t>
        </is>
      </c>
      <c r="C10" s="371" t="inlineStr">
        <is>
          <t>#</t>
        </is>
      </c>
      <c r="D10" s="372" t="inlineStr">
        <is>
          <t>← '03 Operational Assumptions' row 11</t>
        </is>
      </c>
      <c r="E10" s="361">
        <f>'03 Operational Assumptions'!E11</f>
        <v/>
      </c>
      <c r="F10" s="361">
        <f>E16</f>
        <v/>
      </c>
      <c r="G10" s="361">
        <f>F16</f>
        <v/>
      </c>
      <c r="H10" s="361">
        <f>G16</f>
        <v/>
      </c>
      <c r="I10" s="361">
        <f>AVERAGE(E10:H10)</f>
        <v/>
      </c>
      <c r="J10" s="361">
        <f>H16</f>
        <v/>
      </c>
      <c r="K10" s="361">
        <f>J16</f>
        <v/>
      </c>
      <c r="L10" s="361">
        <f>K16</f>
        <v/>
      </c>
      <c r="M10" s="361">
        <f>L16</f>
        <v/>
      </c>
      <c r="N10" s="361">
        <f>AVERAGE(J10:M10)</f>
        <v/>
      </c>
      <c r="O10" s="361">
        <f>M16</f>
        <v/>
      </c>
      <c r="P10" s="361">
        <f>O16</f>
        <v/>
      </c>
      <c r="Q10" s="361">
        <f>P16</f>
        <v/>
      </c>
      <c r="R10" s="361">
        <f>Q16</f>
        <v/>
      </c>
      <c r="S10" s="361">
        <f>AVERAGE(O10:R10)</f>
        <v/>
      </c>
      <c r="T10" s="361">
        <f>R16</f>
        <v/>
      </c>
      <c r="U10" s="361">
        <f>T16</f>
        <v/>
      </c>
      <c r="V10" s="361">
        <f>U16</f>
        <v/>
      </c>
      <c r="W10" s="361">
        <f>V16</f>
        <v/>
      </c>
      <c r="X10" s="361">
        <f>AVERAGE(T10:W10)</f>
        <v/>
      </c>
      <c r="Y10" s="361">
        <f>W16</f>
        <v/>
      </c>
      <c r="Z10" s="361">
        <f>Y16</f>
        <v/>
      </c>
      <c r="AA10" s="361">
        <f>Z16</f>
        <v/>
      </c>
      <c r="AB10" s="361">
        <f>AA16</f>
        <v/>
      </c>
      <c r="AC10" s="361">
        <f>AVERAGE(Y10:AB10)</f>
        <v/>
      </c>
      <c r="AD10" s="361">
        <f>AB16</f>
        <v/>
      </c>
      <c r="AE10" s="361">
        <f>AD16</f>
        <v/>
      </c>
      <c r="AF10" s="361">
        <f>AE16</f>
        <v/>
      </c>
      <c r="AG10" s="361">
        <f>AF16</f>
        <v/>
      </c>
      <c r="AH10" s="361">
        <f>AVERAGE(AD10:AG10)</f>
        <v/>
      </c>
      <c r="AI10" s="361">
        <f>AG16</f>
        <v/>
      </c>
      <c r="AJ10" s="361">
        <f>AI16</f>
        <v/>
      </c>
      <c r="AK10" s="361">
        <f>AJ16</f>
        <v/>
      </c>
      <c r="AL10" s="361">
        <f>AK16</f>
        <v/>
      </c>
      <c r="AM10" s="361">
        <f>AVERAGE(AI10:AL10)</f>
        <v/>
      </c>
      <c r="AN10" s="361">
        <f>AL16</f>
        <v/>
      </c>
      <c r="AO10" s="361">
        <f>AN16</f>
        <v/>
      </c>
      <c r="AP10" s="361">
        <f>AO16</f>
        <v/>
      </c>
      <c r="AQ10" s="361">
        <f>AP16</f>
        <v/>
      </c>
      <c r="AR10" s="361">
        <f>AVERAGE(AN10:AQ10)</f>
        <v/>
      </c>
    </row>
    <row r="11" ht="13.5" customHeight="1" s="290">
      <c r="A11" s="339" t="n"/>
      <c r="B11" s="370" t="inlineStr">
        <is>
          <t xml:space="preserve">  Gross Hires / Qtr — Rainmaker</t>
        </is>
      </c>
      <c r="C11" s="371" t="inlineStr">
        <is>
          <t>#/qtr</t>
        </is>
      </c>
      <c r="D11" s="372" t="inlineStr">
        <is>
          <t>← '03 Operational Assumptions' row 15 (Active)</t>
        </is>
      </c>
      <c r="E11" s="361">
        <f>'03 Operational Assumptions'!E15</f>
        <v/>
      </c>
      <c r="F11" s="361">
        <f>'03 Operational Assumptions'!F15</f>
        <v/>
      </c>
      <c r="G11" s="361">
        <f>'03 Operational Assumptions'!G15</f>
        <v/>
      </c>
      <c r="H11" s="361">
        <f>'03 Operational Assumptions'!H15</f>
        <v/>
      </c>
      <c r="I11" s="361">
        <f>SUM(E11:H11)</f>
        <v/>
      </c>
      <c r="J11" s="361">
        <f>'03 Operational Assumptions'!J15</f>
        <v/>
      </c>
      <c r="K11" s="361">
        <f>'03 Operational Assumptions'!K15</f>
        <v/>
      </c>
      <c r="L11" s="361">
        <f>'03 Operational Assumptions'!L15</f>
        <v/>
      </c>
      <c r="M11" s="361">
        <f>'03 Operational Assumptions'!M15</f>
        <v/>
      </c>
      <c r="N11" s="361">
        <f>SUM(J11:M11)</f>
        <v/>
      </c>
      <c r="O11" s="361">
        <f>'03 Operational Assumptions'!O15</f>
        <v/>
      </c>
      <c r="P11" s="361">
        <f>'03 Operational Assumptions'!P15</f>
        <v/>
      </c>
      <c r="Q11" s="361">
        <f>'03 Operational Assumptions'!Q15</f>
        <v/>
      </c>
      <c r="R11" s="361">
        <f>'03 Operational Assumptions'!R15</f>
        <v/>
      </c>
      <c r="S11" s="361">
        <f>SUM(O11:R11)</f>
        <v/>
      </c>
      <c r="T11" s="361">
        <f>'03 Operational Assumptions'!T15</f>
        <v/>
      </c>
      <c r="U11" s="361">
        <f>'03 Operational Assumptions'!U15</f>
        <v/>
      </c>
      <c r="V11" s="361">
        <f>'03 Operational Assumptions'!V15</f>
        <v/>
      </c>
      <c r="W11" s="361">
        <f>'03 Operational Assumptions'!W15</f>
        <v/>
      </c>
      <c r="X11" s="361">
        <f>SUM(T11:W11)</f>
        <v/>
      </c>
      <c r="Y11" s="361">
        <f>'03 Operational Assumptions'!Y15</f>
        <v/>
      </c>
      <c r="Z11" s="361">
        <f>'03 Operational Assumptions'!Z15</f>
        <v/>
      </c>
      <c r="AA11" s="361">
        <f>'03 Operational Assumptions'!AA15</f>
        <v/>
      </c>
      <c r="AB11" s="361">
        <f>'03 Operational Assumptions'!AB15</f>
        <v/>
      </c>
      <c r="AC11" s="361">
        <f>SUM(Y11:AB11)</f>
        <v/>
      </c>
      <c r="AD11" s="361">
        <f>'03 Operational Assumptions'!AD15</f>
        <v/>
      </c>
      <c r="AE11" s="361">
        <f>'03 Operational Assumptions'!AE15</f>
        <v/>
      </c>
      <c r="AF11" s="361">
        <f>'03 Operational Assumptions'!AF15</f>
        <v/>
      </c>
      <c r="AG11" s="361">
        <f>'03 Operational Assumptions'!AG15</f>
        <v/>
      </c>
      <c r="AH11" s="361">
        <f>SUM(AD11:AG11)</f>
        <v/>
      </c>
      <c r="AI11" s="361">
        <f>'03 Operational Assumptions'!AI15</f>
        <v/>
      </c>
      <c r="AJ11" s="361">
        <f>'03 Operational Assumptions'!AJ15</f>
        <v/>
      </c>
      <c r="AK11" s="361">
        <f>'03 Operational Assumptions'!AK15</f>
        <v/>
      </c>
      <c r="AL11" s="361">
        <f>'03 Operational Assumptions'!AL15</f>
        <v/>
      </c>
      <c r="AM11" s="361">
        <f>SUM(AI11:AL11)</f>
        <v/>
      </c>
      <c r="AN11" s="361">
        <f>'03 Operational Assumptions'!AN15</f>
        <v/>
      </c>
      <c r="AO11" s="361">
        <f>'03 Operational Assumptions'!AO15</f>
        <v/>
      </c>
      <c r="AP11" s="361">
        <f>'03 Operational Assumptions'!AP15</f>
        <v/>
      </c>
      <c r="AQ11" s="361">
        <f>'03 Operational Assumptions'!AQ15</f>
        <v/>
      </c>
      <c r="AR11" s="361">
        <f>SUM(AN11:AQ11)</f>
        <v/>
      </c>
    </row>
    <row r="12" ht="13.5" customHeight="1" s="290">
      <c r="A12" s="339" t="n"/>
      <c r="B12" s="370" t="inlineStr">
        <is>
          <t xml:space="preserve">  Attrition Rate — Rainmaker</t>
        </is>
      </c>
      <c r="C12" s="371" t="inlineStr">
        <is>
          <t>%/qtr</t>
        </is>
      </c>
      <c r="D12" s="372" t="inlineStr">
        <is>
          <t>← '03 Operational Assumptions' row 19 (Active)</t>
        </is>
      </c>
      <c r="E12" s="361">
        <f>'03 Operational Assumptions'!E19</f>
        <v/>
      </c>
      <c r="F12" s="361">
        <f>'03 Operational Assumptions'!F19</f>
        <v/>
      </c>
      <c r="G12" s="361">
        <f>'03 Operational Assumptions'!G19</f>
        <v/>
      </c>
      <c r="H12" s="361">
        <f>'03 Operational Assumptions'!H19</f>
        <v/>
      </c>
      <c r="I12" s="361">
        <f>AVERAGE(E12:H12)</f>
        <v/>
      </c>
      <c r="J12" s="361">
        <f>'03 Operational Assumptions'!J19</f>
        <v/>
      </c>
      <c r="K12" s="361">
        <f>'03 Operational Assumptions'!K19</f>
        <v/>
      </c>
      <c r="L12" s="361">
        <f>'03 Operational Assumptions'!L19</f>
        <v/>
      </c>
      <c r="M12" s="361">
        <f>'03 Operational Assumptions'!M19</f>
        <v/>
      </c>
      <c r="N12" s="361">
        <f>AVERAGE(J12:M12)</f>
        <v/>
      </c>
      <c r="O12" s="361">
        <f>'03 Operational Assumptions'!O19</f>
        <v/>
      </c>
      <c r="P12" s="361">
        <f>'03 Operational Assumptions'!P19</f>
        <v/>
      </c>
      <c r="Q12" s="361">
        <f>'03 Operational Assumptions'!Q19</f>
        <v/>
      </c>
      <c r="R12" s="361">
        <f>'03 Operational Assumptions'!R19</f>
        <v/>
      </c>
      <c r="S12" s="361">
        <f>AVERAGE(O12:R12)</f>
        <v/>
      </c>
      <c r="T12" s="361">
        <f>'03 Operational Assumptions'!T19</f>
        <v/>
      </c>
      <c r="U12" s="361">
        <f>'03 Operational Assumptions'!U19</f>
        <v/>
      </c>
      <c r="V12" s="361">
        <f>'03 Operational Assumptions'!V19</f>
        <v/>
      </c>
      <c r="W12" s="361">
        <f>'03 Operational Assumptions'!W19</f>
        <v/>
      </c>
      <c r="X12" s="361">
        <f>AVERAGE(T12:W12)</f>
        <v/>
      </c>
      <c r="Y12" s="361">
        <f>'03 Operational Assumptions'!Y19</f>
        <v/>
      </c>
      <c r="Z12" s="361">
        <f>'03 Operational Assumptions'!Z19</f>
        <v/>
      </c>
      <c r="AA12" s="361">
        <f>'03 Operational Assumptions'!AA19</f>
        <v/>
      </c>
      <c r="AB12" s="361">
        <f>'03 Operational Assumptions'!AB19</f>
        <v/>
      </c>
      <c r="AC12" s="361">
        <f>AVERAGE(Y12:AB12)</f>
        <v/>
      </c>
      <c r="AD12" s="361">
        <f>'03 Operational Assumptions'!AD19</f>
        <v/>
      </c>
      <c r="AE12" s="361">
        <f>'03 Operational Assumptions'!AE19</f>
        <v/>
      </c>
      <c r="AF12" s="361">
        <f>'03 Operational Assumptions'!AF19</f>
        <v/>
      </c>
      <c r="AG12" s="361">
        <f>'03 Operational Assumptions'!AG19</f>
        <v/>
      </c>
      <c r="AH12" s="361">
        <f>AVERAGE(AD12:AG12)</f>
        <v/>
      </c>
      <c r="AI12" s="361">
        <f>'03 Operational Assumptions'!AI19</f>
        <v/>
      </c>
      <c r="AJ12" s="361">
        <f>'03 Operational Assumptions'!AJ19</f>
        <v/>
      </c>
      <c r="AK12" s="361">
        <f>'03 Operational Assumptions'!AK19</f>
        <v/>
      </c>
      <c r="AL12" s="361">
        <f>'03 Operational Assumptions'!AL19</f>
        <v/>
      </c>
      <c r="AM12" s="361">
        <f>AVERAGE(AI12:AL12)</f>
        <v/>
      </c>
      <c r="AN12" s="361">
        <f>'03 Operational Assumptions'!AN19</f>
        <v/>
      </c>
      <c r="AO12" s="361">
        <f>'03 Operational Assumptions'!AO19</f>
        <v/>
      </c>
      <c r="AP12" s="361">
        <f>'03 Operational Assumptions'!AP19</f>
        <v/>
      </c>
      <c r="AQ12" s="361">
        <f>'03 Operational Assumptions'!AQ19</f>
        <v/>
      </c>
      <c r="AR12" s="361">
        <f>AVERAGE(AN12:AQ12)</f>
        <v/>
      </c>
    </row>
    <row r="13" ht="13.5" customHeight="1" s="290">
      <c r="A13" s="339" t="n"/>
      <c r="B13" s="373" t="inlineStr">
        <is>
          <t xml:space="preserve">  Attrition Count — Rainmaker</t>
        </is>
      </c>
      <c r="C13" s="374" t="inlineStr">
        <is>
          <t>#/qtr</t>
        </is>
      </c>
      <c r="D13" s="375" t="inlineStr">
        <is>
          <t xml:space="preserve"> attrition rate × Beginning HC</t>
        </is>
      </c>
      <c r="E13" s="376">
        <f>E12*E10</f>
        <v/>
      </c>
      <c r="F13" s="376">
        <f>F12*F10</f>
        <v/>
      </c>
      <c r="G13" s="376">
        <f>G12*G10</f>
        <v/>
      </c>
      <c r="H13" s="376">
        <f>H12*H10</f>
        <v/>
      </c>
      <c r="I13" s="344">
        <f>SUM(E13:H13)</f>
        <v/>
      </c>
      <c r="J13" s="376">
        <f>J12*J10</f>
        <v/>
      </c>
      <c r="K13" s="376">
        <f>K12*K10</f>
        <v/>
      </c>
      <c r="L13" s="376">
        <f>L12*L10</f>
        <v/>
      </c>
      <c r="M13" s="376">
        <f>M12*M10</f>
        <v/>
      </c>
      <c r="N13" s="344">
        <f>SUM(J13:M13)</f>
        <v/>
      </c>
      <c r="O13" s="376">
        <f>O12*O10</f>
        <v/>
      </c>
      <c r="P13" s="376">
        <f>P12*P10</f>
        <v/>
      </c>
      <c r="Q13" s="376">
        <f>Q12*Q10</f>
        <v/>
      </c>
      <c r="R13" s="376">
        <f>R12*R10</f>
        <v/>
      </c>
      <c r="S13" s="344">
        <f>SUM(O13:R13)</f>
        <v/>
      </c>
      <c r="T13" s="376">
        <f>T12*T10</f>
        <v/>
      </c>
      <c r="U13" s="376">
        <f>U12*U10</f>
        <v/>
      </c>
      <c r="V13" s="376">
        <f>V12*V10</f>
        <v/>
      </c>
      <c r="W13" s="376">
        <f>W12*W10</f>
        <v/>
      </c>
      <c r="X13" s="344">
        <f>SUM(T13:W13)</f>
        <v/>
      </c>
      <c r="Y13" s="376">
        <f>Y12*Y10</f>
        <v/>
      </c>
      <c r="Z13" s="376">
        <f>Z12*Z10</f>
        <v/>
      </c>
      <c r="AA13" s="376">
        <f>AA12*AA10</f>
        <v/>
      </c>
      <c r="AB13" s="376">
        <f>AB12*AB10</f>
        <v/>
      </c>
      <c r="AC13" s="344">
        <f>SUM(Y13:AB13)</f>
        <v/>
      </c>
      <c r="AD13" s="376">
        <f>AD12*AD10</f>
        <v/>
      </c>
      <c r="AE13" s="376">
        <f>AE12*AE10</f>
        <v/>
      </c>
      <c r="AF13" s="376">
        <f>AF12*AF10</f>
        <v/>
      </c>
      <c r="AG13" s="376">
        <f>AG12*AG10</f>
        <v/>
      </c>
      <c r="AH13" s="344">
        <f>SUM(AD13:AG13)</f>
        <v/>
      </c>
      <c r="AI13" s="376">
        <f>AI12*AI10</f>
        <v/>
      </c>
      <c r="AJ13" s="376">
        <f>AJ12*AJ10</f>
        <v/>
      </c>
      <c r="AK13" s="376">
        <f>AK12*AK10</f>
        <v/>
      </c>
      <c r="AL13" s="376">
        <f>AL12*AL10</f>
        <v/>
      </c>
      <c r="AM13" s="344">
        <f>SUM(AI13:AL13)</f>
        <v/>
      </c>
      <c r="AN13" s="376">
        <f>AN12*AN10</f>
        <v/>
      </c>
      <c r="AO13" s="376">
        <f>AO12*AO10</f>
        <v/>
      </c>
      <c r="AP13" s="376">
        <f>AP12*AP10</f>
        <v/>
      </c>
      <c r="AQ13" s="376">
        <f>AQ12*AQ10</f>
        <v/>
      </c>
      <c r="AR13" s="344">
        <f>SUM(AN13:AQ13)</f>
        <v/>
      </c>
    </row>
    <row r="14" ht="13.5" customHeight="1" s="290">
      <c r="A14" s="339" t="n"/>
      <c r="B14" s="370" t="inlineStr">
        <is>
          <t xml:space="preserve">  Ramp Factor Yr1 — Rainmaker</t>
        </is>
      </c>
      <c r="C14" s="371" t="inlineStr">
        <is>
          <t>% of mature</t>
        </is>
      </c>
      <c r="D14" s="372" t="inlineStr">
        <is>
          <t>← '03 Operational Assumptions' row 153 col E (Yr1 ramp)</t>
        </is>
      </c>
      <c r="E14" s="361">
        <f>'03 Operational Assumptions'!E153</f>
        <v/>
      </c>
      <c r="F14" s="361">
        <f>'03 Operational Assumptions'!E153</f>
        <v/>
      </c>
      <c r="G14" s="361">
        <f>'03 Operational Assumptions'!E153</f>
        <v/>
      </c>
      <c r="H14" s="361">
        <f>'03 Operational Assumptions'!E153</f>
        <v/>
      </c>
      <c r="I14" s="361">
        <f>AVERAGE(E14:H14)</f>
        <v/>
      </c>
      <c r="J14" s="361">
        <f>'03 Operational Assumptions'!E153</f>
        <v/>
      </c>
      <c r="K14" s="361">
        <f>'03 Operational Assumptions'!E153</f>
        <v/>
      </c>
      <c r="L14" s="361">
        <f>'03 Operational Assumptions'!E153</f>
        <v/>
      </c>
      <c r="M14" s="361">
        <f>'03 Operational Assumptions'!E153</f>
        <v/>
      </c>
      <c r="N14" s="361">
        <f>AVERAGE(J14:M14)</f>
        <v/>
      </c>
      <c r="O14" s="361">
        <f>'03 Operational Assumptions'!E153</f>
        <v/>
      </c>
      <c r="P14" s="361">
        <f>'03 Operational Assumptions'!E153</f>
        <v/>
      </c>
      <c r="Q14" s="361">
        <f>'03 Operational Assumptions'!E153</f>
        <v/>
      </c>
      <c r="R14" s="361">
        <f>'03 Operational Assumptions'!E153</f>
        <v/>
      </c>
      <c r="S14" s="361">
        <f>AVERAGE(O14:R14)</f>
        <v/>
      </c>
      <c r="T14" s="361">
        <f>'03 Operational Assumptions'!E153</f>
        <v/>
      </c>
      <c r="U14" s="361">
        <f>'03 Operational Assumptions'!E153</f>
        <v/>
      </c>
      <c r="V14" s="361">
        <f>'03 Operational Assumptions'!E153</f>
        <v/>
      </c>
      <c r="W14" s="361">
        <f>'03 Operational Assumptions'!E153</f>
        <v/>
      </c>
      <c r="X14" s="361">
        <f>AVERAGE(T14:W14)</f>
        <v/>
      </c>
      <c r="Y14" s="361">
        <f>'03 Operational Assumptions'!E153</f>
        <v/>
      </c>
      <c r="Z14" s="361">
        <f>'03 Operational Assumptions'!E153</f>
        <v/>
      </c>
      <c r="AA14" s="361">
        <f>'03 Operational Assumptions'!E153</f>
        <v/>
      </c>
      <c r="AB14" s="361">
        <f>'03 Operational Assumptions'!E153</f>
        <v/>
      </c>
      <c r="AC14" s="361">
        <f>AVERAGE(Y14:AB14)</f>
        <v/>
      </c>
      <c r="AD14" s="361">
        <f>'03 Operational Assumptions'!E153</f>
        <v/>
      </c>
      <c r="AE14" s="361">
        <f>'03 Operational Assumptions'!E153</f>
        <v/>
      </c>
      <c r="AF14" s="361">
        <f>'03 Operational Assumptions'!E153</f>
        <v/>
      </c>
      <c r="AG14" s="361">
        <f>'03 Operational Assumptions'!E153</f>
        <v/>
      </c>
      <c r="AH14" s="361">
        <f>AVERAGE(AD14:AG14)</f>
        <v/>
      </c>
      <c r="AI14" s="361">
        <f>'03 Operational Assumptions'!E153</f>
        <v/>
      </c>
      <c r="AJ14" s="361">
        <f>'03 Operational Assumptions'!E153</f>
        <v/>
      </c>
      <c r="AK14" s="361">
        <f>'03 Operational Assumptions'!E153</f>
        <v/>
      </c>
      <c r="AL14" s="361">
        <f>'03 Operational Assumptions'!E153</f>
        <v/>
      </c>
      <c r="AM14" s="361">
        <f>AVERAGE(AI14:AL14)</f>
        <v/>
      </c>
      <c r="AN14" s="361">
        <f>'03 Operational Assumptions'!E153</f>
        <v/>
      </c>
      <c r="AO14" s="361">
        <f>'03 Operational Assumptions'!E153</f>
        <v/>
      </c>
      <c r="AP14" s="361">
        <f>'03 Operational Assumptions'!E153</f>
        <v/>
      </c>
      <c r="AQ14" s="361">
        <f>'03 Operational Assumptions'!E153</f>
        <v/>
      </c>
      <c r="AR14" s="361">
        <f>AVERAGE(AN14:AQ14)</f>
        <v/>
      </c>
    </row>
    <row r="15" ht="13.5" customHeight="1" s="290">
      <c r="A15" s="339" t="n"/>
      <c r="B15" s="377" t="inlineStr">
        <is>
          <t xml:space="preserve">  ★ EPE — Rainmaker</t>
        </is>
      </c>
      <c r="C15" s="378" t="inlineStr">
        <is>
          <t>EPE</t>
        </is>
      </c>
      <c r="D15" s="375" t="inlineStr">
        <is>
          <t xml:space="preserve"> MAX(0, beg hc + (hires × Ramp) − Attrition)))</t>
        </is>
      </c>
      <c r="E15" s="379">
        <f>MAX(0,E10+(E11*E14)-E13)</f>
        <v/>
      </c>
      <c r="F15" s="379">
        <f>MAX(0,F10+(F11*F14)-F13)</f>
        <v/>
      </c>
      <c r="G15" s="379">
        <f>MAX(0,G10+(G11*G14)-G13)</f>
        <v/>
      </c>
      <c r="H15" s="379">
        <f>MAX(0,H10+(H11*H14)-H13)</f>
        <v/>
      </c>
      <c r="I15" s="379">
        <f>AVERAGE(E15:H15)</f>
        <v/>
      </c>
      <c r="J15" s="379">
        <f>MAX(0,J10+(J11*J14)-J13)</f>
        <v/>
      </c>
      <c r="K15" s="379">
        <f>MAX(0,K10+(K11*K14)-K13)</f>
        <v/>
      </c>
      <c r="L15" s="379">
        <f>MAX(0,L10+(L11*L14)-L13)</f>
        <v/>
      </c>
      <c r="M15" s="379">
        <f>MAX(0,M10+(M11*M14)-M13)</f>
        <v/>
      </c>
      <c r="N15" s="379">
        <f>AVERAGE(J15:M15)</f>
        <v/>
      </c>
      <c r="O15" s="379">
        <f>MAX(0,O10+(O11*O14)-O13)</f>
        <v/>
      </c>
      <c r="P15" s="379">
        <f>MAX(0,P10+(P11*P14)-P13)</f>
        <v/>
      </c>
      <c r="Q15" s="379">
        <f>MAX(0,Q10+(Q11*Q14)-Q13)</f>
        <v/>
      </c>
      <c r="R15" s="379">
        <f>MAX(0,R10+(R11*R14)-R13)</f>
        <v/>
      </c>
      <c r="S15" s="379">
        <f>AVERAGE(O15:R15)</f>
        <v/>
      </c>
      <c r="T15" s="379">
        <f>MAX(0,T10+(T11*T14)-T13)</f>
        <v/>
      </c>
      <c r="U15" s="379">
        <f>MAX(0,U10+(U11*U14)-U13)</f>
        <v/>
      </c>
      <c r="V15" s="379">
        <f>MAX(0,V10+(V11*V14)-V13)</f>
        <v/>
      </c>
      <c r="W15" s="379">
        <f>MAX(0,W10+(W11*W14)-W13)</f>
        <v/>
      </c>
      <c r="X15" s="379">
        <f>AVERAGE(T15:W15)</f>
        <v/>
      </c>
      <c r="Y15" s="379">
        <f>MAX(0,Y10+(Y11*Y14)-Y13)</f>
        <v/>
      </c>
      <c r="Z15" s="379">
        <f>MAX(0,Z10+(Z11*Z14)-Z13)</f>
        <v/>
      </c>
      <c r="AA15" s="379">
        <f>MAX(0,AA10+(AA11*AA14)-AA13)</f>
        <v/>
      </c>
      <c r="AB15" s="379">
        <f>MAX(0,AB10+(AB11*AB14)-AB13)</f>
        <v/>
      </c>
      <c r="AC15" s="379">
        <f>AVERAGE(Y15:AB15)</f>
        <v/>
      </c>
      <c r="AD15" s="379">
        <f>MAX(0,AD10+(AD11*AD14)-AD13)</f>
        <v/>
      </c>
      <c r="AE15" s="379">
        <f>MAX(0,AE10+(AE11*AE14)-AE13)</f>
        <v/>
      </c>
      <c r="AF15" s="379">
        <f>MAX(0,AF10+(AF11*AF14)-AF13)</f>
        <v/>
      </c>
      <c r="AG15" s="379">
        <f>MAX(0,AG10+(AG11*AG14)-AG13)</f>
        <v/>
      </c>
      <c r="AH15" s="379">
        <f>AVERAGE(AD15:AG15)</f>
        <v/>
      </c>
      <c r="AI15" s="379">
        <f>MAX(0,AI10+(AI11*AI14)-AI13)</f>
        <v/>
      </c>
      <c r="AJ15" s="379">
        <f>MAX(0,AJ10+(AJ11*AJ14)-AJ13)</f>
        <v/>
      </c>
      <c r="AK15" s="379">
        <f>MAX(0,AK10+(AK11*AK14)-AK13)</f>
        <v/>
      </c>
      <c r="AL15" s="379">
        <f>MAX(0,AL10+(AL11*AL14)-AL13)</f>
        <v/>
      </c>
      <c r="AM15" s="379">
        <f>AVERAGE(AI15:AL15)</f>
        <v/>
      </c>
      <c r="AN15" s="379">
        <f>MAX(0,AN10+(AN11*AN14)-AN13)</f>
        <v/>
      </c>
      <c r="AO15" s="379">
        <f>MAX(0,AO10+(AO11*AO14)-AO13)</f>
        <v/>
      </c>
      <c r="AP15" s="379">
        <f>MAX(0,AP10+(AP11*AP14)-AP13)</f>
        <v/>
      </c>
      <c r="AQ15" s="379">
        <f>MAX(0,AQ10+(AQ11*AQ14)-AQ13)</f>
        <v/>
      </c>
      <c r="AR15" s="379">
        <f>AVERAGE(AN15:AQ15)</f>
        <v/>
      </c>
    </row>
    <row r="16" ht="13.5" customHeight="1" s="290">
      <c r="A16" s="339" t="n"/>
      <c r="B16" s="373" t="inlineStr">
        <is>
          <t xml:space="preserve">  Ending HC — Rainmaker</t>
        </is>
      </c>
      <c r="C16" s="374" t="inlineStr">
        <is>
          <t>#</t>
        </is>
      </c>
      <c r="D16" s="375" t="inlineStr">
        <is>
          <t xml:space="preserve"> MAX(0, beg hc + hires − Attrition Count))</t>
        </is>
      </c>
      <c r="E16" s="376">
        <f>MAX(0,E10+E11-E13)</f>
        <v/>
      </c>
      <c r="F16" s="376">
        <f>MAX(0,F10+F11-F13)</f>
        <v/>
      </c>
      <c r="G16" s="376">
        <f>MAX(0,G10+G11-G13)</f>
        <v/>
      </c>
      <c r="H16" s="376">
        <f>MAX(0,H10+H11-H13)</f>
        <v/>
      </c>
      <c r="I16" s="344">
        <f>AVERAGE(E16:H16)</f>
        <v/>
      </c>
      <c r="J16" s="376">
        <f>MAX(0,J10+J11-J13)</f>
        <v/>
      </c>
      <c r="K16" s="376">
        <f>MAX(0,K10+K11-K13)</f>
        <v/>
      </c>
      <c r="L16" s="376">
        <f>MAX(0,L10+L11-L13)</f>
        <v/>
      </c>
      <c r="M16" s="376">
        <f>MAX(0,M10+M11-M13)</f>
        <v/>
      </c>
      <c r="N16" s="344">
        <f>AVERAGE(J16:M16)</f>
        <v/>
      </c>
      <c r="O16" s="376">
        <f>MAX(0,O10+O11-O13)</f>
        <v/>
      </c>
      <c r="P16" s="376">
        <f>MAX(0,P10+P11-P13)</f>
        <v/>
      </c>
      <c r="Q16" s="376">
        <f>MAX(0,Q10+Q11-Q13)</f>
        <v/>
      </c>
      <c r="R16" s="376">
        <f>MAX(0,R10+R11-R13)</f>
        <v/>
      </c>
      <c r="S16" s="344">
        <f>AVERAGE(O16:R16)</f>
        <v/>
      </c>
      <c r="T16" s="376">
        <f>MAX(0,T10+T11-T13)</f>
        <v/>
      </c>
      <c r="U16" s="376">
        <f>MAX(0,U10+U11-U13)</f>
        <v/>
      </c>
      <c r="V16" s="376">
        <f>MAX(0,V10+V11-V13)</f>
        <v/>
      </c>
      <c r="W16" s="376">
        <f>MAX(0,W10+W11-W13)</f>
        <v/>
      </c>
      <c r="X16" s="344">
        <f>AVERAGE(T16:W16)</f>
        <v/>
      </c>
      <c r="Y16" s="376">
        <f>MAX(0,Y10+Y11-Y13)</f>
        <v/>
      </c>
      <c r="Z16" s="376">
        <f>MAX(0,Z10+Z11-Z13)</f>
        <v/>
      </c>
      <c r="AA16" s="376">
        <f>MAX(0,AA10+AA11-AA13)</f>
        <v/>
      </c>
      <c r="AB16" s="376">
        <f>MAX(0,AB10+AB11-AB13)</f>
        <v/>
      </c>
      <c r="AC16" s="344">
        <f>AVERAGE(Y16:AB16)</f>
        <v/>
      </c>
      <c r="AD16" s="376">
        <f>MAX(0,AD10+AD11-AD13)</f>
        <v/>
      </c>
      <c r="AE16" s="376">
        <f>MAX(0,AE10+AE11-AE13)</f>
        <v/>
      </c>
      <c r="AF16" s="376">
        <f>MAX(0,AF10+AF11-AF13)</f>
        <v/>
      </c>
      <c r="AG16" s="376">
        <f>MAX(0,AG10+AG11-AG13)</f>
        <v/>
      </c>
      <c r="AH16" s="344">
        <f>AVERAGE(AD16:AG16)</f>
        <v/>
      </c>
      <c r="AI16" s="376">
        <f>MAX(0,AI10+AI11-AI13)</f>
        <v/>
      </c>
      <c r="AJ16" s="376">
        <f>MAX(0,AJ10+AJ11-AJ13)</f>
        <v/>
      </c>
      <c r="AK16" s="376">
        <f>MAX(0,AK10+AK11-AK13)</f>
        <v/>
      </c>
      <c r="AL16" s="376">
        <f>MAX(0,AL10+AL11-AL13)</f>
        <v/>
      </c>
      <c r="AM16" s="344">
        <f>AVERAGE(AI16:AL16)</f>
        <v/>
      </c>
      <c r="AN16" s="376">
        <f>MAX(0,AN10+AN11-AN13)</f>
        <v/>
      </c>
      <c r="AO16" s="376">
        <f>MAX(0,AO10+AO11-AO13)</f>
        <v/>
      </c>
      <c r="AP16" s="376">
        <f>MAX(0,AP10+AP11-AP13)</f>
        <v/>
      </c>
      <c r="AQ16" s="376">
        <f>MAX(0,AQ10+AQ11-AQ13)</f>
        <v/>
      </c>
      <c r="AR16" s="344">
        <f>AVERAGE(AN16:AQ16)</f>
        <v/>
      </c>
    </row>
    <row r="17" ht="13.5" customHeight="1" s="290">
      <c r="A17" s="339" t="n"/>
      <c r="B17" s="373" t="inlineStr">
        <is>
          <t xml:space="preserve">  Ramp Drag — Rainmaker</t>
        </is>
      </c>
      <c r="C17" s="374" t="inlineStr">
        <is>
          <t>#</t>
        </is>
      </c>
      <c r="D17" s="375" t="inlineStr">
        <is>
          <t xml:space="preserve"> ending hc − EPE  (un-ramped producer count)</t>
        </is>
      </c>
      <c r="E17" s="376">
        <f>MAX(0,E16-E15)</f>
        <v/>
      </c>
      <c r="F17" s="376">
        <f>MAX(0,F16-F15)</f>
        <v/>
      </c>
      <c r="G17" s="376">
        <f>MAX(0,G16-G15)</f>
        <v/>
      </c>
      <c r="H17" s="376">
        <f>MAX(0,H16-H15)</f>
        <v/>
      </c>
      <c r="I17" s="344">
        <f>SUM(E17:H17)</f>
        <v/>
      </c>
      <c r="J17" s="376">
        <f>MAX(0,J16-J15)</f>
        <v/>
      </c>
      <c r="K17" s="376">
        <f>MAX(0,K16-K15)</f>
        <v/>
      </c>
      <c r="L17" s="376">
        <f>MAX(0,L16-L15)</f>
        <v/>
      </c>
      <c r="M17" s="376">
        <f>MAX(0,M16-M15)</f>
        <v/>
      </c>
      <c r="N17" s="344">
        <f>SUM(J17:M17)</f>
        <v/>
      </c>
      <c r="O17" s="376">
        <f>MAX(0,O16-O15)</f>
        <v/>
      </c>
      <c r="P17" s="376">
        <f>MAX(0,P16-P15)</f>
        <v/>
      </c>
      <c r="Q17" s="376">
        <f>MAX(0,Q16-Q15)</f>
        <v/>
      </c>
      <c r="R17" s="376">
        <f>MAX(0,R16-R15)</f>
        <v/>
      </c>
      <c r="S17" s="344">
        <f>SUM(O17:R17)</f>
        <v/>
      </c>
      <c r="T17" s="376">
        <f>MAX(0,T16-T15)</f>
        <v/>
      </c>
      <c r="U17" s="376">
        <f>MAX(0,U16-U15)</f>
        <v/>
      </c>
      <c r="V17" s="376">
        <f>MAX(0,V16-V15)</f>
        <v/>
      </c>
      <c r="W17" s="376">
        <f>MAX(0,W16-W15)</f>
        <v/>
      </c>
      <c r="X17" s="344">
        <f>SUM(T17:W17)</f>
        <v/>
      </c>
      <c r="Y17" s="376">
        <f>MAX(0,Y16-Y15)</f>
        <v/>
      </c>
      <c r="Z17" s="376">
        <f>MAX(0,Z16-Z15)</f>
        <v/>
      </c>
      <c r="AA17" s="376">
        <f>MAX(0,AA16-AA15)</f>
        <v/>
      </c>
      <c r="AB17" s="376">
        <f>MAX(0,AB16-AB15)</f>
        <v/>
      </c>
      <c r="AC17" s="344">
        <f>SUM(Y17:AB17)</f>
        <v/>
      </c>
      <c r="AD17" s="376">
        <f>MAX(0,AD16-AD15)</f>
        <v/>
      </c>
      <c r="AE17" s="376">
        <f>MAX(0,AE16-AE15)</f>
        <v/>
      </c>
      <c r="AF17" s="376">
        <f>MAX(0,AF16-AF15)</f>
        <v/>
      </c>
      <c r="AG17" s="376">
        <f>MAX(0,AG16-AG15)</f>
        <v/>
      </c>
      <c r="AH17" s="344">
        <f>SUM(AD17:AG17)</f>
        <v/>
      </c>
      <c r="AI17" s="376">
        <f>MAX(0,AI16-AI15)</f>
        <v/>
      </c>
      <c r="AJ17" s="376">
        <f>MAX(0,AJ16-AJ15)</f>
        <v/>
      </c>
      <c r="AK17" s="376">
        <f>MAX(0,AK16-AK15)</f>
        <v/>
      </c>
      <c r="AL17" s="376">
        <f>MAX(0,AL16-AL15)</f>
        <v/>
      </c>
      <c r="AM17" s="344">
        <f>SUM(AI17:AL17)</f>
        <v/>
      </c>
      <c r="AN17" s="376">
        <f>MAX(0,AN16-AN15)</f>
        <v/>
      </c>
      <c r="AO17" s="376">
        <f>MAX(0,AO16-AO15)</f>
        <v/>
      </c>
      <c r="AP17" s="376">
        <f>MAX(0,AP16-AP15)</f>
        <v/>
      </c>
      <c r="AQ17" s="376">
        <f>MAX(0,AQ16-AQ15)</f>
        <v/>
      </c>
      <c r="AR17" s="344">
        <f>SUM(AN17:AQ17)</f>
        <v/>
      </c>
    </row>
    <row r="18" ht="13.5" customHeight="1" s="290">
      <c r="A18" s="339" t="n"/>
      <c r="B18" s="370" t="inlineStr">
        <is>
          <t xml:space="preserve">  Book Loss Factor — Rainmaker</t>
        </is>
      </c>
      <c r="C18" s="371" t="inlineStr">
        <is>
          <t>%</t>
        </is>
      </c>
      <c r="D18" s="372" t="inlineStr">
        <is>
          <t>← '03 Operational Assumptions' row 162 col E</t>
        </is>
      </c>
      <c r="E18" s="361">
        <f>'03 Operational Assumptions'!E162</f>
        <v/>
      </c>
      <c r="F18" s="361">
        <f>'03 Operational Assumptions'!E162</f>
        <v/>
      </c>
      <c r="G18" s="361">
        <f>'03 Operational Assumptions'!E162</f>
        <v/>
      </c>
      <c r="H18" s="361">
        <f>'03 Operational Assumptions'!E162</f>
        <v/>
      </c>
      <c r="I18" s="361">
        <f>AVERAGE(E18:H18)</f>
        <v/>
      </c>
      <c r="J18" s="361">
        <f>'03 Operational Assumptions'!E162</f>
        <v/>
      </c>
      <c r="K18" s="361">
        <f>'03 Operational Assumptions'!E162</f>
        <v/>
      </c>
      <c r="L18" s="361">
        <f>'03 Operational Assumptions'!E162</f>
        <v/>
      </c>
      <c r="M18" s="361">
        <f>'03 Operational Assumptions'!E162</f>
        <v/>
      </c>
      <c r="N18" s="361">
        <f>AVERAGE(J18:M18)</f>
        <v/>
      </c>
      <c r="O18" s="361">
        <f>'03 Operational Assumptions'!E162</f>
        <v/>
      </c>
      <c r="P18" s="361">
        <f>'03 Operational Assumptions'!E162</f>
        <v/>
      </c>
      <c r="Q18" s="361">
        <f>'03 Operational Assumptions'!E162</f>
        <v/>
      </c>
      <c r="R18" s="361">
        <f>'03 Operational Assumptions'!E162</f>
        <v/>
      </c>
      <c r="S18" s="361">
        <f>AVERAGE(O18:R18)</f>
        <v/>
      </c>
      <c r="T18" s="361">
        <f>'03 Operational Assumptions'!E162</f>
        <v/>
      </c>
      <c r="U18" s="361">
        <f>'03 Operational Assumptions'!E162</f>
        <v/>
      </c>
      <c r="V18" s="361">
        <f>'03 Operational Assumptions'!E162</f>
        <v/>
      </c>
      <c r="W18" s="361">
        <f>'03 Operational Assumptions'!E162</f>
        <v/>
      </c>
      <c r="X18" s="361">
        <f>AVERAGE(T18:W18)</f>
        <v/>
      </c>
      <c r="Y18" s="361">
        <f>'03 Operational Assumptions'!E162</f>
        <v/>
      </c>
      <c r="Z18" s="361">
        <f>'03 Operational Assumptions'!E162</f>
        <v/>
      </c>
      <c r="AA18" s="361">
        <f>'03 Operational Assumptions'!E162</f>
        <v/>
      </c>
      <c r="AB18" s="361">
        <f>'03 Operational Assumptions'!E162</f>
        <v/>
      </c>
      <c r="AC18" s="361">
        <f>AVERAGE(Y18:AB18)</f>
        <v/>
      </c>
      <c r="AD18" s="361">
        <f>'03 Operational Assumptions'!E162</f>
        <v/>
      </c>
      <c r="AE18" s="361">
        <f>'03 Operational Assumptions'!E162</f>
        <v/>
      </c>
      <c r="AF18" s="361">
        <f>'03 Operational Assumptions'!E162</f>
        <v/>
      </c>
      <c r="AG18" s="361">
        <f>'03 Operational Assumptions'!E162</f>
        <v/>
      </c>
      <c r="AH18" s="361">
        <f>AVERAGE(AD18:AG18)</f>
        <v/>
      </c>
      <c r="AI18" s="361">
        <f>'03 Operational Assumptions'!E162</f>
        <v/>
      </c>
      <c r="AJ18" s="361">
        <f>'03 Operational Assumptions'!E162</f>
        <v/>
      </c>
      <c r="AK18" s="361">
        <f>'03 Operational Assumptions'!E162</f>
        <v/>
      </c>
      <c r="AL18" s="361">
        <f>'03 Operational Assumptions'!E162</f>
        <v/>
      </c>
      <c r="AM18" s="361">
        <f>AVERAGE(AI18:AL18)</f>
        <v/>
      </c>
      <c r="AN18" s="361">
        <f>'03 Operational Assumptions'!E162</f>
        <v/>
      </c>
      <c r="AO18" s="361">
        <f>'03 Operational Assumptions'!E162</f>
        <v/>
      </c>
      <c r="AP18" s="361">
        <f>'03 Operational Assumptions'!E162</f>
        <v/>
      </c>
      <c r="AQ18" s="361">
        <f>'03 Operational Assumptions'!E162</f>
        <v/>
      </c>
      <c r="AR18" s="361">
        <f>AVERAGE(AN18:AQ18)</f>
        <v/>
      </c>
    </row>
    <row r="19" ht="13.5" customHeight="1" s="290">
      <c r="B19" s="380" t="inlineStr">
        <is>
          <t xml:space="preserve">  Mature GCI / EPE — Rainmaker  [Placeholder]</t>
        </is>
      </c>
      <c r="C19" s="381" t="inlineStr">
        <is>
          <t>$K/EPE</t>
        </is>
      </c>
      <c r="D19" s="382" t="inlineStr">
        <is>
          <t>V1 MANUAL INPUT: Enter annualized GCI/EPE ($K) for this tier after Tab 05 is run. Book-loss drag = 0 until populated. No circular reference risk — this is a one-way input.</t>
        </is>
      </c>
      <c r="E19" s="383" t="n">
        <v>0</v>
      </c>
      <c r="F19" s="383" t="n">
        <v>0</v>
      </c>
      <c r="G19" s="383" t="n">
        <v>0</v>
      </c>
      <c r="H19" s="383" t="n">
        <v>0</v>
      </c>
      <c r="I19" s="384">
        <f>AVERAGE(E19:H19)</f>
        <v/>
      </c>
      <c r="J19" s="383" t="n">
        <v>0</v>
      </c>
      <c r="K19" s="383" t="n">
        <v>0</v>
      </c>
      <c r="L19" s="383" t="n">
        <v>0</v>
      </c>
      <c r="M19" s="383" t="n">
        <v>0</v>
      </c>
      <c r="N19" s="384">
        <f>AVERAGE(J19:M19)</f>
        <v/>
      </c>
      <c r="O19" s="383" t="n">
        <v>0</v>
      </c>
      <c r="P19" s="383" t="n">
        <v>0</v>
      </c>
      <c r="Q19" s="383" t="n">
        <v>0</v>
      </c>
      <c r="R19" s="383" t="n">
        <v>0</v>
      </c>
      <c r="S19" s="384">
        <f>AVERAGE(O19:R19)</f>
        <v/>
      </c>
      <c r="T19" s="383" t="n">
        <v>0</v>
      </c>
      <c r="U19" s="383" t="n">
        <v>0</v>
      </c>
      <c r="V19" s="383" t="n">
        <v>0</v>
      </c>
      <c r="W19" s="383" t="n">
        <v>0</v>
      </c>
      <c r="X19" s="384">
        <f>AVERAGE(T19:W19)</f>
        <v/>
      </c>
      <c r="Y19" s="383" t="n">
        <v>0</v>
      </c>
      <c r="Z19" s="383" t="n">
        <v>0</v>
      </c>
      <c r="AA19" s="383" t="n">
        <v>0</v>
      </c>
      <c r="AB19" s="383" t="n">
        <v>0</v>
      </c>
      <c r="AC19" s="384">
        <f>AVERAGE(Y19:AB19)</f>
        <v/>
      </c>
      <c r="AD19" s="383" t="n">
        <v>0</v>
      </c>
      <c r="AE19" s="383" t="n">
        <v>0</v>
      </c>
      <c r="AF19" s="383" t="n">
        <v>0</v>
      </c>
      <c r="AG19" s="383" t="n">
        <v>0</v>
      </c>
      <c r="AH19" s="384">
        <f>AVERAGE(AD19:AG19)</f>
        <v/>
      </c>
      <c r="AI19" s="383" t="n">
        <v>0</v>
      </c>
      <c r="AJ19" s="383" t="n">
        <v>0</v>
      </c>
      <c r="AK19" s="383" t="n">
        <v>0</v>
      </c>
      <c r="AL19" s="383" t="n">
        <v>0</v>
      </c>
      <c r="AM19" s="384">
        <f>AVERAGE(AI19:AL19)</f>
        <v/>
      </c>
      <c r="AN19" s="383" t="n">
        <v>0</v>
      </c>
      <c r="AO19" s="383" t="n">
        <v>0</v>
      </c>
      <c r="AP19" s="383" t="n">
        <v>0</v>
      </c>
      <c r="AQ19" s="383" t="n">
        <v>0</v>
      </c>
      <c r="AR19" s="384">
        <f>AVERAGE(AN19:AQ19)</f>
        <v/>
      </c>
    </row>
    <row r="20" ht="13.5" customHeight="1" s="290">
      <c r="A20" s="339" t="n"/>
      <c r="B20" s="373" t="inlineStr">
        <is>
          <t xml:space="preserve">  Book Loss GCI Drag — Rainmaker</t>
        </is>
      </c>
      <c r="C20" s="374" t="inlineStr">
        <is>
          <t>$K</t>
        </is>
      </c>
      <c r="D20" s="375" t="inlineStr">
        <is>
          <t xml:space="preserve"> −(Attrition × Book Loss Factor × Mature GCI/EPE)</t>
        </is>
      </c>
      <c r="E20" s="376">
        <f>-MAX(0,E13*E18*E19)</f>
        <v/>
      </c>
      <c r="F20" s="376">
        <f>-MAX(0,F13*F18*F19)</f>
        <v/>
      </c>
      <c r="G20" s="376">
        <f>-MAX(0,G13*G18*G19)</f>
        <v/>
      </c>
      <c r="H20" s="376">
        <f>-MAX(0,H13*H18*H19)</f>
        <v/>
      </c>
      <c r="I20" s="344">
        <f>SUM(E20:H20)</f>
        <v/>
      </c>
      <c r="J20" s="376">
        <f>-MAX(0,J13*J18*J19)</f>
        <v/>
      </c>
      <c r="K20" s="376">
        <f>-MAX(0,K13*K18*K19)</f>
        <v/>
      </c>
      <c r="L20" s="376">
        <f>-MAX(0,L13*L18*L19)</f>
        <v/>
      </c>
      <c r="M20" s="376">
        <f>-MAX(0,M13*M18*M19)</f>
        <v/>
      </c>
      <c r="N20" s="344">
        <f>SUM(J20:M20)</f>
        <v/>
      </c>
      <c r="O20" s="376">
        <f>-MAX(0,O13*O18*O19)</f>
        <v/>
      </c>
      <c r="P20" s="376">
        <f>-MAX(0,P13*P18*P19)</f>
        <v/>
      </c>
      <c r="Q20" s="376">
        <f>-MAX(0,Q13*Q18*Q19)</f>
        <v/>
      </c>
      <c r="R20" s="376">
        <f>-MAX(0,R13*R18*R19)</f>
        <v/>
      </c>
      <c r="S20" s="344">
        <f>SUM(O20:R20)</f>
        <v/>
      </c>
      <c r="T20" s="376">
        <f>-MAX(0,T13*T18*T19)</f>
        <v/>
      </c>
      <c r="U20" s="376">
        <f>-MAX(0,U13*U18*U19)</f>
        <v/>
      </c>
      <c r="V20" s="376">
        <f>-MAX(0,V13*V18*V19)</f>
        <v/>
      </c>
      <c r="W20" s="376">
        <f>-MAX(0,W13*W18*W19)</f>
        <v/>
      </c>
      <c r="X20" s="344">
        <f>SUM(T20:W20)</f>
        <v/>
      </c>
      <c r="Y20" s="376">
        <f>-MAX(0,Y13*Y18*Y19)</f>
        <v/>
      </c>
      <c r="Z20" s="376">
        <f>-MAX(0,Z13*Z18*Z19)</f>
        <v/>
      </c>
      <c r="AA20" s="376">
        <f>-MAX(0,AA13*AA18*AA19)</f>
        <v/>
      </c>
      <c r="AB20" s="376">
        <f>-MAX(0,AB13*AB18*AB19)</f>
        <v/>
      </c>
      <c r="AC20" s="344">
        <f>SUM(Y20:AB20)</f>
        <v/>
      </c>
      <c r="AD20" s="376">
        <f>-MAX(0,AD13*AD18*AD19)</f>
        <v/>
      </c>
      <c r="AE20" s="376">
        <f>-MAX(0,AE13*AE18*AE19)</f>
        <v/>
      </c>
      <c r="AF20" s="376">
        <f>-MAX(0,AF13*AF18*AF19)</f>
        <v/>
      </c>
      <c r="AG20" s="376">
        <f>-MAX(0,AG13*AG18*AG19)</f>
        <v/>
      </c>
      <c r="AH20" s="344">
        <f>SUM(AD20:AG20)</f>
        <v/>
      </c>
      <c r="AI20" s="376">
        <f>-MAX(0,AI13*AI18*AI19)</f>
        <v/>
      </c>
      <c r="AJ20" s="376">
        <f>-MAX(0,AJ13*AJ18*AJ19)</f>
        <v/>
      </c>
      <c r="AK20" s="376">
        <f>-MAX(0,AK13*AK18*AK19)</f>
        <v/>
      </c>
      <c r="AL20" s="376">
        <f>-MAX(0,AL13*AL18*AL19)</f>
        <v/>
      </c>
      <c r="AM20" s="344">
        <f>SUM(AI20:AL20)</f>
        <v/>
      </c>
      <c r="AN20" s="376">
        <f>-MAX(0,AN13*AN18*AN19)</f>
        <v/>
      </c>
      <c r="AO20" s="376">
        <f>-MAX(0,AO13*AO18*AO19)</f>
        <v/>
      </c>
      <c r="AP20" s="376">
        <f>-MAX(0,AP13*AP18*AP19)</f>
        <v/>
      </c>
      <c r="AQ20" s="376">
        <f>-MAX(0,AQ13*AQ18*AQ19)</f>
        <v/>
      </c>
      <c r="AR20" s="344">
        <f>SUM(AN20:AQ20)</f>
        <v/>
      </c>
    </row>
    <row r="21" ht="4.5" customHeight="1" s="290"/>
    <row r="22" ht="13.5" customHeight="1" s="290">
      <c r="A22" s="369" t="inlineStr">
        <is>
          <t xml:space="preserve">    ── Core ──</t>
        </is>
      </c>
    </row>
    <row r="23" ht="13.5" customHeight="1" s="290">
      <c r="A23" s="339" t="n"/>
      <c r="B23" s="370" t="inlineStr">
        <is>
          <t xml:space="preserve">  Beginning HC — Core</t>
        </is>
      </c>
      <c r="C23" s="371" t="inlineStr">
        <is>
          <t>#</t>
        </is>
      </c>
      <c r="D23" s="372" t="inlineStr">
        <is>
          <t>← '03 Operational Assumptions' row 21</t>
        </is>
      </c>
      <c r="E23" s="361">
        <f>'03 Operational Assumptions'!E21</f>
        <v/>
      </c>
      <c r="F23" s="361">
        <f>E29</f>
        <v/>
      </c>
      <c r="G23" s="361">
        <f>F29</f>
        <v/>
      </c>
      <c r="H23" s="361">
        <f>G29</f>
        <v/>
      </c>
      <c r="I23" s="361">
        <f>AVERAGE(E23:H23)</f>
        <v/>
      </c>
      <c r="J23" s="361">
        <f>H29</f>
        <v/>
      </c>
      <c r="K23" s="361">
        <f>J29</f>
        <v/>
      </c>
      <c r="L23" s="361">
        <f>K29</f>
        <v/>
      </c>
      <c r="M23" s="361">
        <f>L29</f>
        <v/>
      </c>
      <c r="N23" s="361">
        <f>AVERAGE(J23:M23)</f>
        <v/>
      </c>
      <c r="O23" s="361">
        <f>M29</f>
        <v/>
      </c>
      <c r="P23" s="361">
        <f>O29</f>
        <v/>
      </c>
      <c r="Q23" s="361">
        <f>P29</f>
        <v/>
      </c>
      <c r="R23" s="361">
        <f>Q29</f>
        <v/>
      </c>
      <c r="S23" s="361">
        <f>AVERAGE(O23:R23)</f>
        <v/>
      </c>
      <c r="T23" s="361">
        <f>R29</f>
        <v/>
      </c>
      <c r="U23" s="361">
        <f>T29</f>
        <v/>
      </c>
      <c r="V23" s="361">
        <f>U29</f>
        <v/>
      </c>
      <c r="W23" s="361">
        <f>V29</f>
        <v/>
      </c>
      <c r="X23" s="361">
        <f>AVERAGE(T23:W23)</f>
        <v/>
      </c>
      <c r="Y23" s="361">
        <f>W29</f>
        <v/>
      </c>
      <c r="Z23" s="361">
        <f>Y29</f>
        <v/>
      </c>
      <c r="AA23" s="361">
        <f>Z29</f>
        <v/>
      </c>
      <c r="AB23" s="361">
        <f>AA29</f>
        <v/>
      </c>
      <c r="AC23" s="361">
        <f>AVERAGE(Y23:AB23)</f>
        <v/>
      </c>
      <c r="AD23" s="361">
        <f>AB29</f>
        <v/>
      </c>
      <c r="AE23" s="361">
        <f>AD29</f>
        <v/>
      </c>
      <c r="AF23" s="361">
        <f>AE29</f>
        <v/>
      </c>
      <c r="AG23" s="361">
        <f>AF29</f>
        <v/>
      </c>
      <c r="AH23" s="361">
        <f>AVERAGE(AD23:AG23)</f>
        <v/>
      </c>
      <c r="AI23" s="361">
        <f>AG29</f>
        <v/>
      </c>
      <c r="AJ23" s="361">
        <f>AI29</f>
        <v/>
      </c>
      <c r="AK23" s="361">
        <f>AJ29</f>
        <v/>
      </c>
      <c r="AL23" s="361">
        <f>AK29</f>
        <v/>
      </c>
      <c r="AM23" s="361">
        <f>AVERAGE(AI23:AL23)</f>
        <v/>
      </c>
      <c r="AN23" s="361">
        <f>AL29</f>
        <v/>
      </c>
      <c r="AO23" s="361">
        <f>AN29</f>
        <v/>
      </c>
      <c r="AP23" s="361">
        <f>AO29</f>
        <v/>
      </c>
      <c r="AQ23" s="361">
        <f>AP29</f>
        <v/>
      </c>
      <c r="AR23" s="361">
        <f>AVERAGE(AN23:AQ23)</f>
        <v/>
      </c>
    </row>
    <row r="24" ht="13.5" customHeight="1" s="290">
      <c r="A24" s="339" t="n"/>
      <c r="B24" s="370" t="inlineStr">
        <is>
          <t xml:space="preserve">  Gross Hires / Qtr — Core</t>
        </is>
      </c>
      <c r="C24" s="371" t="inlineStr">
        <is>
          <t>#/qtr</t>
        </is>
      </c>
      <c r="D24" s="372" t="inlineStr">
        <is>
          <t>← '03 Operational Assumptions' row 25 (Active)</t>
        </is>
      </c>
      <c r="E24" s="361">
        <f>'03 Operational Assumptions'!E25</f>
        <v/>
      </c>
      <c r="F24" s="361">
        <f>'03 Operational Assumptions'!F25</f>
        <v/>
      </c>
      <c r="G24" s="361">
        <f>'03 Operational Assumptions'!G25</f>
        <v/>
      </c>
      <c r="H24" s="361">
        <f>'03 Operational Assumptions'!H25</f>
        <v/>
      </c>
      <c r="I24" s="361">
        <f>SUM(E24:H24)</f>
        <v/>
      </c>
      <c r="J24" s="361">
        <f>'03 Operational Assumptions'!J25</f>
        <v/>
      </c>
      <c r="K24" s="361">
        <f>'03 Operational Assumptions'!K25</f>
        <v/>
      </c>
      <c r="L24" s="361">
        <f>'03 Operational Assumptions'!L25</f>
        <v/>
      </c>
      <c r="M24" s="361">
        <f>'03 Operational Assumptions'!M25</f>
        <v/>
      </c>
      <c r="N24" s="361">
        <f>SUM(J24:M24)</f>
        <v/>
      </c>
      <c r="O24" s="361">
        <f>'03 Operational Assumptions'!O25</f>
        <v/>
      </c>
      <c r="P24" s="361">
        <f>'03 Operational Assumptions'!P25</f>
        <v/>
      </c>
      <c r="Q24" s="361">
        <f>'03 Operational Assumptions'!Q25</f>
        <v/>
      </c>
      <c r="R24" s="361">
        <f>'03 Operational Assumptions'!R25</f>
        <v/>
      </c>
      <c r="S24" s="361">
        <f>SUM(O24:R24)</f>
        <v/>
      </c>
      <c r="T24" s="361">
        <f>'03 Operational Assumptions'!T25</f>
        <v/>
      </c>
      <c r="U24" s="361">
        <f>'03 Operational Assumptions'!U25</f>
        <v/>
      </c>
      <c r="V24" s="361">
        <f>'03 Operational Assumptions'!V25</f>
        <v/>
      </c>
      <c r="W24" s="361">
        <f>'03 Operational Assumptions'!W25</f>
        <v/>
      </c>
      <c r="X24" s="361">
        <f>SUM(T24:W24)</f>
        <v/>
      </c>
      <c r="Y24" s="361">
        <f>'03 Operational Assumptions'!Y25</f>
        <v/>
      </c>
      <c r="Z24" s="361">
        <f>'03 Operational Assumptions'!Z25</f>
        <v/>
      </c>
      <c r="AA24" s="361">
        <f>'03 Operational Assumptions'!AA25</f>
        <v/>
      </c>
      <c r="AB24" s="361">
        <f>'03 Operational Assumptions'!AB25</f>
        <v/>
      </c>
      <c r="AC24" s="361">
        <f>SUM(Y24:AB24)</f>
        <v/>
      </c>
      <c r="AD24" s="361">
        <f>'03 Operational Assumptions'!AD25</f>
        <v/>
      </c>
      <c r="AE24" s="361">
        <f>'03 Operational Assumptions'!AE25</f>
        <v/>
      </c>
      <c r="AF24" s="361">
        <f>'03 Operational Assumptions'!AF25</f>
        <v/>
      </c>
      <c r="AG24" s="361">
        <f>'03 Operational Assumptions'!AG25</f>
        <v/>
      </c>
      <c r="AH24" s="361">
        <f>SUM(AD24:AG24)</f>
        <v/>
      </c>
      <c r="AI24" s="361">
        <f>'03 Operational Assumptions'!AI25</f>
        <v/>
      </c>
      <c r="AJ24" s="361">
        <f>'03 Operational Assumptions'!AJ25</f>
        <v/>
      </c>
      <c r="AK24" s="361">
        <f>'03 Operational Assumptions'!AK25</f>
        <v/>
      </c>
      <c r="AL24" s="361">
        <f>'03 Operational Assumptions'!AL25</f>
        <v/>
      </c>
      <c r="AM24" s="361">
        <f>SUM(AI24:AL24)</f>
        <v/>
      </c>
      <c r="AN24" s="361">
        <f>'03 Operational Assumptions'!AN25</f>
        <v/>
      </c>
      <c r="AO24" s="361">
        <f>'03 Operational Assumptions'!AO25</f>
        <v/>
      </c>
      <c r="AP24" s="361">
        <f>'03 Operational Assumptions'!AP25</f>
        <v/>
      </c>
      <c r="AQ24" s="361">
        <f>'03 Operational Assumptions'!AQ25</f>
        <v/>
      </c>
      <c r="AR24" s="361">
        <f>SUM(AN24:AQ24)</f>
        <v/>
      </c>
    </row>
    <row r="25" ht="13.5" customHeight="1" s="290">
      <c r="A25" s="339" t="n"/>
      <c r="B25" s="370" t="inlineStr">
        <is>
          <t xml:space="preserve">  Attrition Rate — Core</t>
        </is>
      </c>
      <c r="C25" s="371" t="inlineStr">
        <is>
          <t>%/qtr</t>
        </is>
      </c>
      <c r="D25" s="372" t="inlineStr">
        <is>
          <t>← '03 Operational Assumptions' row 29 (Active)</t>
        </is>
      </c>
      <c r="E25" s="361">
        <f>'03 Operational Assumptions'!E29</f>
        <v/>
      </c>
      <c r="F25" s="361">
        <f>'03 Operational Assumptions'!F29</f>
        <v/>
      </c>
      <c r="G25" s="361">
        <f>'03 Operational Assumptions'!G29</f>
        <v/>
      </c>
      <c r="H25" s="361">
        <f>'03 Operational Assumptions'!H29</f>
        <v/>
      </c>
      <c r="I25" s="361">
        <f>AVERAGE(E25:H25)</f>
        <v/>
      </c>
      <c r="J25" s="361">
        <f>'03 Operational Assumptions'!J29</f>
        <v/>
      </c>
      <c r="K25" s="361">
        <f>'03 Operational Assumptions'!K29</f>
        <v/>
      </c>
      <c r="L25" s="361">
        <f>'03 Operational Assumptions'!L29</f>
        <v/>
      </c>
      <c r="M25" s="361">
        <f>'03 Operational Assumptions'!M29</f>
        <v/>
      </c>
      <c r="N25" s="361">
        <f>AVERAGE(J25:M25)</f>
        <v/>
      </c>
      <c r="O25" s="361">
        <f>'03 Operational Assumptions'!O29</f>
        <v/>
      </c>
      <c r="P25" s="361">
        <f>'03 Operational Assumptions'!P29</f>
        <v/>
      </c>
      <c r="Q25" s="361">
        <f>'03 Operational Assumptions'!Q29</f>
        <v/>
      </c>
      <c r="R25" s="361">
        <f>'03 Operational Assumptions'!R29</f>
        <v/>
      </c>
      <c r="S25" s="361">
        <f>AVERAGE(O25:R25)</f>
        <v/>
      </c>
      <c r="T25" s="361">
        <f>'03 Operational Assumptions'!T29</f>
        <v/>
      </c>
      <c r="U25" s="361">
        <f>'03 Operational Assumptions'!U29</f>
        <v/>
      </c>
      <c r="V25" s="361">
        <f>'03 Operational Assumptions'!V29</f>
        <v/>
      </c>
      <c r="W25" s="361">
        <f>'03 Operational Assumptions'!W29</f>
        <v/>
      </c>
      <c r="X25" s="361">
        <f>AVERAGE(T25:W25)</f>
        <v/>
      </c>
      <c r="Y25" s="361">
        <f>'03 Operational Assumptions'!Y29</f>
        <v/>
      </c>
      <c r="Z25" s="361">
        <f>'03 Operational Assumptions'!Z29</f>
        <v/>
      </c>
      <c r="AA25" s="361">
        <f>'03 Operational Assumptions'!AA29</f>
        <v/>
      </c>
      <c r="AB25" s="361">
        <f>'03 Operational Assumptions'!AB29</f>
        <v/>
      </c>
      <c r="AC25" s="361">
        <f>AVERAGE(Y25:AB25)</f>
        <v/>
      </c>
      <c r="AD25" s="361">
        <f>'03 Operational Assumptions'!AD29</f>
        <v/>
      </c>
      <c r="AE25" s="361">
        <f>'03 Operational Assumptions'!AE29</f>
        <v/>
      </c>
      <c r="AF25" s="361">
        <f>'03 Operational Assumptions'!AF29</f>
        <v/>
      </c>
      <c r="AG25" s="361">
        <f>'03 Operational Assumptions'!AG29</f>
        <v/>
      </c>
      <c r="AH25" s="361">
        <f>AVERAGE(AD25:AG25)</f>
        <v/>
      </c>
      <c r="AI25" s="361">
        <f>'03 Operational Assumptions'!AI29</f>
        <v/>
      </c>
      <c r="AJ25" s="361">
        <f>'03 Operational Assumptions'!AJ29</f>
        <v/>
      </c>
      <c r="AK25" s="361">
        <f>'03 Operational Assumptions'!AK29</f>
        <v/>
      </c>
      <c r="AL25" s="361">
        <f>'03 Operational Assumptions'!AL29</f>
        <v/>
      </c>
      <c r="AM25" s="361">
        <f>AVERAGE(AI25:AL25)</f>
        <v/>
      </c>
      <c r="AN25" s="361">
        <f>'03 Operational Assumptions'!AN29</f>
        <v/>
      </c>
      <c r="AO25" s="361">
        <f>'03 Operational Assumptions'!AO29</f>
        <v/>
      </c>
      <c r="AP25" s="361">
        <f>'03 Operational Assumptions'!AP29</f>
        <v/>
      </c>
      <c r="AQ25" s="361">
        <f>'03 Operational Assumptions'!AQ29</f>
        <v/>
      </c>
      <c r="AR25" s="361">
        <f>AVERAGE(AN25:AQ25)</f>
        <v/>
      </c>
    </row>
    <row r="26" ht="13.5" customHeight="1" s="290">
      <c r="A26" s="339" t="n"/>
      <c r="B26" s="373" t="inlineStr">
        <is>
          <t xml:space="preserve">  Attrition Count — Core</t>
        </is>
      </c>
      <c r="C26" s="374" t="inlineStr">
        <is>
          <t>#/qtr</t>
        </is>
      </c>
      <c r="D26" s="375" t="inlineStr">
        <is>
          <t xml:space="preserve"> attrition rate × Beginning HC</t>
        </is>
      </c>
      <c r="E26" s="376">
        <f>E25*E23</f>
        <v/>
      </c>
      <c r="F26" s="376">
        <f>F25*F23</f>
        <v/>
      </c>
      <c r="G26" s="376">
        <f>G25*G23</f>
        <v/>
      </c>
      <c r="H26" s="376">
        <f>H25*H23</f>
        <v/>
      </c>
      <c r="I26" s="344">
        <f>SUM(E26:H26)</f>
        <v/>
      </c>
      <c r="J26" s="376">
        <f>J25*J23</f>
        <v/>
      </c>
      <c r="K26" s="376">
        <f>K25*K23</f>
        <v/>
      </c>
      <c r="L26" s="376">
        <f>L25*L23</f>
        <v/>
      </c>
      <c r="M26" s="376">
        <f>M25*M23</f>
        <v/>
      </c>
      <c r="N26" s="344">
        <f>SUM(J26:M26)</f>
        <v/>
      </c>
      <c r="O26" s="376">
        <f>O25*O23</f>
        <v/>
      </c>
      <c r="P26" s="376">
        <f>P25*P23</f>
        <v/>
      </c>
      <c r="Q26" s="376">
        <f>Q25*Q23</f>
        <v/>
      </c>
      <c r="R26" s="376">
        <f>R25*R23</f>
        <v/>
      </c>
      <c r="S26" s="344">
        <f>SUM(O26:R26)</f>
        <v/>
      </c>
      <c r="T26" s="376">
        <f>T25*T23</f>
        <v/>
      </c>
      <c r="U26" s="376">
        <f>U25*U23</f>
        <v/>
      </c>
      <c r="V26" s="376">
        <f>V25*V23</f>
        <v/>
      </c>
      <c r="W26" s="376">
        <f>W25*W23</f>
        <v/>
      </c>
      <c r="X26" s="344">
        <f>SUM(T26:W26)</f>
        <v/>
      </c>
      <c r="Y26" s="376">
        <f>Y25*Y23</f>
        <v/>
      </c>
      <c r="Z26" s="376">
        <f>Z25*Z23</f>
        <v/>
      </c>
      <c r="AA26" s="376">
        <f>AA25*AA23</f>
        <v/>
      </c>
      <c r="AB26" s="376">
        <f>AB25*AB23</f>
        <v/>
      </c>
      <c r="AC26" s="344">
        <f>SUM(Y26:AB26)</f>
        <v/>
      </c>
      <c r="AD26" s="376">
        <f>AD25*AD23</f>
        <v/>
      </c>
      <c r="AE26" s="376">
        <f>AE25*AE23</f>
        <v/>
      </c>
      <c r="AF26" s="376">
        <f>AF25*AF23</f>
        <v/>
      </c>
      <c r="AG26" s="376">
        <f>AG25*AG23</f>
        <v/>
      </c>
      <c r="AH26" s="344">
        <f>SUM(AD26:AG26)</f>
        <v/>
      </c>
      <c r="AI26" s="376">
        <f>AI25*AI23</f>
        <v/>
      </c>
      <c r="AJ26" s="376">
        <f>AJ25*AJ23</f>
        <v/>
      </c>
      <c r="AK26" s="376">
        <f>AK25*AK23</f>
        <v/>
      </c>
      <c r="AL26" s="376">
        <f>AL25*AL23</f>
        <v/>
      </c>
      <c r="AM26" s="344">
        <f>SUM(AI26:AL26)</f>
        <v/>
      </c>
      <c r="AN26" s="376">
        <f>AN25*AN23</f>
        <v/>
      </c>
      <c r="AO26" s="376">
        <f>AO25*AO23</f>
        <v/>
      </c>
      <c r="AP26" s="376">
        <f>AP25*AP23</f>
        <v/>
      </c>
      <c r="AQ26" s="376">
        <f>AQ25*AQ23</f>
        <v/>
      </c>
      <c r="AR26" s="344">
        <f>SUM(AN26:AQ26)</f>
        <v/>
      </c>
    </row>
    <row r="27" ht="13.5" customHeight="1" s="290">
      <c r="A27" s="339" t="n"/>
      <c r="B27" s="370" t="inlineStr">
        <is>
          <t xml:space="preserve">  Ramp Factor Yr1 — Core</t>
        </is>
      </c>
      <c r="C27" s="371" t="inlineStr">
        <is>
          <t>% of mature</t>
        </is>
      </c>
      <c r="D27" s="372" t="inlineStr">
        <is>
          <t>← '03 Operational Assumptions' row 153 col F (Yr1 ramp)</t>
        </is>
      </c>
      <c r="E27" s="361">
        <f>'03 Operational Assumptions'!F153</f>
        <v/>
      </c>
      <c r="F27" s="361">
        <f>'03 Operational Assumptions'!F153</f>
        <v/>
      </c>
      <c r="G27" s="361">
        <f>'03 Operational Assumptions'!F153</f>
        <v/>
      </c>
      <c r="H27" s="361">
        <f>'03 Operational Assumptions'!F153</f>
        <v/>
      </c>
      <c r="I27" s="361">
        <f>AVERAGE(E27:H27)</f>
        <v/>
      </c>
      <c r="J27" s="361">
        <f>'03 Operational Assumptions'!F153</f>
        <v/>
      </c>
      <c r="K27" s="361">
        <f>'03 Operational Assumptions'!F153</f>
        <v/>
      </c>
      <c r="L27" s="361">
        <f>'03 Operational Assumptions'!F153</f>
        <v/>
      </c>
      <c r="M27" s="361">
        <f>'03 Operational Assumptions'!F153</f>
        <v/>
      </c>
      <c r="N27" s="361">
        <f>AVERAGE(J27:M27)</f>
        <v/>
      </c>
      <c r="O27" s="361">
        <f>'03 Operational Assumptions'!F153</f>
        <v/>
      </c>
      <c r="P27" s="361">
        <f>'03 Operational Assumptions'!F153</f>
        <v/>
      </c>
      <c r="Q27" s="361">
        <f>'03 Operational Assumptions'!F153</f>
        <v/>
      </c>
      <c r="R27" s="361">
        <f>'03 Operational Assumptions'!F153</f>
        <v/>
      </c>
      <c r="S27" s="361">
        <f>AVERAGE(O27:R27)</f>
        <v/>
      </c>
      <c r="T27" s="361">
        <f>'03 Operational Assumptions'!F153</f>
        <v/>
      </c>
      <c r="U27" s="361">
        <f>'03 Operational Assumptions'!F153</f>
        <v/>
      </c>
      <c r="V27" s="361">
        <f>'03 Operational Assumptions'!F153</f>
        <v/>
      </c>
      <c r="W27" s="361">
        <f>'03 Operational Assumptions'!F153</f>
        <v/>
      </c>
      <c r="X27" s="361">
        <f>AVERAGE(T27:W27)</f>
        <v/>
      </c>
      <c r="Y27" s="361">
        <f>'03 Operational Assumptions'!F153</f>
        <v/>
      </c>
      <c r="Z27" s="361">
        <f>'03 Operational Assumptions'!F153</f>
        <v/>
      </c>
      <c r="AA27" s="361">
        <f>'03 Operational Assumptions'!F153</f>
        <v/>
      </c>
      <c r="AB27" s="361">
        <f>'03 Operational Assumptions'!F153</f>
        <v/>
      </c>
      <c r="AC27" s="361">
        <f>AVERAGE(Y27:AB27)</f>
        <v/>
      </c>
      <c r="AD27" s="361">
        <f>'03 Operational Assumptions'!F153</f>
        <v/>
      </c>
      <c r="AE27" s="361">
        <f>'03 Operational Assumptions'!F153</f>
        <v/>
      </c>
      <c r="AF27" s="361">
        <f>'03 Operational Assumptions'!F153</f>
        <v/>
      </c>
      <c r="AG27" s="361">
        <f>'03 Operational Assumptions'!F153</f>
        <v/>
      </c>
      <c r="AH27" s="361">
        <f>AVERAGE(AD27:AG27)</f>
        <v/>
      </c>
      <c r="AI27" s="361">
        <f>'03 Operational Assumptions'!F153</f>
        <v/>
      </c>
      <c r="AJ27" s="361">
        <f>'03 Operational Assumptions'!F153</f>
        <v/>
      </c>
      <c r="AK27" s="361">
        <f>'03 Operational Assumptions'!F153</f>
        <v/>
      </c>
      <c r="AL27" s="361">
        <f>'03 Operational Assumptions'!F153</f>
        <v/>
      </c>
      <c r="AM27" s="361">
        <f>AVERAGE(AI27:AL27)</f>
        <v/>
      </c>
      <c r="AN27" s="361">
        <f>'03 Operational Assumptions'!F153</f>
        <v/>
      </c>
      <c r="AO27" s="361">
        <f>'03 Operational Assumptions'!F153</f>
        <v/>
      </c>
      <c r="AP27" s="361">
        <f>'03 Operational Assumptions'!F153</f>
        <v/>
      </c>
      <c r="AQ27" s="361">
        <f>'03 Operational Assumptions'!F153</f>
        <v/>
      </c>
      <c r="AR27" s="361">
        <f>AVERAGE(AN27:AQ27)</f>
        <v/>
      </c>
    </row>
    <row r="28" ht="13.5" customHeight="1" s="290">
      <c r="A28" s="339" t="n"/>
      <c r="B28" s="377" t="inlineStr">
        <is>
          <t xml:space="preserve">  ★ EPE — Core</t>
        </is>
      </c>
      <c r="C28" s="378" t="inlineStr">
        <is>
          <t>EPE</t>
        </is>
      </c>
      <c r="D28" s="375" t="inlineStr">
        <is>
          <t xml:space="preserve"> MAX(0, beg hc + (hires × Ramp) − Attrition)))</t>
        </is>
      </c>
      <c r="E28" s="379">
        <f>MAX(0,E23+(E24*E27)-E26)</f>
        <v/>
      </c>
      <c r="F28" s="379">
        <f>MAX(0,F23+(F24*F27)-F26)</f>
        <v/>
      </c>
      <c r="G28" s="379">
        <f>MAX(0,G23+(G24*G27)-G26)</f>
        <v/>
      </c>
      <c r="H28" s="379">
        <f>MAX(0,H23+(H24*H27)-H26)</f>
        <v/>
      </c>
      <c r="I28" s="379">
        <f>AVERAGE(E28:H28)</f>
        <v/>
      </c>
      <c r="J28" s="379">
        <f>MAX(0,J23+(J24*J27)-J26)</f>
        <v/>
      </c>
      <c r="K28" s="379">
        <f>MAX(0,K23+(K24*K27)-K26)</f>
        <v/>
      </c>
      <c r="L28" s="379">
        <f>MAX(0,L23+(L24*L27)-L26)</f>
        <v/>
      </c>
      <c r="M28" s="379">
        <f>MAX(0,M23+(M24*M27)-M26)</f>
        <v/>
      </c>
      <c r="N28" s="379">
        <f>AVERAGE(J28:M28)</f>
        <v/>
      </c>
      <c r="O28" s="379">
        <f>MAX(0,O23+(O24*O27)-O26)</f>
        <v/>
      </c>
      <c r="P28" s="379">
        <f>MAX(0,P23+(P24*P27)-P26)</f>
        <v/>
      </c>
      <c r="Q28" s="379">
        <f>MAX(0,Q23+(Q24*Q27)-Q26)</f>
        <v/>
      </c>
      <c r="R28" s="379">
        <f>MAX(0,R23+(R24*R27)-R26)</f>
        <v/>
      </c>
      <c r="S28" s="379">
        <f>AVERAGE(O28:R28)</f>
        <v/>
      </c>
      <c r="T28" s="379">
        <f>MAX(0,T23+(T24*T27)-T26)</f>
        <v/>
      </c>
      <c r="U28" s="379">
        <f>MAX(0,U23+(U24*U27)-U26)</f>
        <v/>
      </c>
      <c r="V28" s="379">
        <f>MAX(0,V23+(V24*V27)-V26)</f>
        <v/>
      </c>
      <c r="W28" s="379">
        <f>MAX(0,W23+(W24*W27)-W26)</f>
        <v/>
      </c>
      <c r="X28" s="379">
        <f>AVERAGE(T28:W28)</f>
        <v/>
      </c>
      <c r="Y28" s="379">
        <f>MAX(0,Y23+(Y24*Y27)-Y26)</f>
        <v/>
      </c>
      <c r="Z28" s="379">
        <f>MAX(0,Z23+(Z24*Z27)-Z26)</f>
        <v/>
      </c>
      <c r="AA28" s="379">
        <f>MAX(0,AA23+(AA24*AA27)-AA26)</f>
        <v/>
      </c>
      <c r="AB28" s="379">
        <f>MAX(0,AB23+(AB24*AB27)-AB26)</f>
        <v/>
      </c>
      <c r="AC28" s="379">
        <f>AVERAGE(Y28:AB28)</f>
        <v/>
      </c>
      <c r="AD28" s="379">
        <f>MAX(0,AD23+(AD24*AD27)-AD26)</f>
        <v/>
      </c>
      <c r="AE28" s="379">
        <f>MAX(0,AE23+(AE24*AE27)-AE26)</f>
        <v/>
      </c>
      <c r="AF28" s="379">
        <f>MAX(0,AF23+(AF24*AF27)-AF26)</f>
        <v/>
      </c>
      <c r="AG28" s="379">
        <f>MAX(0,AG23+(AG24*AG27)-AG26)</f>
        <v/>
      </c>
      <c r="AH28" s="379">
        <f>AVERAGE(AD28:AG28)</f>
        <v/>
      </c>
      <c r="AI28" s="379">
        <f>MAX(0,AI23+(AI24*AI27)-AI26)</f>
        <v/>
      </c>
      <c r="AJ28" s="379">
        <f>MAX(0,AJ23+(AJ24*AJ27)-AJ26)</f>
        <v/>
      </c>
      <c r="AK28" s="379">
        <f>MAX(0,AK23+(AK24*AK27)-AK26)</f>
        <v/>
      </c>
      <c r="AL28" s="379">
        <f>MAX(0,AL23+(AL24*AL27)-AL26)</f>
        <v/>
      </c>
      <c r="AM28" s="379">
        <f>AVERAGE(AI28:AL28)</f>
        <v/>
      </c>
      <c r="AN28" s="379">
        <f>MAX(0,AN23+(AN24*AN27)-AN26)</f>
        <v/>
      </c>
      <c r="AO28" s="379">
        <f>MAX(0,AO23+(AO24*AO27)-AO26)</f>
        <v/>
      </c>
      <c r="AP28" s="379">
        <f>MAX(0,AP23+(AP24*AP27)-AP26)</f>
        <v/>
      </c>
      <c r="AQ28" s="379">
        <f>MAX(0,AQ23+(AQ24*AQ27)-AQ26)</f>
        <v/>
      </c>
      <c r="AR28" s="379">
        <f>AVERAGE(AN28:AQ28)</f>
        <v/>
      </c>
    </row>
    <row r="29" ht="13.5" customHeight="1" s="290">
      <c r="A29" s="339" t="n"/>
      <c r="B29" s="373" t="inlineStr">
        <is>
          <t xml:space="preserve">  Ending HC — Core</t>
        </is>
      </c>
      <c r="C29" s="374" t="inlineStr">
        <is>
          <t>#</t>
        </is>
      </c>
      <c r="D29" s="375" t="inlineStr">
        <is>
          <t xml:space="preserve"> MAX(0, beg hc + hires − Attrition Count))</t>
        </is>
      </c>
      <c r="E29" s="376">
        <f>MAX(0,E23+E24-E26)</f>
        <v/>
      </c>
      <c r="F29" s="376">
        <f>MAX(0,F23+F24-F26)</f>
        <v/>
      </c>
      <c r="G29" s="376">
        <f>MAX(0,G23+G24-G26)</f>
        <v/>
      </c>
      <c r="H29" s="376">
        <f>MAX(0,H23+H24-H26)</f>
        <v/>
      </c>
      <c r="I29" s="344">
        <f>AVERAGE(E29:H29)</f>
        <v/>
      </c>
      <c r="J29" s="376">
        <f>MAX(0,J23+J24-J26)</f>
        <v/>
      </c>
      <c r="K29" s="376">
        <f>MAX(0,K23+K24-K26)</f>
        <v/>
      </c>
      <c r="L29" s="376">
        <f>MAX(0,L23+L24-L26)</f>
        <v/>
      </c>
      <c r="M29" s="376">
        <f>MAX(0,M23+M24-M26)</f>
        <v/>
      </c>
      <c r="N29" s="344">
        <f>AVERAGE(J29:M29)</f>
        <v/>
      </c>
      <c r="O29" s="376">
        <f>MAX(0,O23+O24-O26)</f>
        <v/>
      </c>
      <c r="P29" s="376">
        <f>MAX(0,P23+P24-P26)</f>
        <v/>
      </c>
      <c r="Q29" s="376">
        <f>MAX(0,Q23+Q24-Q26)</f>
        <v/>
      </c>
      <c r="R29" s="376">
        <f>MAX(0,R23+R24-R26)</f>
        <v/>
      </c>
      <c r="S29" s="344">
        <f>AVERAGE(O29:R29)</f>
        <v/>
      </c>
      <c r="T29" s="376">
        <f>MAX(0,T23+T24-T26)</f>
        <v/>
      </c>
      <c r="U29" s="376">
        <f>MAX(0,U23+U24-U26)</f>
        <v/>
      </c>
      <c r="V29" s="376">
        <f>MAX(0,V23+V24-V26)</f>
        <v/>
      </c>
      <c r="W29" s="376">
        <f>MAX(0,W23+W24-W26)</f>
        <v/>
      </c>
      <c r="X29" s="344">
        <f>AVERAGE(T29:W29)</f>
        <v/>
      </c>
      <c r="Y29" s="376">
        <f>MAX(0,Y23+Y24-Y26)</f>
        <v/>
      </c>
      <c r="Z29" s="376">
        <f>MAX(0,Z23+Z24-Z26)</f>
        <v/>
      </c>
      <c r="AA29" s="376">
        <f>MAX(0,AA23+AA24-AA26)</f>
        <v/>
      </c>
      <c r="AB29" s="376">
        <f>MAX(0,AB23+AB24-AB26)</f>
        <v/>
      </c>
      <c r="AC29" s="344">
        <f>AVERAGE(Y29:AB29)</f>
        <v/>
      </c>
      <c r="AD29" s="376">
        <f>MAX(0,AD23+AD24-AD26)</f>
        <v/>
      </c>
      <c r="AE29" s="376">
        <f>MAX(0,AE23+AE24-AE26)</f>
        <v/>
      </c>
      <c r="AF29" s="376">
        <f>MAX(0,AF23+AF24-AF26)</f>
        <v/>
      </c>
      <c r="AG29" s="376">
        <f>MAX(0,AG23+AG24-AG26)</f>
        <v/>
      </c>
      <c r="AH29" s="344">
        <f>AVERAGE(AD29:AG29)</f>
        <v/>
      </c>
      <c r="AI29" s="376">
        <f>MAX(0,AI23+AI24-AI26)</f>
        <v/>
      </c>
      <c r="AJ29" s="376">
        <f>MAX(0,AJ23+AJ24-AJ26)</f>
        <v/>
      </c>
      <c r="AK29" s="376">
        <f>MAX(0,AK23+AK24-AK26)</f>
        <v/>
      </c>
      <c r="AL29" s="376">
        <f>MAX(0,AL23+AL24-AL26)</f>
        <v/>
      </c>
      <c r="AM29" s="344">
        <f>AVERAGE(AI29:AL29)</f>
        <v/>
      </c>
      <c r="AN29" s="376">
        <f>MAX(0,AN23+AN24-AN26)</f>
        <v/>
      </c>
      <c r="AO29" s="376">
        <f>MAX(0,AO23+AO24-AO26)</f>
        <v/>
      </c>
      <c r="AP29" s="376">
        <f>MAX(0,AP23+AP24-AP26)</f>
        <v/>
      </c>
      <c r="AQ29" s="376">
        <f>MAX(0,AQ23+AQ24-AQ26)</f>
        <v/>
      </c>
      <c r="AR29" s="344">
        <f>AVERAGE(AN29:AQ29)</f>
        <v/>
      </c>
    </row>
    <row r="30" ht="13.5" customHeight="1" s="290">
      <c r="A30" s="339" t="n"/>
      <c r="B30" s="373" t="inlineStr">
        <is>
          <t xml:space="preserve">  Ramp Drag — Core</t>
        </is>
      </c>
      <c r="C30" s="374" t="inlineStr">
        <is>
          <t>#</t>
        </is>
      </c>
      <c r="D30" s="375" t="inlineStr">
        <is>
          <t xml:space="preserve"> ending hc − EPE  (un-ramped producer count)</t>
        </is>
      </c>
      <c r="E30" s="376">
        <f>MAX(0,E29-E28)</f>
        <v/>
      </c>
      <c r="F30" s="376">
        <f>MAX(0,F29-F28)</f>
        <v/>
      </c>
      <c r="G30" s="376">
        <f>MAX(0,G29-G28)</f>
        <v/>
      </c>
      <c r="H30" s="376">
        <f>MAX(0,H29-H28)</f>
        <v/>
      </c>
      <c r="I30" s="344">
        <f>SUM(E30:H30)</f>
        <v/>
      </c>
      <c r="J30" s="376">
        <f>MAX(0,J29-J28)</f>
        <v/>
      </c>
      <c r="K30" s="376">
        <f>MAX(0,K29-K28)</f>
        <v/>
      </c>
      <c r="L30" s="376">
        <f>MAX(0,L29-L28)</f>
        <v/>
      </c>
      <c r="M30" s="376">
        <f>MAX(0,M29-M28)</f>
        <v/>
      </c>
      <c r="N30" s="344">
        <f>SUM(J30:M30)</f>
        <v/>
      </c>
      <c r="O30" s="376">
        <f>MAX(0,O29-O28)</f>
        <v/>
      </c>
      <c r="P30" s="376">
        <f>MAX(0,P29-P28)</f>
        <v/>
      </c>
      <c r="Q30" s="376">
        <f>MAX(0,Q29-Q28)</f>
        <v/>
      </c>
      <c r="R30" s="376">
        <f>MAX(0,R29-R28)</f>
        <v/>
      </c>
      <c r="S30" s="344">
        <f>SUM(O30:R30)</f>
        <v/>
      </c>
      <c r="T30" s="376">
        <f>MAX(0,T29-T28)</f>
        <v/>
      </c>
      <c r="U30" s="376">
        <f>MAX(0,U29-U28)</f>
        <v/>
      </c>
      <c r="V30" s="376">
        <f>MAX(0,V29-V28)</f>
        <v/>
      </c>
      <c r="W30" s="376">
        <f>MAX(0,W29-W28)</f>
        <v/>
      </c>
      <c r="X30" s="344">
        <f>SUM(T30:W30)</f>
        <v/>
      </c>
      <c r="Y30" s="376">
        <f>MAX(0,Y29-Y28)</f>
        <v/>
      </c>
      <c r="Z30" s="376">
        <f>MAX(0,Z29-Z28)</f>
        <v/>
      </c>
      <c r="AA30" s="376">
        <f>MAX(0,AA29-AA28)</f>
        <v/>
      </c>
      <c r="AB30" s="376">
        <f>MAX(0,AB29-AB28)</f>
        <v/>
      </c>
      <c r="AC30" s="344">
        <f>SUM(Y30:AB30)</f>
        <v/>
      </c>
      <c r="AD30" s="376">
        <f>MAX(0,AD29-AD28)</f>
        <v/>
      </c>
      <c r="AE30" s="376">
        <f>MAX(0,AE29-AE28)</f>
        <v/>
      </c>
      <c r="AF30" s="376">
        <f>MAX(0,AF29-AF28)</f>
        <v/>
      </c>
      <c r="AG30" s="376">
        <f>MAX(0,AG29-AG28)</f>
        <v/>
      </c>
      <c r="AH30" s="344">
        <f>SUM(AD30:AG30)</f>
        <v/>
      </c>
      <c r="AI30" s="376">
        <f>MAX(0,AI29-AI28)</f>
        <v/>
      </c>
      <c r="AJ30" s="376">
        <f>MAX(0,AJ29-AJ28)</f>
        <v/>
      </c>
      <c r="AK30" s="376">
        <f>MAX(0,AK29-AK28)</f>
        <v/>
      </c>
      <c r="AL30" s="376">
        <f>MAX(0,AL29-AL28)</f>
        <v/>
      </c>
      <c r="AM30" s="344">
        <f>SUM(AI30:AL30)</f>
        <v/>
      </c>
      <c r="AN30" s="376">
        <f>MAX(0,AN29-AN28)</f>
        <v/>
      </c>
      <c r="AO30" s="376">
        <f>MAX(0,AO29-AO28)</f>
        <v/>
      </c>
      <c r="AP30" s="376">
        <f>MAX(0,AP29-AP28)</f>
        <v/>
      </c>
      <c r="AQ30" s="376">
        <f>MAX(0,AQ29-AQ28)</f>
        <v/>
      </c>
      <c r="AR30" s="344">
        <f>SUM(AN30:AQ30)</f>
        <v/>
      </c>
    </row>
    <row r="31" ht="13.5" customHeight="1" s="290">
      <c r="A31" s="339" t="n"/>
      <c r="B31" s="370" t="inlineStr">
        <is>
          <t xml:space="preserve">  Book Loss Factor — Core</t>
        </is>
      </c>
      <c r="C31" s="371" t="inlineStr">
        <is>
          <t>%</t>
        </is>
      </c>
      <c r="D31" s="372" t="inlineStr">
        <is>
          <t>← '03 Operational Assumptions' row 162 col F</t>
        </is>
      </c>
      <c r="E31" s="361">
        <f>'03 Operational Assumptions'!F162</f>
        <v/>
      </c>
      <c r="F31" s="361">
        <f>'03 Operational Assumptions'!F162</f>
        <v/>
      </c>
      <c r="G31" s="361">
        <f>'03 Operational Assumptions'!F162</f>
        <v/>
      </c>
      <c r="H31" s="361">
        <f>'03 Operational Assumptions'!F162</f>
        <v/>
      </c>
      <c r="I31" s="361">
        <f>AVERAGE(E31:H31)</f>
        <v/>
      </c>
      <c r="J31" s="361">
        <f>'03 Operational Assumptions'!F162</f>
        <v/>
      </c>
      <c r="K31" s="361">
        <f>'03 Operational Assumptions'!F162</f>
        <v/>
      </c>
      <c r="L31" s="361">
        <f>'03 Operational Assumptions'!F162</f>
        <v/>
      </c>
      <c r="M31" s="361">
        <f>'03 Operational Assumptions'!F162</f>
        <v/>
      </c>
      <c r="N31" s="361">
        <f>AVERAGE(J31:M31)</f>
        <v/>
      </c>
      <c r="O31" s="361">
        <f>'03 Operational Assumptions'!F162</f>
        <v/>
      </c>
      <c r="P31" s="361">
        <f>'03 Operational Assumptions'!F162</f>
        <v/>
      </c>
      <c r="Q31" s="361">
        <f>'03 Operational Assumptions'!F162</f>
        <v/>
      </c>
      <c r="R31" s="361">
        <f>'03 Operational Assumptions'!F162</f>
        <v/>
      </c>
      <c r="S31" s="361">
        <f>AVERAGE(O31:R31)</f>
        <v/>
      </c>
      <c r="T31" s="361">
        <f>'03 Operational Assumptions'!F162</f>
        <v/>
      </c>
      <c r="U31" s="361">
        <f>'03 Operational Assumptions'!F162</f>
        <v/>
      </c>
      <c r="V31" s="361">
        <f>'03 Operational Assumptions'!F162</f>
        <v/>
      </c>
      <c r="W31" s="361">
        <f>'03 Operational Assumptions'!F162</f>
        <v/>
      </c>
      <c r="X31" s="361">
        <f>AVERAGE(T31:W31)</f>
        <v/>
      </c>
      <c r="Y31" s="361">
        <f>'03 Operational Assumptions'!F162</f>
        <v/>
      </c>
      <c r="Z31" s="361">
        <f>'03 Operational Assumptions'!F162</f>
        <v/>
      </c>
      <c r="AA31" s="361">
        <f>'03 Operational Assumptions'!F162</f>
        <v/>
      </c>
      <c r="AB31" s="361">
        <f>'03 Operational Assumptions'!F162</f>
        <v/>
      </c>
      <c r="AC31" s="361">
        <f>AVERAGE(Y31:AB31)</f>
        <v/>
      </c>
      <c r="AD31" s="361">
        <f>'03 Operational Assumptions'!F162</f>
        <v/>
      </c>
      <c r="AE31" s="361">
        <f>'03 Operational Assumptions'!F162</f>
        <v/>
      </c>
      <c r="AF31" s="361">
        <f>'03 Operational Assumptions'!F162</f>
        <v/>
      </c>
      <c r="AG31" s="361">
        <f>'03 Operational Assumptions'!F162</f>
        <v/>
      </c>
      <c r="AH31" s="361">
        <f>AVERAGE(AD31:AG31)</f>
        <v/>
      </c>
      <c r="AI31" s="361">
        <f>'03 Operational Assumptions'!F162</f>
        <v/>
      </c>
      <c r="AJ31" s="361">
        <f>'03 Operational Assumptions'!F162</f>
        <v/>
      </c>
      <c r="AK31" s="361">
        <f>'03 Operational Assumptions'!F162</f>
        <v/>
      </c>
      <c r="AL31" s="361">
        <f>'03 Operational Assumptions'!F162</f>
        <v/>
      </c>
      <c r="AM31" s="361">
        <f>AVERAGE(AI31:AL31)</f>
        <v/>
      </c>
      <c r="AN31" s="361">
        <f>'03 Operational Assumptions'!F162</f>
        <v/>
      </c>
      <c r="AO31" s="361">
        <f>'03 Operational Assumptions'!F162</f>
        <v/>
      </c>
      <c r="AP31" s="361">
        <f>'03 Operational Assumptions'!F162</f>
        <v/>
      </c>
      <c r="AQ31" s="361">
        <f>'03 Operational Assumptions'!F162</f>
        <v/>
      </c>
      <c r="AR31" s="361">
        <f>AVERAGE(AN31:AQ31)</f>
        <v/>
      </c>
    </row>
    <row r="32" ht="13.5" customHeight="1" s="290">
      <c r="B32" s="380" t="inlineStr">
        <is>
          <t xml:space="preserve">  Mature GCI / EPE — Core  [Placeholder]</t>
        </is>
      </c>
      <c r="C32" s="381" t="inlineStr">
        <is>
          <t>$K/EPE</t>
        </is>
      </c>
      <c r="D32" s="382" t="inlineStr">
        <is>
          <t>V1 MANUAL INPUT: Enter annualized GCI/EPE ($K) for this tier after Tab 05 is run. Book-loss drag = 0 until populated. No circular reference risk — this is a one-way input.</t>
        </is>
      </c>
      <c r="E32" s="383" t="n">
        <v>0</v>
      </c>
      <c r="F32" s="383" t="n">
        <v>0</v>
      </c>
      <c r="G32" s="383" t="n">
        <v>0</v>
      </c>
      <c r="H32" s="383" t="n">
        <v>0</v>
      </c>
      <c r="I32" s="384">
        <f>AVERAGE(E32:H32)</f>
        <v/>
      </c>
      <c r="J32" s="383" t="n">
        <v>0</v>
      </c>
      <c r="K32" s="383" t="n">
        <v>0</v>
      </c>
      <c r="L32" s="383" t="n">
        <v>0</v>
      </c>
      <c r="M32" s="383" t="n">
        <v>0</v>
      </c>
      <c r="N32" s="384">
        <f>AVERAGE(J32:M32)</f>
        <v/>
      </c>
      <c r="O32" s="383" t="n">
        <v>0</v>
      </c>
      <c r="P32" s="383" t="n">
        <v>0</v>
      </c>
      <c r="Q32" s="383" t="n">
        <v>0</v>
      </c>
      <c r="R32" s="383" t="n">
        <v>0</v>
      </c>
      <c r="S32" s="384">
        <f>AVERAGE(O32:R32)</f>
        <v/>
      </c>
      <c r="T32" s="383" t="n">
        <v>0</v>
      </c>
      <c r="U32" s="383" t="n">
        <v>0</v>
      </c>
      <c r="V32" s="383" t="n">
        <v>0</v>
      </c>
      <c r="W32" s="383" t="n">
        <v>0</v>
      </c>
      <c r="X32" s="384">
        <f>AVERAGE(T32:W32)</f>
        <v/>
      </c>
      <c r="Y32" s="383" t="n">
        <v>0</v>
      </c>
      <c r="Z32" s="383" t="n">
        <v>0</v>
      </c>
      <c r="AA32" s="383" t="n">
        <v>0</v>
      </c>
      <c r="AB32" s="383" t="n">
        <v>0</v>
      </c>
      <c r="AC32" s="384">
        <f>AVERAGE(Y32:AB32)</f>
        <v/>
      </c>
      <c r="AD32" s="383" t="n">
        <v>0</v>
      </c>
      <c r="AE32" s="383" t="n">
        <v>0</v>
      </c>
      <c r="AF32" s="383" t="n">
        <v>0</v>
      </c>
      <c r="AG32" s="383" t="n">
        <v>0</v>
      </c>
      <c r="AH32" s="384">
        <f>AVERAGE(AD32:AG32)</f>
        <v/>
      </c>
      <c r="AI32" s="383" t="n">
        <v>0</v>
      </c>
      <c r="AJ32" s="383" t="n">
        <v>0</v>
      </c>
      <c r="AK32" s="383" t="n">
        <v>0</v>
      </c>
      <c r="AL32" s="383" t="n">
        <v>0</v>
      </c>
      <c r="AM32" s="384">
        <f>AVERAGE(AI32:AL32)</f>
        <v/>
      </c>
      <c r="AN32" s="383" t="n">
        <v>0</v>
      </c>
      <c r="AO32" s="383" t="n">
        <v>0</v>
      </c>
      <c r="AP32" s="383" t="n">
        <v>0</v>
      </c>
      <c r="AQ32" s="383" t="n">
        <v>0</v>
      </c>
      <c r="AR32" s="384">
        <f>AVERAGE(AN32:AQ32)</f>
        <v/>
      </c>
    </row>
    <row r="33" ht="13.5" customHeight="1" s="290">
      <c r="A33" s="339" t="n"/>
      <c r="B33" s="373" t="inlineStr">
        <is>
          <t xml:space="preserve">  Book Loss GCI Drag — Core</t>
        </is>
      </c>
      <c r="C33" s="374" t="inlineStr">
        <is>
          <t>$K</t>
        </is>
      </c>
      <c r="D33" s="375" t="inlineStr">
        <is>
          <t xml:space="preserve"> −(Attrition × Book Loss Factor × Mature GCI/EPE)</t>
        </is>
      </c>
      <c r="E33" s="376">
        <f>-MAX(0,E26*E31*E32)</f>
        <v/>
      </c>
      <c r="F33" s="376">
        <f>-MAX(0,F26*F31*F32)</f>
        <v/>
      </c>
      <c r="G33" s="376">
        <f>-MAX(0,G26*G31*G32)</f>
        <v/>
      </c>
      <c r="H33" s="376">
        <f>-MAX(0,H26*H31*H32)</f>
        <v/>
      </c>
      <c r="I33" s="344">
        <f>SUM(E33:H33)</f>
        <v/>
      </c>
      <c r="J33" s="376">
        <f>-MAX(0,J26*J31*J32)</f>
        <v/>
      </c>
      <c r="K33" s="376">
        <f>-MAX(0,K26*K31*K32)</f>
        <v/>
      </c>
      <c r="L33" s="376">
        <f>-MAX(0,L26*L31*L32)</f>
        <v/>
      </c>
      <c r="M33" s="376">
        <f>-MAX(0,M26*M31*M32)</f>
        <v/>
      </c>
      <c r="N33" s="344">
        <f>SUM(J33:M33)</f>
        <v/>
      </c>
      <c r="O33" s="376">
        <f>-MAX(0,O26*O31*O32)</f>
        <v/>
      </c>
      <c r="P33" s="376">
        <f>-MAX(0,P26*P31*P32)</f>
        <v/>
      </c>
      <c r="Q33" s="376">
        <f>-MAX(0,Q26*Q31*Q32)</f>
        <v/>
      </c>
      <c r="R33" s="376">
        <f>-MAX(0,R26*R31*R32)</f>
        <v/>
      </c>
      <c r="S33" s="344">
        <f>SUM(O33:R33)</f>
        <v/>
      </c>
      <c r="T33" s="376">
        <f>-MAX(0,T26*T31*T32)</f>
        <v/>
      </c>
      <c r="U33" s="376">
        <f>-MAX(0,U26*U31*U32)</f>
        <v/>
      </c>
      <c r="V33" s="376">
        <f>-MAX(0,V26*V31*V32)</f>
        <v/>
      </c>
      <c r="W33" s="376">
        <f>-MAX(0,W26*W31*W32)</f>
        <v/>
      </c>
      <c r="X33" s="344">
        <f>SUM(T33:W33)</f>
        <v/>
      </c>
      <c r="Y33" s="376">
        <f>-MAX(0,Y26*Y31*Y32)</f>
        <v/>
      </c>
      <c r="Z33" s="376">
        <f>-MAX(0,Z26*Z31*Z32)</f>
        <v/>
      </c>
      <c r="AA33" s="376">
        <f>-MAX(0,AA26*AA31*AA32)</f>
        <v/>
      </c>
      <c r="AB33" s="376">
        <f>-MAX(0,AB26*AB31*AB32)</f>
        <v/>
      </c>
      <c r="AC33" s="344">
        <f>SUM(Y33:AB33)</f>
        <v/>
      </c>
      <c r="AD33" s="376">
        <f>-MAX(0,AD26*AD31*AD32)</f>
        <v/>
      </c>
      <c r="AE33" s="376">
        <f>-MAX(0,AE26*AE31*AE32)</f>
        <v/>
      </c>
      <c r="AF33" s="376">
        <f>-MAX(0,AF26*AF31*AF32)</f>
        <v/>
      </c>
      <c r="AG33" s="376">
        <f>-MAX(0,AG26*AG31*AG32)</f>
        <v/>
      </c>
      <c r="AH33" s="344">
        <f>SUM(AD33:AG33)</f>
        <v/>
      </c>
      <c r="AI33" s="376">
        <f>-MAX(0,AI26*AI31*AI32)</f>
        <v/>
      </c>
      <c r="AJ33" s="376">
        <f>-MAX(0,AJ26*AJ31*AJ32)</f>
        <v/>
      </c>
      <c r="AK33" s="376">
        <f>-MAX(0,AK26*AK31*AK32)</f>
        <v/>
      </c>
      <c r="AL33" s="376">
        <f>-MAX(0,AL26*AL31*AL32)</f>
        <v/>
      </c>
      <c r="AM33" s="344">
        <f>SUM(AI33:AL33)</f>
        <v/>
      </c>
      <c r="AN33" s="376">
        <f>-MAX(0,AN26*AN31*AN32)</f>
        <v/>
      </c>
      <c r="AO33" s="376">
        <f>-MAX(0,AO26*AO31*AO32)</f>
        <v/>
      </c>
      <c r="AP33" s="376">
        <f>-MAX(0,AP26*AP31*AP32)</f>
        <v/>
      </c>
      <c r="AQ33" s="376">
        <f>-MAX(0,AQ26*AQ31*AQ32)</f>
        <v/>
      </c>
      <c r="AR33" s="344">
        <f>SUM(AN33:AQ33)</f>
        <v/>
      </c>
    </row>
    <row r="34" ht="4.5" customHeight="1" s="290"/>
    <row r="35" ht="13.5" customHeight="1" s="290">
      <c r="A35" s="369" t="inlineStr">
        <is>
          <t xml:space="preserve">    ── Junior ──</t>
        </is>
      </c>
    </row>
    <row r="36" ht="13.5" customHeight="1" s="290">
      <c r="A36" s="339" t="n"/>
      <c r="B36" s="370" t="inlineStr">
        <is>
          <t xml:space="preserve">  Beginning HC — Junior</t>
        </is>
      </c>
      <c r="C36" s="371" t="inlineStr">
        <is>
          <t>#</t>
        </is>
      </c>
      <c r="D36" s="372" t="inlineStr">
        <is>
          <t>← '03 Operational Assumptions' row 31</t>
        </is>
      </c>
      <c r="E36" s="361">
        <f>'03 Operational Assumptions'!E31</f>
        <v/>
      </c>
      <c r="F36" s="361">
        <f>E42</f>
        <v/>
      </c>
      <c r="G36" s="361">
        <f>F42</f>
        <v/>
      </c>
      <c r="H36" s="361">
        <f>G42</f>
        <v/>
      </c>
      <c r="I36" s="361">
        <f>AVERAGE(E36:H36)</f>
        <v/>
      </c>
      <c r="J36" s="361">
        <f>H42</f>
        <v/>
      </c>
      <c r="K36" s="361">
        <f>J42</f>
        <v/>
      </c>
      <c r="L36" s="361">
        <f>K42</f>
        <v/>
      </c>
      <c r="M36" s="361">
        <f>L42</f>
        <v/>
      </c>
      <c r="N36" s="361">
        <f>AVERAGE(J36:M36)</f>
        <v/>
      </c>
      <c r="O36" s="361">
        <f>M42</f>
        <v/>
      </c>
      <c r="P36" s="361">
        <f>O42</f>
        <v/>
      </c>
      <c r="Q36" s="361">
        <f>P42</f>
        <v/>
      </c>
      <c r="R36" s="361">
        <f>Q42</f>
        <v/>
      </c>
      <c r="S36" s="361">
        <f>AVERAGE(O36:R36)</f>
        <v/>
      </c>
      <c r="T36" s="361">
        <f>R42</f>
        <v/>
      </c>
      <c r="U36" s="361">
        <f>T42</f>
        <v/>
      </c>
      <c r="V36" s="361">
        <f>U42</f>
        <v/>
      </c>
      <c r="W36" s="361">
        <f>V42</f>
        <v/>
      </c>
      <c r="X36" s="361">
        <f>AVERAGE(T36:W36)</f>
        <v/>
      </c>
      <c r="Y36" s="361">
        <f>W42</f>
        <v/>
      </c>
      <c r="Z36" s="361">
        <f>Y42</f>
        <v/>
      </c>
      <c r="AA36" s="361">
        <f>Z42</f>
        <v/>
      </c>
      <c r="AB36" s="361">
        <f>AA42</f>
        <v/>
      </c>
      <c r="AC36" s="361">
        <f>AVERAGE(Y36:AB36)</f>
        <v/>
      </c>
      <c r="AD36" s="361">
        <f>AB42</f>
        <v/>
      </c>
      <c r="AE36" s="361">
        <f>AD42</f>
        <v/>
      </c>
      <c r="AF36" s="361">
        <f>AE42</f>
        <v/>
      </c>
      <c r="AG36" s="361">
        <f>AF42</f>
        <v/>
      </c>
      <c r="AH36" s="361">
        <f>AVERAGE(AD36:AG36)</f>
        <v/>
      </c>
      <c r="AI36" s="361">
        <f>AG42</f>
        <v/>
      </c>
      <c r="AJ36" s="361">
        <f>AI42</f>
        <v/>
      </c>
      <c r="AK36" s="361">
        <f>AJ42</f>
        <v/>
      </c>
      <c r="AL36" s="361">
        <f>AK42</f>
        <v/>
      </c>
      <c r="AM36" s="361">
        <f>AVERAGE(AI36:AL36)</f>
        <v/>
      </c>
      <c r="AN36" s="361">
        <f>AL42</f>
        <v/>
      </c>
      <c r="AO36" s="361">
        <f>AN42</f>
        <v/>
      </c>
      <c r="AP36" s="361">
        <f>AO42</f>
        <v/>
      </c>
      <c r="AQ36" s="361">
        <f>AP42</f>
        <v/>
      </c>
      <c r="AR36" s="361">
        <f>AVERAGE(AN36:AQ36)</f>
        <v/>
      </c>
    </row>
    <row r="37" ht="13.5" customHeight="1" s="290">
      <c r="A37" s="339" t="n"/>
      <c r="B37" s="370" t="inlineStr">
        <is>
          <t xml:space="preserve">  Gross Hires / Qtr — Junior</t>
        </is>
      </c>
      <c r="C37" s="371" t="inlineStr">
        <is>
          <t>#/qtr</t>
        </is>
      </c>
      <c r="D37" s="372" t="inlineStr">
        <is>
          <t>← '03 Operational Assumptions' row 35 (Active)</t>
        </is>
      </c>
      <c r="E37" s="361">
        <f>'03 Operational Assumptions'!E35</f>
        <v/>
      </c>
      <c r="F37" s="361">
        <f>'03 Operational Assumptions'!F35</f>
        <v/>
      </c>
      <c r="G37" s="361">
        <f>'03 Operational Assumptions'!G35</f>
        <v/>
      </c>
      <c r="H37" s="361">
        <f>'03 Operational Assumptions'!H35</f>
        <v/>
      </c>
      <c r="I37" s="361">
        <f>SUM(E37:H37)</f>
        <v/>
      </c>
      <c r="J37" s="361">
        <f>'03 Operational Assumptions'!J35</f>
        <v/>
      </c>
      <c r="K37" s="361">
        <f>'03 Operational Assumptions'!K35</f>
        <v/>
      </c>
      <c r="L37" s="361">
        <f>'03 Operational Assumptions'!L35</f>
        <v/>
      </c>
      <c r="M37" s="361">
        <f>'03 Operational Assumptions'!M35</f>
        <v/>
      </c>
      <c r="N37" s="361">
        <f>SUM(J37:M37)</f>
        <v/>
      </c>
      <c r="O37" s="361">
        <f>'03 Operational Assumptions'!O35</f>
        <v/>
      </c>
      <c r="P37" s="361">
        <f>'03 Operational Assumptions'!P35</f>
        <v/>
      </c>
      <c r="Q37" s="361">
        <f>'03 Operational Assumptions'!Q35</f>
        <v/>
      </c>
      <c r="R37" s="361">
        <f>'03 Operational Assumptions'!R35</f>
        <v/>
      </c>
      <c r="S37" s="361">
        <f>SUM(O37:R37)</f>
        <v/>
      </c>
      <c r="T37" s="361">
        <f>'03 Operational Assumptions'!T35</f>
        <v/>
      </c>
      <c r="U37" s="361">
        <f>'03 Operational Assumptions'!U35</f>
        <v/>
      </c>
      <c r="V37" s="361">
        <f>'03 Operational Assumptions'!V35</f>
        <v/>
      </c>
      <c r="W37" s="361">
        <f>'03 Operational Assumptions'!W35</f>
        <v/>
      </c>
      <c r="X37" s="361">
        <f>SUM(T37:W37)</f>
        <v/>
      </c>
      <c r="Y37" s="361">
        <f>'03 Operational Assumptions'!Y35</f>
        <v/>
      </c>
      <c r="Z37" s="361">
        <f>'03 Operational Assumptions'!Z35</f>
        <v/>
      </c>
      <c r="AA37" s="361">
        <f>'03 Operational Assumptions'!AA35</f>
        <v/>
      </c>
      <c r="AB37" s="361">
        <f>'03 Operational Assumptions'!AB35</f>
        <v/>
      </c>
      <c r="AC37" s="361">
        <f>SUM(Y37:AB37)</f>
        <v/>
      </c>
      <c r="AD37" s="361">
        <f>'03 Operational Assumptions'!AD35</f>
        <v/>
      </c>
      <c r="AE37" s="361">
        <f>'03 Operational Assumptions'!AE35</f>
        <v/>
      </c>
      <c r="AF37" s="361">
        <f>'03 Operational Assumptions'!AF35</f>
        <v/>
      </c>
      <c r="AG37" s="361">
        <f>'03 Operational Assumptions'!AG35</f>
        <v/>
      </c>
      <c r="AH37" s="361">
        <f>SUM(AD37:AG37)</f>
        <v/>
      </c>
      <c r="AI37" s="361">
        <f>'03 Operational Assumptions'!AI35</f>
        <v/>
      </c>
      <c r="AJ37" s="361">
        <f>'03 Operational Assumptions'!AJ35</f>
        <v/>
      </c>
      <c r="AK37" s="361">
        <f>'03 Operational Assumptions'!AK35</f>
        <v/>
      </c>
      <c r="AL37" s="361">
        <f>'03 Operational Assumptions'!AL35</f>
        <v/>
      </c>
      <c r="AM37" s="361">
        <f>SUM(AI37:AL37)</f>
        <v/>
      </c>
      <c r="AN37" s="361">
        <f>'03 Operational Assumptions'!AN35</f>
        <v/>
      </c>
      <c r="AO37" s="361">
        <f>'03 Operational Assumptions'!AO35</f>
        <v/>
      </c>
      <c r="AP37" s="361">
        <f>'03 Operational Assumptions'!AP35</f>
        <v/>
      </c>
      <c r="AQ37" s="361">
        <f>'03 Operational Assumptions'!AQ35</f>
        <v/>
      </c>
      <c r="AR37" s="361">
        <f>SUM(AN37:AQ37)</f>
        <v/>
      </c>
    </row>
    <row r="38" ht="13.5" customHeight="1" s="290">
      <c r="A38" s="339" t="n"/>
      <c r="B38" s="370" t="inlineStr">
        <is>
          <t xml:space="preserve">  Attrition Rate — Junior</t>
        </is>
      </c>
      <c r="C38" s="371" t="inlineStr">
        <is>
          <t>%/qtr</t>
        </is>
      </c>
      <c r="D38" s="372" t="inlineStr">
        <is>
          <t>← '03 Operational Assumptions' row 39 (Active)</t>
        </is>
      </c>
      <c r="E38" s="361">
        <f>'03 Operational Assumptions'!E39</f>
        <v/>
      </c>
      <c r="F38" s="361">
        <f>'03 Operational Assumptions'!F39</f>
        <v/>
      </c>
      <c r="G38" s="361">
        <f>'03 Operational Assumptions'!G39</f>
        <v/>
      </c>
      <c r="H38" s="361">
        <f>'03 Operational Assumptions'!H39</f>
        <v/>
      </c>
      <c r="I38" s="361">
        <f>AVERAGE(E38:H38)</f>
        <v/>
      </c>
      <c r="J38" s="361">
        <f>'03 Operational Assumptions'!J39</f>
        <v/>
      </c>
      <c r="K38" s="361">
        <f>'03 Operational Assumptions'!K39</f>
        <v/>
      </c>
      <c r="L38" s="361">
        <f>'03 Operational Assumptions'!L39</f>
        <v/>
      </c>
      <c r="M38" s="361">
        <f>'03 Operational Assumptions'!M39</f>
        <v/>
      </c>
      <c r="N38" s="361">
        <f>AVERAGE(J38:M38)</f>
        <v/>
      </c>
      <c r="O38" s="361">
        <f>'03 Operational Assumptions'!O39</f>
        <v/>
      </c>
      <c r="P38" s="361">
        <f>'03 Operational Assumptions'!P39</f>
        <v/>
      </c>
      <c r="Q38" s="361">
        <f>'03 Operational Assumptions'!Q39</f>
        <v/>
      </c>
      <c r="R38" s="361">
        <f>'03 Operational Assumptions'!R39</f>
        <v/>
      </c>
      <c r="S38" s="361">
        <f>AVERAGE(O38:R38)</f>
        <v/>
      </c>
      <c r="T38" s="361">
        <f>'03 Operational Assumptions'!T39</f>
        <v/>
      </c>
      <c r="U38" s="361">
        <f>'03 Operational Assumptions'!U39</f>
        <v/>
      </c>
      <c r="V38" s="361">
        <f>'03 Operational Assumptions'!V39</f>
        <v/>
      </c>
      <c r="W38" s="361">
        <f>'03 Operational Assumptions'!W39</f>
        <v/>
      </c>
      <c r="X38" s="361">
        <f>AVERAGE(T38:W38)</f>
        <v/>
      </c>
      <c r="Y38" s="361">
        <f>'03 Operational Assumptions'!Y39</f>
        <v/>
      </c>
      <c r="Z38" s="361">
        <f>'03 Operational Assumptions'!Z39</f>
        <v/>
      </c>
      <c r="AA38" s="361">
        <f>'03 Operational Assumptions'!AA39</f>
        <v/>
      </c>
      <c r="AB38" s="361">
        <f>'03 Operational Assumptions'!AB39</f>
        <v/>
      </c>
      <c r="AC38" s="361">
        <f>AVERAGE(Y38:AB38)</f>
        <v/>
      </c>
      <c r="AD38" s="361">
        <f>'03 Operational Assumptions'!AD39</f>
        <v/>
      </c>
      <c r="AE38" s="361">
        <f>'03 Operational Assumptions'!AE39</f>
        <v/>
      </c>
      <c r="AF38" s="361">
        <f>'03 Operational Assumptions'!AF39</f>
        <v/>
      </c>
      <c r="AG38" s="361">
        <f>'03 Operational Assumptions'!AG39</f>
        <v/>
      </c>
      <c r="AH38" s="361">
        <f>AVERAGE(AD38:AG38)</f>
        <v/>
      </c>
      <c r="AI38" s="361">
        <f>'03 Operational Assumptions'!AI39</f>
        <v/>
      </c>
      <c r="AJ38" s="361">
        <f>'03 Operational Assumptions'!AJ39</f>
        <v/>
      </c>
      <c r="AK38" s="361">
        <f>'03 Operational Assumptions'!AK39</f>
        <v/>
      </c>
      <c r="AL38" s="361">
        <f>'03 Operational Assumptions'!AL39</f>
        <v/>
      </c>
      <c r="AM38" s="361">
        <f>AVERAGE(AI38:AL38)</f>
        <v/>
      </c>
      <c r="AN38" s="361">
        <f>'03 Operational Assumptions'!AN39</f>
        <v/>
      </c>
      <c r="AO38" s="361">
        <f>'03 Operational Assumptions'!AO39</f>
        <v/>
      </c>
      <c r="AP38" s="361">
        <f>'03 Operational Assumptions'!AP39</f>
        <v/>
      </c>
      <c r="AQ38" s="361">
        <f>'03 Operational Assumptions'!AQ39</f>
        <v/>
      </c>
      <c r="AR38" s="361">
        <f>AVERAGE(AN38:AQ38)</f>
        <v/>
      </c>
    </row>
    <row r="39" ht="13.5" customHeight="1" s="290">
      <c r="A39" s="339" t="n"/>
      <c r="B39" s="373" t="inlineStr">
        <is>
          <t xml:space="preserve">  Attrition Count — Junior</t>
        </is>
      </c>
      <c r="C39" s="374" t="inlineStr">
        <is>
          <t>#/qtr</t>
        </is>
      </c>
      <c r="D39" s="375" t="inlineStr">
        <is>
          <t xml:space="preserve"> attrition rate × Beginning HC</t>
        </is>
      </c>
      <c r="E39" s="376">
        <f>E38*E36</f>
        <v/>
      </c>
      <c r="F39" s="376">
        <f>F38*F36</f>
        <v/>
      </c>
      <c r="G39" s="376">
        <f>G38*G36</f>
        <v/>
      </c>
      <c r="H39" s="376">
        <f>H38*H36</f>
        <v/>
      </c>
      <c r="I39" s="344">
        <f>SUM(E39:H39)</f>
        <v/>
      </c>
      <c r="J39" s="376">
        <f>J38*J36</f>
        <v/>
      </c>
      <c r="K39" s="376">
        <f>K38*K36</f>
        <v/>
      </c>
      <c r="L39" s="376">
        <f>L38*L36</f>
        <v/>
      </c>
      <c r="M39" s="376">
        <f>M38*M36</f>
        <v/>
      </c>
      <c r="N39" s="344">
        <f>SUM(J39:M39)</f>
        <v/>
      </c>
      <c r="O39" s="376">
        <f>O38*O36</f>
        <v/>
      </c>
      <c r="P39" s="376">
        <f>P38*P36</f>
        <v/>
      </c>
      <c r="Q39" s="376">
        <f>Q38*Q36</f>
        <v/>
      </c>
      <c r="R39" s="376">
        <f>R38*R36</f>
        <v/>
      </c>
      <c r="S39" s="344">
        <f>SUM(O39:R39)</f>
        <v/>
      </c>
      <c r="T39" s="376">
        <f>T38*T36</f>
        <v/>
      </c>
      <c r="U39" s="376">
        <f>U38*U36</f>
        <v/>
      </c>
      <c r="V39" s="376">
        <f>V38*V36</f>
        <v/>
      </c>
      <c r="W39" s="376">
        <f>W38*W36</f>
        <v/>
      </c>
      <c r="X39" s="344">
        <f>SUM(T39:W39)</f>
        <v/>
      </c>
      <c r="Y39" s="376">
        <f>Y38*Y36</f>
        <v/>
      </c>
      <c r="Z39" s="376">
        <f>Z38*Z36</f>
        <v/>
      </c>
      <c r="AA39" s="376">
        <f>AA38*AA36</f>
        <v/>
      </c>
      <c r="AB39" s="376">
        <f>AB38*AB36</f>
        <v/>
      </c>
      <c r="AC39" s="344">
        <f>SUM(Y39:AB39)</f>
        <v/>
      </c>
      <c r="AD39" s="376">
        <f>AD38*AD36</f>
        <v/>
      </c>
      <c r="AE39" s="376">
        <f>AE38*AE36</f>
        <v/>
      </c>
      <c r="AF39" s="376">
        <f>AF38*AF36</f>
        <v/>
      </c>
      <c r="AG39" s="376">
        <f>AG38*AG36</f>
        <v/>
      </c>
      <c r="AH39" s="344">
        <f>SUM(AD39:AG39)</f>
        <v/>
      </c>
      <c r="AI39" s="376">
        <f>AI38*AI36</f>
        <v/>
      </c>
      <c r="AJ39" s="376">
        <f>AJ38*AJ36</f>
        <v/>
      </c>
      <c r="AK39" s="376">
        <f>AK38*AK36</f>
        <v/>
      </c>
      <c r="AL39" s="376">
        <f>AL38*AL36</f>
        <v/>
      </c>
      <c r="AM39" s="344">
        <f>SUM(AI39:AL39)</f>
        <v/>
      </c>
      <c r="AN39" s="376">
        <f>AN38*AN36</f>
        <v/>
      </c>
      <c r="AO39" s="376">
        <f>AO38*AO36</f>
        <v/>
      </c>
      <c r="AP39" s="376">
        <f>AP38*AP36</f>
        <v/>
      </c>
      <c r="AQ39" s="376">
        <f>AQ38*AQ36</f>
        <v/>
      </c>
      <c r="AR39" s="344">
        <f>SUM(AN39:AQ39)</f>
        <v/>
      </c>
    </row>
    <row r="40" ht="13.5" customHeight="1" s="290">
      <c r="A40" s="339" t="n"/>
      <c r="B40" s="370" t="inlineStr">
        <is>
          <t xml:space="preserve">  Ramp Factor Yr1 — Junior</t>
        </is>
      </c>
      <c r="C40" s="371" t="inlineStr">
        <is>
          <t>% of mature</t>
        </is>
      </c>
      <c r="D40" s="372" t="inlineStr">
        <is>
          <t>← '03 Operational Assumptions' row 153 col G (Yr1 ramp)</t>
        </is>
      </c>
      <c r="E40" s="361">
        <f>'03 Operational Assumptions'!G153</f>
        <v/>
      </c>
      <c r="F40" s="361">
        <f>'03 Operational Assumptions'!G153</f>
        <v/>
      </c>
      <c r="G40" s="361">
        <f>'03 Operational Assumptions'!G153</f>
        <v/>
      </c>
      <c r="H40" s="361">
        <f>'03 Operational Assumptions'!G153</f>
        <v/>
      </c>
      <c r="I40" s="361">
        <f>AVERAGE(E40:H40)</f>
        <v/>
      </c>
      <c r="J40" s="361">
        <f>'03 Operational Assumptions'!G153</f>
        <v/>
      </c>
      <c r="K40" s="361">
        <f>'03 Operational Assumptions'!G153</f>
        <v/>
      </c>
      <c r="L40" s="361">
        <f>'03 Operational Assumptions'!G153</f>
        <v/>
      </c>
      <c r="M40" s="361">
        <f>'03 Operational Assumptions'!G153</f>
        <v/>
      </c>
      <c r="N40" s="361">
        <f>AVERAGE(J40:M40)</f>
        <v/>
      </c>
      <c r="O40" s="361">
        <f>'03 Operational Assumptions'!G153</f>
        <v/>
      </c>
      <c r="P40" s="361">
        <f>'03 Operational Assumptions'!G153</f>
        <v/>
      </c>
      <c r="Q40" s="361">
        <f>'03 Operational Assumptions'!G153</f>
        <v/>
      </c>
      <c r="R40" s="361">
        <f>'03 Operational Assumptions'!G153</f>
        <v/>
      </c>
      <c r="S40" s="361">
        <f>AVERAGE(O40:R40)</f>
        <v/>
      </c>
      <c r="T40" s="361">
        <f>'03 Operational Assumptions'!G153</f>
        <v/>
      </c>
      <c r="U40" s="361">
        <f>'03 Operational Assumptions'!G153</f>
        <v/>
      </c>
      <c r="V40" s="361">
        <f>'03 Operational Assumptions'!G153</f>
        <v/>
      </c>
      <c r="W40" s="361">
        <f>'03 Operational Assumptions'!G153</f>
        <v/>
      </c>
      <c r="X40" s="361">
        <f>AVERAGE(T40:W40)</f>
        <v/>
      </c>
      <c r="Y40" s="361">
        <f>'03 Operational Assumptions'!G153</f>
        <v/>
      </c>
      <c r="Z40" s="361">
        <f>'03 Operational Assumptions'!G153</f>
        <v/>
      </c>
      <c r="AA40" s="361">
        <f>'03 Operational Assumptions'!G153</f>
        <v/>
      </c>
      <c r="AB40" s="361">
        <f>'03 Operational Assumptions'!G153</f>
        <v/>
      </c>
      <c r="AC40" s="361">
        <f>AVERAGE(Y40:AB40)</f>
        <v/>
      </c>
      <c r="AD40" s="361">
        <f>'03 Operational Assumptions'!G153</f>
        <v/>
      </c>
      <c r="AE40" s="361">
        <f>'03 Operational Assumptions'!G153</f>
        <v/>
      </c>
      <c r="AF40" s="361">
        <f>'03 Operational Assumptions'!G153</f>
        <v/>
      </c>
      <c r="AG40" s="361">
        <f>'03 Operational Assumptions'!G153</f>
        <v/>
      </c>
      <c r="AH40" s="361">
        <f>AVERAGE(AD40:AG40)</f>
        <v/>
      </c>
      <c r="AI40" s="361">
        <f>'03 Operational Assumptions'!G153</f>
        <v/>
      </c>
      <c r="AJ40" s="361">
        <f>'03 Operational Assumptions'!G153</f>
        <v/>
      </c>
      <c r="AK40" s="361">
        <f>'03 Operational Assumptions'!G153</f>
        <v/>
      </c>
      <c r="AL40" s="361">
        <f>'03 Operational Assumptions'!G153</f>
        <v/>
      </c>
      <c r="AM40" s="361">
        <f>AVERAGE(AI40:AL40)</f>
        <v/>
      </c>
      <c r="AN40" s="361">
        <f>'03 Operational Assumptions'!G153</f>
        <v/>
      </c>
      <c r="AO40" s="361">
        <f>'03 Operational Assumptions'!G153</f>
        <v/>
      </c>
      <c r="AP40" s="361">
        <f>'03 Operational Assumptions'!G153</f>
        <v/>
      </c>
      <c r="AQ40" s="361">
        <f>'03 Operational Assumptions'!G153</f>
        <v/>
      </c>
      <c r="AR40" s="361">
        <f>AVERAGE(AN40:AQ40)</f>
        <v/>
      </c>
    </row>
    <row r="41" ht="13.5" customHeight="1" s="290">
      <c r="A41" s="339" t="n"/>
      <c r="B41" s="377" t="inlineStr">
        <is>
          <t xml:space="preserve">  ★ EPE — Junior</t>
        </is>
      </c>
      <c r="C41" s="378" t="inlineStr">
        <is>
          <t>EPE</t>
        </is>
      </c>
      <c r="D41" s="375" t="inlineStr">
        <is>
          <t xml:space="preserve"> MAX(0, beg hc + (hires × Ramp) − Attrition)))</t>
        </is>
      </c>
      <c r="E41" s="379">
        <f>MAX(0,E36+(E37*E40)-E39)</f>
        <v/>
      </c>
      <c r="F41" s="379">
        <f>MAX(0,F36+(F37*F40)-F39)</f>
        <v/>
      </c>
      <c r="G41" s="379">
        <f>MAX(0,G36+(G37*G40)-G39)</f>
        <v/>
      </c>
      <c r="H41" s="379">
        <f>MAX(0,H36+(H37*H40)-H39)</f>
        <v/>
      </c>
      <c r="I41" s="379">
        <f>AVERAGE(E41:H41)</f>
        <v/>
      </c>
      <c r="J41" s="379">
        <f>MAX(0,J36+(J37*J40)-J39)</f>
        <v/>
      </c>
      <c r="K41" s="379">
        <f>MAX(0,K36+(K37*K40)-K39)</f>
        <v/>
      </c>
      <c r="L41" s="379">
        <f>MAX(0,L36+(L37*L40)-L39)</f>
        <v/>
      </c>
      <c r="M41" s="379">
        <f>MAX(0,M36+(M37*M40)-M39)</f>
        <v/>
      </c>
      <c r="N41" s="379">
        <f>AVERAGE(J41:M41)</f>
        <v/>
      </c>
      <c r="O41" s="379">
        <f>MAX(0,O36+(O37*O40)-O39)</f>
        <v/>
      </c>
      <c r="P41" s="379">
        <f>MAX(0,P36+(P37*P40)-P39)</f>
        <v/>
      </c>
      <c r="Q41" s="379">
        <f>MAX(0,Q36+(Q37*Q40)-Q39)</f>
        <v/>
      </c>
      <c r="R41" s="379">
        <f>MAX(0,R36+(R37*R40)-R39)</f>
        <v/>
      </c>
      <c r="S41" s="379">
        <f>AVERAGE(O41:R41)</f>
        <v/>
      </c>
      <c r="T41" s="379">
        <f>MAX(0,T36+(T37*T40)-T39)</f>
        <v/>
      </c>
      <c r="U41" s="379">
        <f>MAX(0,U36+(U37*U40)-U39)</f>
        <v/>
      </c>
      <c r="V41" s="379">
        <f>MAX(0,V36+(V37*V40)-V39)</f>
        <v/>
      </c>
      <c r="W41" s="379">
        <f>MAX(0,W36+(W37*W40)-W39)</f>
        <v/>
      </c>
      <c r="X41" s="379">
        <f>AVERAGE(T41:W41)</f>
        <v/>
      </c>
      <c r="Y41" s="379">
        <f>MAX(0,Y36+(Y37*Y40)-Y39)</f>
        <v/>
      </c>
      <c r="Z41" s="379">
        <f>MAX(0,Z36+(Z37*Z40)-Z39)</f>
        <v/>
      </c>
      <c r="AA41" s="379">
        <f>MAX(0,AA36+(AA37*AA40)-AA39)</f>
        <v/>
      </c>
      <c r="AB41" s="379">
        <f>MAX(0,AB36+(AB37*AB40)-AB39)</f>
        <v/>
      </c>
      <c r="AC41" s="379">
        <f>AVERAGE(Y41:AB41)</f>
        <v/>
      </c>
      <c r="AD41" s="379">
        <f>MAX(0,AD36+(AD37*AD40)-AD39)</f>
        <v/>
      </c>
      <c r="AE41" s="379">
        <f>MAX(0,AE36+(AE37*AE40)-AE39)</f>
        <v/>
      </c>
      <c r="AF41" s="379">
        <f>MAX(0,AF36+(AF37*AF40)-AF39)</f>
        <v/>
      </c>
      <c r="AG41" s="379">
        <f>MAX(0,AG36+(AG37*AG40)-AG39)</f>
        <v/>
      </c>
      <c r="AH41" s="379">
        <f>AVERAGE(AD41:AG41)</f>
        <v/>
      </c>
      <c r="AI41" s="379">
        <f>MAX(0,AI36+(AI37*AI40)-AI39)</f>
        <v/>
      </c>
      <c r="AJ41" s="379">
        <f>MAX(0,AJ36+(AJ37*AJ40)-AJ39)</f>
        <v/>
      </c>
      <c r="AK41" s="379">
        <f>MAX(0,AK36+(AK37*AK40)-AK39)</f>
        <v/>
      </c>
      <c r="AL41" s="379">
        <f>MAX(0,AL36+(AL37*AL40)-AL39)</f>
        <v/>
      </c>
      <c r="AM41" s="379">
        <f>AVERAGE(AI41:AL41)</f>
        <v/>
      </c>
      <c r="AN41" s="379">
        <f>MAX(0,AN36+(AN37*AN40)-AN39)</f>
        <v/>
      </c>
      <c r="AO41" s="379">
        <f>MAX(0,AO36+(AO37*AO40)-AO39)</f>
        <v/>
      </c>
      <c r="AP41" s="379">
        <f>MAX(0,AP36+(AP37*AP40)-AP39)</f>
        <v/>
      </c>
      <c r="AQ41" s="379">
        <f>MAX(0,AQ36+(AQ37*AQ40)-AQ39)</f>
        <v/>
      </c>
      <c r="AR41" s="379">
        <f>AVERAGE(AN41:AQ41)</f>
        <v/>
      </c>
    </row>
    <row r="42" ht="13.5" customHeight="1" s="290">
      <c r="A42" s="339" t="n"/>
      <c r="B42" s="373" t="inlineStr">
        <is>
          <t xml:space="preserve">  Ending HC — Junior</t>
        </is>
      </c>
      <c r="C42" s="374" t="inlineStr">
        <is>
          <t>#</t>
        </is>
      </c>
      <c r="D42" s="375" t="inlineStr">
        <is>
          <t xml:space="preserve"> MAX(0, beg hc + hires − Attrition Count))</t>
        </is>
      </c>
      <c r="E42" s="376">
        <f>MAX(0,E36+E37-E39)</f>
        <v/>
      </c>
      <c r="F42" s="376">
        <f>MAX(0,F36+F37-F39)</f>
        <v/>
      </c>
      <c r="G42" s="376">
        <f>MAX(0,G36+G37-G39)</f>
        <v/>
      </c>
      <c r="H42" s="376">
        <f>MAX(0,H36+H37-H39)</f>
        <v/>
      </c>
      <c r="I42" s="344">
        <f>AVERAGE(E42:H42)</f>
        <v/>
      </c>
      <c r="J42" s="376">
        <f>MAX(0,J36+J37-J39)</f>
        <v/>
      </c>
      <c r="K42" s="376">
        <f>MAX(0,K36+K37-K39)</f>
        <v/>
      </c>
      <c r="L42" s="376">
        <f>MAX(0,L36+L37-L39)</f>
        <v/>
      </c>
      <c r="M42" s="376">
        <f>MAX(0,M36+M37-M39)</f>
        <v/>
      </c>
      <c r="N42" s="344">
        <f>AVERAGE(J42:M42)</f>
        <v/>
      </c>
      <c r="O42" s="376">
        <f>MAX(0,O36+O37-O39)</f>
        <v/>
      </c>
      <c r="P42" s="376">
        <f>MAX(0,P36+P37-P39)</f>
        <v/>
      </c>
      <c r="Q42" s="376">
        <f>MAX(0,Q36+Q37-Q39)</f>
        <v/>
      </c>
      <c r="R42" s="376">
        <f>MAX(0,R36+R37-R39)</f>
        <v/>
      </c>
      <c r="S42" s="344">
        <f>AVERAGE(O42:R42)</f>
        <v/>
      </c>
      <c r="T42" s="376">
        <f>MAX(0,T36+T37-T39)</f>
        <v/>
      </c>
      <c r="U42" s="376">
        <f>MAX(0,U36+U37-U39)</f>
        <v/>
      </c>
      <c r="V42" s="376">
        <f>MAX(0,V36+V37-V39)</f>
        <v/>
      </c>
      <c r="W42" s="376">
        <f>MAX(0,W36+W37-W39)</f>
        <v/>
      </c>
      <c r="X42" s="344">
        <f>AVERAGE(T42:W42)</f>
        <v/>
      </c>
      <c r="Y42" s="376">
        <f>MAX(0,Y36+Y37-Y39)</f>
        <v/>
      </c>
      <c r="Z42" s="376">
        <f>MAX(0,Z36+Z37-Z39)</f>
        <v/>
      </c>
      <c r="AA42" s="376">
        <f>MAX(0,AA36+AA37-AA39)</f>
        <v/>
      </c>
      <c r="AB42" s="376">
        <f>MAX(0,AB36+AB37-AB39)</f>
        <v/>
      </c>
      <c r="AC42" s="344">
        <f>AVERAGE(Y42:AB42)</f>
        <v/>
      </c>
      <c r="AD42" s="376">
        <f>MAX(0,AD36+AD37-AD39)</f>
        <v/>
      </c>
      <c r="AE42" s="376">
        <f>MAX(0,AE36+AE37-AE39)</f>
        <v/>
      </c>
      <c r="AF42" s="376">
        <f>MAX(0,AF36+AF37-AF39)</f>
        <v/>
      </c>
      <c r="AG42" s="376">
        <f>MAX(0,AG36+AG37-AG39)</f>
        <v/>
      </c>
      <c r="AH42" s="344">
        <f>AVERAGE(AD42:AG42)</f>
        <v/>
      </c>
      <c r="AI42" s="376">
        <f>MAX(0,AI36+AI37-AI39)</f>
        <v/>
      </c>
      <c r="AJ42" s="376">
        <f>MAX(0,AJ36+AJ37-AJ39)</f>
        <v/>
      </c>
      <c r="AK42" s="376">
        <f>MAX(0,AK36+AK37-AK39)</f>
        <v/>
      </c>
      <c r="AL42" s="376">
        <f>MAX(0,AL36+AL37-AL39)</f>
        <v/>
      </c>
      <c r="AM42" s="344">
        <f>AVERAGE(AI42:AL42)</f>
        <v/>
      </c>
      <c r="AN42" s="376">
        <f>MAX(0,AN36+AN37-AN39)</f>
        <v/>
      </c>
      <c r="AO42" s="376">
        <f>MAX(0,AO36+AO37-AO39)</f>
        <v/>
      </c>
      <c r="AP42" s="376">
        <f>MAX(0,AP36+AP37-AP39)</f>
        <v/>
      </c>
      <c r="AQ42" s="376">
        <f>MAX(0,AQ36+AQ37-AQ39)</f>
        <v/>
      </c>
      <c r="AR42" s="344">
        <f>AVERAGE(AN42:AQ42)</f>
        <v/>
      </c>
    </row>
    <row r="43" ht="13.5" customHeight="1" s="290">
      <c r="A43" s="339" t="n"/>
      <c r="B43" s="373" t="inlineStr">
        <is>
          <t xml:space="preserve">  Ramp Drag — Junior</t>
        </is>
      </c>
      <c r="C43" s="374" t="inlineStr">
        <is>
          <t>#</t>
        </is>
      </c>
      <c r="D43" s="375" t="inlineStr">
        <is>
          <t xml:space="preserve"> ending hc − EPE  (un-ramped producer count)</t>
        </is>
      </c>
      <c r="E43" s="376">
        <f>MAX(0,E42-E41)</f>
        <v/>
      </c>
      <c r="F43" s="376">
        <f>MAX(0,F42-F41)</f>
        <v/>
      </c>
      <c r="G43" s="376">
        <f>MAX(0,G42-G41)</f>
        <v/>
      </c>
      <c r="H43" s="376">
        <f>MAX(0,H42-H41)</f>
        <v/>
      </c>
      <c r="I43" s="344">
        <f>SUM(E43:H43)</f>
        <v/>
      </c>
      <c r="J43" s="376">
        <f>MAX(0,J42-J41)</f>
        <v/>
      </c>
      <c r="K43" s="376">
        <f>MAX(0,K42-K41)</f>
        <v/>
      </c>
      <c r="L43" s="376">
        <f>MAX(0,L42-L41)</f>
        <v/>
      </c>
      <c r="M43" s="376">
        <f>MAX(0,M42-M41)</f>
        <v/>
      </c>
      <c r="N43" s="344">
        <f>SUM(J43:M43)</f>
        <v/>
      </c>
      <c r="O43" s="376">
        <f>MAX(0,O42-O41)</f>
        <v/>
      </c>
      <c r="P43" s="376">
        <f>MAX(0,P42-P41)</f>
        <v/>
      </c>
      <c r="Q43" s="376">
        <f>MAX(0,Q42-Q41)</f>
        <v/>
      </c>
      <c r="R43" s="376">
        <f>MAX(0,R42-R41)</f>
        <v/>
      </c>
      <c r="S43" s="344">
        <f>SUM(O43:R43)</f>
        <v/>
      </c>
      <c r="T43" s="376">
        <f>MAX(0,T42-T41)</f>
        <v/>
      </c>
      <c r="U43" s="376">
        <f>MAX(0,U42-U41)</f>
        <v/>
      </c>
      <c r="V43" s="376">
        <f>MAX(0,V42-V41)</f>
        <v/>
      </c>
      <c r="W43" s="376">
        <f>MAX(0,W42-W41)</f>
        <v/>
      </c>
      <c r="X43" s="344">
        <f>SUM(T43:W43)</f>
        <v/>
      </c>
      <c r="Y43" s="376">
        <f>MAX(0,Y42-Y41)</f>
        <v/>
      </c>
      <c r="Z43" s="376">
        <f>MAX(0,Z42-Z41)</f>
        <v/>
      </c>
      <c r="AA43" s="376">
        <f>MAX(0,AA42-AA41)</f>
        <v/>
      </c>
      <c r="AB43" s="376">
        <f>MAX(0,AB42-AB41)</f>
        <v/>
      </c>
      <c r="AC43" s="344">
        <f>SUM(Y43:AB43)</f>
        <v/>
      </c>
      <c r="AD43" s="376">
        <f>MAX(0,AD42-AD41)</f>
        <v/>
      </c>
      <c r="AE43" s="376">
        <f>MAX(0,AE42-AE41)</f>
        <v/>
      </c>
      <c r="AF43" s="376">
        <f>MAX(0,AF42-AF41)</f>
        <v/>
      </c>
      <c r="AG43" s="376">
        <f>MAX(0,AG42-AG41)</f>
        <v/>
      </c>
      <c r="AH43" s="344">
        <f>SUM(AD43:AG43)</f>
        <v/>
      </c>
      <c r="AI43" s="376">
        <f>MAX(0,AI42-AI41)</f>
        <v/>
      </c>
      <c r="AJ43" s="376">
        <f>MAX(0,AJ42-AJ41)</f>
        <v/>
      </c>
      <c r="AK43" s="376">
        <f>MAX(0,AK42-AK41)</f>
        <v/>
      </c>
      <c r="AL43" s="376">
        <f>MAX(0,AL42-AL41)</f>
        <v/>
      </c>
      <c r="AM43" s="344">
        <f>SUM(AI43:AL43)</f>
        <v/>
      </c>
      <c r="AN43" s="376">
        <f>MAX(0,AN42-AN41)</f>
        <v/>
      </c>
      <c r="AO43" s="376">
        <f>MAX(0,AO42-AO41)</f>
        <v/>
      </c>
      <c r="AP43" s="376">
        <f>MAX(0,AP42-AP41)</f>
        <v/>
      </c>
      <c r="AQ43" s="376">
        <f>MAX(0,AQ42-AQ41)</f>
        <v/>
      </c>
      <c r="AR43" s="344">
        <f>SUM(AN43:AQ43)</f>
        <v/>
      </c>
    </row>
    <row r="44" ht="13.5" customHeight="1" s="290">
      <c r="A44" s="339" t="n"/>
      <c r="B44" s="370" t="inlineStr">
        <is>
          <t xml:space="preserve">  Book Loss Factor — Junior</t>
        </is>
      </c>
      <c r="C44" s="371" t="inlineStr">
        <is>
          <t>%</t>
        </is>
      </c>
      <c r="D44" s="372" t="inlineStr">
        <is>
          <t>← '03 Operational Assumptions' row 162 col G</t>
        </is>
      </c>
      <c r="E44" s="361">
        <f>'03 Operational Assumptions'!G162</f>
        <v/>
      </c>
      <c r="F44" s="361">
        <f>'03 Operational Assumptions'!G162</f>
        <v/>
      </c>
      <c r="G44" s="361">
        <f>'03 Operational Assumptions'!G162</f>
        <v/>
      </c>
      <c r="H44" s="361">
        <f>'03 Operational Assumptions'!G162</f>
        <v/>
      </c>
      <c r="I44" s="361">
        <f>AVERAGE(E44:H44)</f>
        <v/>
      </c>
      <c r="J44" s="361">
        <f>'03 Operational Assumptions'!G162</f>
        <v/>
      </c>
      <c r="K44" s="361">
        <f>'03 Operational Assumptions'!G162</f>
        <v/>
      </c>
      <c r="L44" s="361">
        <f>'03 Operational Assumptions'!G162</f>
        <v/>
      </c>
      <c r="M44" s="361">
        <f>'03 Operational Assumptions'!G162</f>
        <v/>
      </c>
      <c r="N44" s="361">
        <f>AVERAGE(J44:M44)</f>
        <v/>
      </c>
      <c r="O44" s="361">
        <f>'03 Operational Assumptions'!G162</f>
        <v/>
      </c>
      <c r="P44" s="361">
        <f>'03 Operational Assumptions'!G162</f>
        <v/>
      </c>
      <c r="Q44" s="361">
        <f>'03 Operational Assumptions'!G162</f>
        <v/>
      </c>
      <c r="R44" s="361">
        <f>'03 Operational Assumptions'!G162</f>
        <v/>
      </c>
      <c r="S44" s="361">
        <f>AVERAGE(O44:R44)</f>
        <v/>
      </c>
      <c r="T44" s="361">
        <f>'03 Operational Assumptions'!G162</f>
        <v/>
      </c>
      <c r="U44" s="361">
        <f>'03 Operational Assumptions'!G162</f>
        <v/>
      </c>
      <c r="V44" s="361">
        <f>'03 Operational Assumptions'!G162</f>
        <v/>
      </c>
      <c r="W44" s="361">
        <f>'03 Operational Assumptions'!G162</f>
        <v/>
      </c>
      <c r="X44" s="361">
        <f>AVERAGE(T44:W44)</f>
        <v/>
      </c>
      <c r="Y44" s="361">
        <f>'03 Operational Assumptions'!G162</f>
        <v/>
      </c>
      <c r="Z44" s="361">
        <f>'03 Operational Assumptions'!G162</f>
        <v/>
      </c>
      <c r="AA44" s="361">
        <f>'03 Operational Assumptions'!G162</f>
        <v/>
      </c>
      <c r="AB44" s="361">
        <f>'03 Operational Assumptions'!G162</f>
        <v/>
      </c>
      <c r="AC44" s="361">
        <f>AVERAGE(Y44:AB44)</f>
        <v/>
      </c>
      <c r="AD44" s="361">
        <f>'03 Operational Assumptions'!G162</f>
        <v/>
      </c>
      <c r="AE44" s="361">
        <f>'03 Operational Assumptions'!G162</f>
        <v/>
      </c>
      <c r="AF44" s="361">
        <f>'03 Operational Assumptions'!G162</f>
        <v/>
      </c>
      <c r="AG44" s="361">
        <f>'03 Operational Assumptions'!G162</f>
        <v/>
      </c>
      <c r="AH44" s="361">
        <f>AVERAGE(AD44:AG44)</f>
        <v/>
      </c>
      <c r="AI44" s="361">
        <f>'03 Operational Assumptions'!G162</f>
        <v/>
      </c>
      <c r="AJ44" s="361">
        <f>'03 Operational Assumptions'!G162</f>
        <v/>
      </c>
      <c r="AK44" s="361">
        <f>'03 Operational Assumptions'!G162</f>
        <v/>
      </c>
      <c r="AL44" s="361">
        <f>'03 Operational Assumptions'!G162</f>
        <v/>
      </c>
      <c r="AM44" s="361">
        <f>AVERAGE(AI44:AL44)</f>
        <v/>
      </c>
      <c r="AN44" s="361">
        <f>'03 Operational Assumptions'!G162</f>
        <v/>
      </c>
      <c r="AO44" s="361">
        <f>'03 Operational Assumptions'!G162</f>
        <v/>
      </c>
      <c r="AP44" s="361">
        <f>'03 Operational Assumptions'!G162</f>
        <v/>
      </c>
      <c r="AQ44" s="361">
        <f>'03 Operational Assumptions'!G162</f>
        <v/>
      </c>
      <c r="AR44" s="361">
        <f>AVERAGE(AN44:AQ44)</f>
        <v/>
      </c>
    </row>
    <row r="45" ht="13.5" customHeight="1" s="290">
      <c r="B45" s="380" t="inlineStr">
        <is>
          <t xml:space="preserve">  Mature GCI / EPE — Junior  [Placeholder]</t>
        </is>
      </c>
      <c r="C45" s="381" t="inlineStr">
        <is>
          <t>$K/EPE</t>
        </is>
      </c>
      <c r="D45" s="382" t="inlineStr">
        <is>
          <t>V1 MANUAL INPUT: Enter annualized GCI/EPE ($K) for this tier after Tab 05 is run. Book-loss drag = 0 until populated. No circular reference risk — this is a one-way input.</t>
        </is>
      </c>
      <c r="E45" s="383" t="n">
        <v>0</v>
      </c>
      <c r="F45" s="383" t="n">
        <v>0</v>
      </c>
      <c r="G45" s="383" t="n">
        <v>0</v>
      </c>
      <c r="H45" s="383" t="n">
        <v>0</v>
      </c>
      <c r="I45" s="384">
        <f>AVERAGE(E45:H45)</f>
        <v/>
      </c>
      <c r="J45" s="383" t="n">
        <v>0</v>
      </c>
      <c r="K45" s="383" t="n">
        <v>0</v>
      </c>
      <c r="L45" s="383" t="n">
        <v>0</v>
      </c>
      <c r="M45" s="383" t="n">
        <v>0</v>
      </c>
      <c r="N45" s="384">
        <f>AVERAGE(J45:M45)</f>
        <v/>
      </c>
      <c r="O45" s="383" t="n">
        <v>0</v>
      </c>
      <c r="P45" s="383" t="n">
        <v>0</v>
      </c>
      <c r="Q45" s="383" t="n">
        <v>0</v>
      </c>
      <c r="R45" s="383" t="n">
        <v>0</v>
      </c>
      <c r="S45" s="384">
        <f>AVERAGE(O45:R45)</f>
        <v/>
      </c>
      <c r="T45" s="383" t="n">
        <v>0</v>
      </c>
      <c r="U45" s="383" t="n">
        <v>0</v>
      </c>
      <c r="V45" s="383" t="n">
        <v>0</v>
      </c>
      <c r="W45" s="383" t="n">
        <v>0</v>
      </c>
      <c r="X45" s="384">
        <f>AVERAGE(T45:W45)</f>
        <v/>
      </c>
      <c r="Y45" s="383" t="n">
        <v>0</v>
      </c>
      <c r="Z45" s="383" t="n">
        <v>0</v>
      </c>
      <c r="AA45" s="383" t="n">
        <v>0</v>
      </c>
      <c r="AB45" s="383" t="n">
        <v>0</v>
      </c>
      <c r="AC45" s="384">
        <f>AVERAGE(Y45:AB45)</f>
        <v/>
      </c>
      <c r="AD45" s="383" t="n">
        <v>0</v>
      </c>
      <c r="AE45" s="383" t="n">
        <v>0</v>
      </c>
      <c r="AF45" s="383" t="n">
        <v>0</v>
      </c>
      <c r="AG45" s="383" t="n">
        <v>0</v>
      </c>
      <c r="AH45" s="384">
        <f>AVERAGE(AD45:AG45)</f>
        <v/>
      </c>
      <c r="AI45" s="383" t="n">
        <v>0</v>
      </c>
      <c r="AJ45" s="383" t="n">
        <v>0</v>
      </c>
      <c r="AK45" s="383" t="n">
        <v>0</v>
      </c>
      <c r="AL45" s="383" t="n">
        <v>0</v>
      </c>
      <c r="AM45" s="384">
        <f>AVERAGE(AI45:AL45)</f>
        <v/>
      </c>
      <c r="AN45" s="383" t="n">
        <v>0</v>
      </c>
      <c r="AO45" s="383" t="n">
        <v>0</v>
      </c>
      <c r="AP45" s="383" t="n">
        <v>0</v>
      </c>
      <c r="AQ45" s="383" t="n">
        <v>0</v>
      </c>
      <c r="AR45" s="384">
        <f>AVERAGE(AN45:AQ45)</f>
        <v/>
      </c>
    </row>
    <row r="46" ht="13.5" customHeight="1" s="290">
      <c r="A46" s="339" t="n"/>
      <c r="B46" s="373" t="inlineStr">
        <is>
          <t xml:space="preserve">  Book Loss GCI Drag — Junior</t>
        </is>
      </c>
      <c r="C46" s="374" t="inlineStr">
        <is>
          <t>$K</t>
        </is>
      </c>
      <c r="D46" s="375" t="inlineStr">
        <is>
          <t xml:space="preserve"> −(Attrition × Book Loss Factor × Mature GCI/EPE)</t>
        </is>
      </c>
      <c r="E46" s="376">
        <f>-MAX(0,E39*E44*E45)</f>
        <v/>
      </c>
      <c r="F46" s="376">
        <f>-MAX(0,F39*F44*F45)</f>
        <v/>
      </c>
      <c r="G46" s="376">
        <f>-MAX(0,G39*G44*G45)</f>
        <v/>
      </c>
      <c r="H46" s="376">
        <f>-MAX(0,H39*H44*H45)</f>
        <v/>
      </c>
      <c r="I46" s="344">
        <f>SUM(E46:H46)</f>
        <v/>
      </c>
      <c r="J46" s="376">
        <f>-MAX(0,J39*J44*J45)</f>
        <v/>
      </c>
      <c r="K46" s="376">
        <f>-MAX(0,K39*K44*K45)</f>
        <v/>
      </c>
      <c r="L46" s="376">
        <f>-MAX(0,L39*L44*L45)</f>
        <v/>
      </c>
      <c r="M46" s="376">
        <f>-MAX(0,M39*M44*M45)</f>
        <v/>
      </c>
      <c r="N46" s="344">
        <f>SUM(J46:M46)</f>
        <v/>
      </c>
      <c r="O46" s="376">
        <f>-MAX(0,O39*O44*O45)</f>
        <v/>
      </c>
      <c r="P46" s="376">
        <f>-MAX(0,P39*P44*P45)</f>
        <v/>
      </c>
      <c r="Q46" s="376">
        <f>-MAX(0,Q39*Q44*Q45)</f>
        <v/>
      </c>
      <c r="R46" s="376">
        <f>-MAX(0,R39*R44*R45)</f>
        <v/>
      </c>
      <c r="S46" s="344">
        <f>SUM(O46:R46)</f>
        <v/>
      </c>
      <c r="T46" s="376">
        <f>-MAX(0,T39*T44*T45)</f>
        <v/>
      </c>
      <c r="U46" s="376">
        <f>-MAX(0,U39*U44*U45)</f>
        <v/>
      </c>
      <c r="V46" s="376">
        <f>-MAX(0,V39*V44*V45)</f>
        <v/>
      </c>
      <c r="W46" s="376">
        <f>-MAX(0,W39*W44*W45)</f>
        <v/>
      </c>
      <c r="X46" s="344">
        <f>SUM(T46:W46)</f>
        <v/>
      </c>
      <c r="Y46" s="376">
        <f>-MAX(0,Y39*Y44*Y45)</f>
        <v/>
      </c>
      <c r="Z46" s="376">
        <f>-MAX(0,Z39*Z44*Z45)</f>
        <v/>
      </c>
      <c r="AA46" s="376">
        <f>-MAX(0,AA39*AA44*AA45)</f>
        <v/>
      </c>
      <c r="AB46" s="376">
        <f>-MAX(0,AB39*AB44*AB45)</f>
        <v/>
      </c>
      <c r="AC46" s="344">
        <f>SUM(Y46:AB46)</f>
        <v/>
      </c>
      <c r="AD46" s="376">
        <f>-MAX(0,AD39*AD44*AD45)</f>
        <v/>
      </c>
      <c r="AE46" s="376">
        <f>-MAX(0,AE39*AE44*AE45)</f>
        <v/>
      </c>
      <c r="AF46" s="376">
        <f>-MAX(0,AF39*AF44*AF45)</f>
        <v/>
      </c>
      <c r="AG46" s="376">
        <f>-MAX(0,AG39*AG44*AG45)</f>
        <v/>
      </c>
      <c r="AH46" s="344">
        <f>SUM(AD46:AG46)</f>
        <v/>
      </c>
      <c r="AI46" s="376">
        <f>-MAX(0,AI39*AI44*AI45)</f>
        <v/>
      </c>
      <c r="AJ46" s="376">
        <f>-MAX(0,AJ39*AJ44*AJ45)</f>
        <v/>
      </c>
      <c r="AK46" s="376">
        <f>-MAX(0,AK39*AK44*AK45)</f>
        <v/>
      </c>
      <c r="AL46" s="376">
        <f>-MAX(0,AL39*AL44*AL45)</f>
        <v/>
      </c>
      <c r="AM46" s="344">
        <f>SUM(AI46:AL46)</f>
        <v/>
      </c>
      <c r="AN46" s="376">
        <f>-MAX(0,AN39*AN44*AN45)</f>
        <v/>
      </c>
      <c r="AO46" s="376">
        <f>-MAX(0,AO39*AO44*AO45)</f>
        <v/>
      </c>
      <c r="AP46" s="376">
        <f>-MAX(0,AP39*AP44*AP45)</f>
        <v/>
      </c>
      <c r="AQ46" s="376">
        <f>-MAX(0,AQ39*AQ44*AQ45)</f>
        <v/>
      </c>
      <c r="AR46" s="344">
        <f>SUM(AN46:AQ46)</f>
        <v/>
      </c>
    </row>
    <row r="47" ht="4.5" customHeight="1" s="290"/>
    <row r="48" ht="3" customHeight="1" s="290"/>
    <row r="49" ht="15" customHeight="1" s="290">
      <c r="A49" s="307" t="inlineStr">
        <is>
          <t xml:space="preserve">    Leasing — LINE TOTALS</t>
        </is>
      </c>
    </row>
    <row r="50" ht="13.5" customHeight="1" s="290">
      <c r="A50" s="339" t="n"/>
      <c r="B50" s="385" t="inlineStr">
        <is>
          <t xml:space="preserve">  Total EPE — Leasing</t>
        </is>
      </c>
      <c r="C50" s="386" t="inlineStr">
        <is>
          <t>EPE</t>
        </is>
      </c>
      <c r="D50" s="375" t="inlineStr">
        <is>
          <t xml:space="preserve"> sum of epe across all tiers</t>
        </is>
      </c>
      <c r="E50" s="387">
        <f>SUM(E15,E28,E41)</f>
        <v/>
      </c>
      <c r="F50" s="387">
        <f>SUM(F15,F28,F41)</f>
        <v/>
      </c>
      <c r="G50" s="387">
        <f>SUM(G15,G28,G41)</f>
        <v/>
      </c>
      <c r="H50" s="387">
        <f>SUM(H15,H28,H41)</f>
        <v/>
      </c>
      <c r="I50" s="387">
        <f>AVERAGE(E50:H50)</f>
        <v/>
      </c>
      <c r="J50" s="387">
        <f>SUM(J15,J28,J41)</f>
        <v/>
      </c>
      <c r="K50" s="387">
        <f>SUM(K15,K28,K41)</f>
        <v/>
      </c>
      <c r="L50" s="387">
        <f>SUM(L15,L28,L41)</f>
        <v/>
      </c>
      <c r="M50" s="387">
        <f>SUM(M15,M28,M41)</f>
        <v/>
      </c>
      <c r="N50" s="387">
        <f>AVERAGE(J50:M50)</f>
        <v/>
      </c>
      <c r="O50" s="387">
        <f>SUM(O15,O28,O41)</f>
        <v/>
      </c>
      <c r="P50" s="387">
        <f>SUM(P15,P28,P41)</f>
        <v/>
      </c>
      <c r="Q50" s="387">
        <f>SUM(Q15,Q28,Q41)</f>
        <v/>
      </c>
      <c r="R50" s="387">
        <f>SUM(R15,R28,R41)</f>
        <v/>
      </c>
      <c r="S50" s="387">
        <f>AVERAGE(O50:R50)</f>
        <v/>
      </c>
      <c r="T50" s="387">
        <f>SUM(T15,T28,T41)</f>
        <v/>
      </c>
      <c r="U50" s="387">
        <f>SUM(U15,U28,U41)</f>
        <v/>
      </c>
      <c r="V50" s="387">
        <f>SUM(V15,V28,V41)</f>
        <v/>
      </c>
      <c r="W50" s="387">
        <f>SUM(W15,W28,W41)</f>
        <v/>
      </c>
      <c r="X50" s="387">
        <f>AVERAGE(T50:W50)</f>
        <v/>
      </c>
      <c r="Y50" s="387">
        <f>SUM(Y15,Y28,Y41)</f>
        <v/>
      </c>
      <c r="Z50" s="387">
        <f>SUM(Z15,Z28,Z41)</f>
        <v/>
      </c>
      <c r="AA50" s="387">
        <f>SUM(AA15,AA28,AA41)</f>
        <v/>
      </c>
      <c r="AB50" s="387">
        <f>SUM(AB15,AB28,AB41)</f>
        <v/>
      </c>
      <c r="AC50" s="387">
        <f>AVERAGE(Y50:AB50)</f>
        <v/>
      </c>
      <c r="AD50" s="387">
        <f>SUM(AD15,AD28,AD41)</f>
        <v/>
      </c>
      <c r="AE50" s="387">
        <f>SUM(AE15,AE28,AE41)</f>
        <v/>
      </c>
      <c r="AF50" s="387">
        <f>SUM(AF15,AF28,AF41)</f>
        <v/>
      </c>
      <c r="AG50" s="387">
        <f>SUM(AG15,AG28,AG41)</f>
        <v/>
      </c>
      <c r="AH50" s="387">
        <f>AVERAGE(AD50:AG50)</f>
        <v/>
      </c>
      <c r="AI50" s="387">
        <f>SUM(AI15,AI28,AI41)</f>
        <v/>
      </c>
      <c r="AJ50" s="387">
        <f>SUM(AJ15,AJ28,AJ41)</f>
        <v/>
      </c>
      <c r="AK50" s="387">
        <f>SUM(AK15,AK28,AK41)</f>
        <v/>
      </c>
      <c r="AL50" s="387">
        <f>SUM(AL15,AL28,AL41)</f>
        <v/>
      </c>
      <c r="AM50" s="387">
        <f>AVERAGE(AI50:AL50)</f>
        <v/>
      </c>
      <c r="AN50" s="387">
        <f>SUM(AN15,AN28,AN41)</f>
        <v/>
      </c>
      <c r="AO50" s="387">
        <f>SUM(AO15,AO28,AO41)</f>
        <v/>
      </c>
      <c r="AP50" s="387">
        <f>SUM(AP15,AP28,AP41)</f>
        <v/>
      </c>
      <c r="AQ50" s="387">
        <f>SUM(AQ15,AQ28,AQ41)</f>
        <v/>
      </c>
      <c r="AR50" s="387">
        <f>AVERAGE(AN50:AQ50)</f>
        <v/>
      </c>
    </row>
    <row r="51" ht="13.5" customHeight="1" s="290">
      <c r="A51" s="339" t="n"/>
      <c r="B51" s="385" t="inlineStr">
        <is>
          <t xml:space="preserve">  Total Ending HC — Leasing</t>
        </is>
      </c>
      <c r="C51" s="386" t="inlineStr">
        <is>
          <t>#</t>
        </is>
      </c>
      <c r="D51" s="375" t="inlineStr">
        <is>
          <t xml:space="preserve"> sum of ending hc across all tiers</t>
        </is>
      </c>
      <c r="E51" s="387">
        <f>SUM(E16,E29,E42)</f>
        <v/>
      </c>
      <c r="F51" s="387">
        <f>SUM(F16,F29,F42)</f>
        <v/>
      </c>
      <c r="G51" s="387">
        <f>SUM(G16,G29,G42)</f>
        <v/>
      </c>
      <c r="H51" s="387">
        <f>SUM(H16,H29,H42)</f>
        <v/>
      </c>
      <c r="I51" s="387">
        <f>AVERAGE(E51:H51)</f>
        <v/>
      </c>
      <c r="J51" s="387">
        <f>SUM(J16,J29,J42)</f>
        <v/>
      </c>
      <c r="K51" s="387">
        <f>SUM(K16,K29,K42)</f>
        <v/>
      </c>
      <c r="L51" s="387">
        <f>SUM(L16,L29,L42)</f>
        <v/>
      </c>
      <c r="M51" s="387">
        <f>SUM(M16,M29,M42)</f>
        <v/>
      </c>
      <c r="N51" s="387">
        <f>AVERAGE(J51:M51)</f>
        <v/>
      </c>
      <c r="O51" s="387">
        <f>SUM(O16,O29,O42)</f>
        <v/>
      </c>
      <c r="P51" s="387">
        <f>SUM(P16,P29,P42)</f>
        <v/>
      </c>
      <c r="Q51" s="387">
        <f>SUM(Q16,Q29,Q42)</f>
        <v/>
      </c>
      <c r="R51" s="387">
        <f>SUM(R16,R29,R42)</f>
        <v/>
      </c>
      <c r="S51" s="387">
        <f>AVERAGE(O51:R51)</f>
        <v/>
      </c>
      <c r="T51" s="387">
        <f>SUM(T16,T29,T42)</f>
        <v/>
      </c>
      <c r="U51" s="387">
        <f>SUM(U16,U29,U42)</f>
        <v/>
      </c>
      <c r="V51" s="387">
        <f>SUM(V16,V29,V42)</f>
        <v/>
      </c>
      <c r="W51" s="387">
        <f>SUM(W16,W29,W42)</f>
        <v/>
      </c>
      <c r="X51" s="387">
        <f>AVERAGE(T51:W51)</f>
        <v/>
      </c>
      <c r="Y51" s="387">
        <f>SUM(Y16,Y29,Y42)</f>
        <v/>
      </c>
      <c r="Z51" s="387">
        <f>SUM(Z16,Z29,Z42)</f>
        <v/>
      </c>
      <c r="AA51" s="387">
        <f>SUM(AA16,AA29,AA42)</f>
        <v/>
      </c>
      <c r="AB51" s="387">
        <f>SUM(AB16,AB29,AB42)</f>
        <v/>
      </c>
      <c r="AC51" s="387">
        <f>AVERAGE(Y51:AB51)</f>
        <v/>
      </c>
      <c r="AD51" s="387">
        <f>SUM(AD16,AD29,AD42)</f>
        <v/>
      </c>
      <c r="AE51" s="387">
        <f>SUM(AE16,AE29,AE42)</f>
        <v/>
      </c>
      <c r="AF51" s="387">
        <f>SUM(AF16,AF29,AF42)</f>
        <v/>
      </c>
      <c r="AG51" s="387">
        <f>SUM(AG16,AG29,AG42)</f>
        <v/>
      </c>
      <c r="AH51" s="387">
        <f>AVERAGE(AD51:AG51)</f>
        <v/>
      </c>
      <c r="AI51" s="387">
        <f>SUM(AI16,AI29,AI42)</f>
        <v/>
      </c>
      <c r="AJ51" s="387">
        <f>SUM(AJ16,AJ29,AJ42)</f>
        <v/>
      </c>
      <c r="AK51" s="387">
        <f>SUM(AK16,AK29,AK42)</f>
        <v/>
      </c>
      <c r="AL51" s="387">
        <f>SUM(AL16,AL29,AL42)</f>
        <v/>
      </c>
      <c r="AM51" s="387">
        <f>AVERAGE(AI51:AL51)</f>
        <v/>
      </c>
      <c r="AN51" s="387">
        <f>SUM(AN16,AN29,AN42)</f>
        <v/>
      </c>
      <c r="AO51" s="387">
        <f>SUM(AO16,AO29,AO42)</f>
        <v/>
      </c>
      <c r="AP51" s="387">
        <f>SUM(AP16,AP29,AP42)</f>
        <v/>
      </c>
      <c r="AQ51" s="387">
        <f>SUM(AQ16,AQ29,AQ42)</f>
        <v/>
      </c>
      <c r="AR51" s="387">
        <f>AVERAGE(AN51:AQ51)</f>
        <v/>
      </c>
    </row>
    <row r="52" ht="13.5" customHeight="1" s="290">
      <c r="A52" s="339" t="n"/>
      <c r="B52" s="388" t="inlineStr">
        <is>
          <t xml:space="preserve">  Total Ramp Drag — Leasing</t>
        </is>
      </c>
      <c r="C52" s="386" t="inlineStr">
        <is>
          <t>#</t>
        </is>
      </c>
      <c r="D52" s="375" t="inlineStr">
        <is>
          <t xml:space="preserve"> total hc − Total EPE</t>
        </is>
      </c>
      <c r="E52" s="344">
        <f>MAX(0,E51-E50)</f>
        <v/>
      </c>
      <c r="F52" s="344">
        <f>MAX(0,F51-F50)</f>
        <v/>
      </c>
      <c r="G52" s="344">
        <f>MAX(0,G51-G50)</f>
        <v/>
      </c>
      <c r="H52" s="344">
        <f>MAX(0,H51-H50)</f>
        <v/>
      </c>
      <c r="I52" s="344">
        <f>SUM(E52:H52)</f>
        <v/>
      </c>
      <c r="J52" s="344">
        <f>MAX(0,J51-J50)</f>
        <v/>
      </c>
      <c r="K52" s="344">
        <f>MAX(0,K51-K50)</f>
        <v/>
      </c>
      <c r="L52" s="344">
        <f>MAX(0,L51-L50)</f>
        <v/>
      </c>
      <c r="M52" s="344">
        <f>MAX(0,M51-M50)</f>
        <v/>
      </c>
      <c r="N52" s="344">
        <f>SUM(J52:M52)</f>
        <v/>
      </c>
      <c r="O52" s="344">
        <f>MAX(0,O51-O50)</f>
        <v/>
      </c>
      <c r="P52" s="344">
        <f>MAX(0,P51-P50)</f>
        <v/>
      </c>
      <c r="Q52" s="344">
        <f>MAX(0,Q51-Q50)</f>
        <v/>
      </c>
      <c r="R52" s="344">
        <f>MAX(0,R51-R50)</f>
        <v/>
      </c>
      <c r="S52" s="344">
        <f>SUM(O52:R52)</f>
        <v/>
      </c>
      <c r="T52" s="344">
        <f>MAX(0,T51-T50)</f>
        <v/>
      </c>
      <c r="U52" s="344">
        <f>MAX(0,U51-U50)</f>
        <v/>
      </c>
      <c r="V52" s="344">
        <f>MAX(0,V51-V50)</f>
        <v/>
      </c>
      <c r="W52" s="344">
        <f>MAX(0,W51-W50)</f>
        <v/>
      </c>
      <c r="X52" s="344">
        <f>SUM(T52:W52)</f>
        <v/>
      </c>
      <c r="Y52" s="344">
        <f>MAX(0,Y51-Y50)</f>
        <v/>
      </c>
      <c r="Z52" s="344">
        <f>MAX(0,Z51-Z50)</f>
        <v/>
      </c>
      <c r="AA52" s="344">
        <f>MAX(0,AA51-AA50)</f>
        <v/>
      </c>
      <c r="AB52" s="344">
        <f>MAX(0,AB51-AB50)</f>
        <v/>
      </c>
      <c r="AC52" s="344">
        <f>SUM(Y52:AB52)</f>
        <v/>
      </c>
      <c r="AD52" s="344">
        <f>MAX(0,AD51-AD50)</f>
        <v/>
      </c>
      <c r="AE52" s="344">
        <f>MAX(0,AE51-AE50)</f>
        <v/>
      </c>
      <c r="AF52" s="344">
        <f>MAX(0,AF51-AF50)</f>
        <v/>
      </c>
      <c r="AG52" s="344">
        <f>MAX(0,AG51-AG50)</f>
        <v/>
      </c>
      <c r="AH52" s="344">
        <f>SUM(AD52:AG52)</f>
        <v/>
      </c>
      <c r="AI52" s="344">
        <f>MAX(0,AI51-AI50)</f>
        <v/>
      </c>
      <c r="AJ52" s="344">
        <f>MAX(0,AJ51-AJ50)</f>
        <v/>
      </c>
      <c r="AK52" s="344">
        <f>MAX(0,AK51-AK50)</f>
        <v/>
      </c>
      <c r="AL52" s="344">
        <f>MAX(0,AL51-AL50)</f>
        <v/>
      </c>
      <c r="AM52" s="344">
        <f>SUM(AI52:AL52)</f>
        <v/>
      </c>
      <c r="AN52" s="344">
        <f>MAX(0,AN51-AN50)</f>
        <v/>
      </c>
      <c r="AO52" s="344">
        <f>MAX(0,AO51-AO50)</f>
        <v/>
      </c>
      <c r="AP52" s="344">
        <f>MAX(0,AP51-AP50)</f>
        <v/>
      </c>
      <c r="AQ52" s="344">
        <f>MAX(0,AQ51-AQ50)</f>
        <v/>
      </c>
      <c r="AR52" s="344">
        <f>SUM(AN52:AQ52)</f>
        <v/>
      </c>
    </row>
    <row r="53" ht="13.5" customHeight="1" s="290">
      <c r="A53" s="339" t="n"/>
      <c r="B53" s="388" t="inlineStr">
        <is>
          <t xml:space="preserve">  Total Book Loss GCI Drag — Leasing</t>
        </is>
      </c>
      <c r="C53" s="386" t="inlineStr">
        <is>
          <t>$K</t>
        </is>
      </c>
      <c r="D53" s="375" t="inlineStr">
        <is>
          <t xml:space="preserve"> sum of book loss drag across all tiers (negative)</t>
        </is>
      </c>
      <c r="E53" s="344">
        <f>SUM(E20,E33,E46)</f>
        <v/>
      </c>
      <c r="F53" s="344">
        <f>SUM(F20,F33,F46)</f>
        <v/>
      </c>
      <c r="G53" s="344">
        <f>SUM(G20,G33,G46)</f>
        <v/>
      </c>
      <c r="H53" s="344">
        <f>SUM(H20,H33,H46)</f>
        <v/>
      </c>
      <c r="I53" s="344">
        <f>SUM(E53:H53)</f>
        <v/>
      </c>
      <c r="J53" s="344">
        <f>SUM(J20,J33,J46)</f>
        <v/>
      </c>
      <c r="K53" s="344">
        <f>SUM(K20,K33,K46)</f>
        <v/>
      </c>
      <c r="L53" s="344">
        <f>SUM(L20,L33,L46)</f>
        <v/>
      </c>
      <c r="M53" s="344">
        <f>SUM(M20,M33,M46)</f>
        <v/>
      </c>
      <c r="N53" s="344">
        <f>SUM(J53:M53)</f>
        <v/>
      </c>
      <c r="O53" s="344">
        <f>SUM(O20,O33,O46)</f>
        <v/>
      </c>
      <c r="P53" s="344">
        <f>SUM(P20,P33,P46)</f>
        <v/>
      </c>
      <c r="Q53" s="344">
        <f>SUM(Q20,Q33,Q46)</f>
        <v/>
      </c>
      <c r="R53" s="344">
        <f>SUM(R20,R33,R46)</f>
        <v/>
      </c>
      <c r="S53" s="344">
        <f>SUM(O53:R53)</f>
        <v/>
      </c>
      <c r="T53" s="344">
        <f>SUM(T20,T33,T46)</f>
        <v/>
      </c>
      <c r="U53" s="344">
        <f>SUM(U20,U33,U46)</f>
        <v/>
      </c>
      <c r="V53" s="344">
        <f>SUM(V20,V33,V46)</f>
        <v/>
      </c>
      <c r="W53" s="344">
        <f>SUM(W20,W33,W46)</f>
        <v/>
      </c>
      <c r="X53" s="344">
        <f>SUM(T53:W53)</f>
        <v/>
      </c>
      <c r="Y53" s="344">
        <f>SUM(Y20,Y33,Y46)</f>
        <v/>
      </c>
      <c r="Z53" s="344">
        <f>SUM(Z20,Z33,Z46)</f>
        <v/>
      </c>
      <c r="AA53" s="344">
        <f>SUM(AA20,AA33,AA46)</f>
        <v/>
      </c>
      <c r="AB53" s="344">
        <f>SUM(AB20,AB33,AB46)</f>
        <v/>
      </c>
      <c r="AC53" s="344">
        <f>SUM(Y53:AB53)</f>
        <v/>
      </c>
      <c r="AD53" s="344">
        <f>SUM(AD20,AD33,AD46)</f>
        <v/>
      </c>
      <c r="AE53" s="344">
        <f>SUM(AE20,AE33,AE46)</f>
        <v/>
      </c>
      <c r="AF53" s="344">
        <f>SUM(AF20,AF33,AF46)</f>
        <v/>
      </c>
      <c r="AG53" s="344">
        <f>SUM(AG20,AG33,AG46)</f>
        <v/>
      </c>
      <c r="AH53" s="344">
        <f>SUM(AD53:AG53)</f>
        <v/>
      </c>
      <c r="AI53" s="344">
        <f>SUM(AI20,AI33,AI46)</f>
        <v/>
      </c>
      <c r="AJ53" s="344">
        <f>SUM(AJ20,AJ33,AJ46)</f>
        <v/>
      </c>
      <c r="AK53" s="344">
        <f>SUM(AK20,AK33,AK46)</f>
        <v/>
      </c>
      <c r="AL53" s="344">
        <f>SUM(AL20,AL33,AL46)</f>
        <v/>
      </c>
      <c r="AM53" s="344">
        <f>SUM(AI53:AL53)</f>
        <v/>
      </c>
      <c r="AN53" s="344">
        <f>SUM(AN20,AN33,AN46)</f>
        <v/>
      </c>
      <c r="AO53" s="344">
        <f>SUM(AO20,AO33,AO46)</f>
        <v/>
      </c>
      <c r="AP53" s="344">
        <f>SUM(AP20,AP33,AP46)</f>
        <v/>
      </c>
      <c r="AQ53" s="344">
        <f>SUM(AQ20,AQ33,AQ46)</f>
        <v/>
      </c>
      <c r="AR53" s="344">
        <f>SUM(AN53:AQ53)</f>
        <v/>
      </c>
    </row>
    <row r="54" ht="3.75" customHeight="1" s="290"/>
    <row r="55" ht="3" customHeight="1" s="290">
      <c r="A55" s="293" t="n"/>
    </row>
    <row r="56" ht="4.5" customHeight="1" s="290"/>
    <row r="57" ht="15.75" customHeight="1" s="290">
      <c r="A57" s="338" t="inlineStr">
        <is>
          <t xml:space="preserve">  SECTION — INVESTMENT SALES PRODUCER ENGINE</t>
        </is>
      </c>
    </row>
    <row r="58" ht="3.75" customHeight="1" s="290"/>
    <row r="59" ht="13.5" customHeight="1" s="290">
      <c r="A59" s="348" t="inlineStr">
        <is>
          <t xml:space="preserve">  EPE = Beginning HC + (Hires × Ramp Factor Yr1) − Attrition.  Green rows = links from Tab 03.  Black rows = calculations performed here.  Book Loss GCI Drag = Attrition Count × Book Loss Factor × Mature GCI/EPE placeholder.</t>
        </is>
      </c>
    </row>
    <row r="60" ht="3.75" customHeight="1" s="290"/>
    <row r="61" ht="13.5" customHeight="1" s="290">
      <c r="A61" s="369" t="inlineStr">
        <is>
          <t xml:space="preserve">    ── Rainmaker ──</t>
        </is>
      </c>
    </row>
    <row r="62" ht="13.5" customHeight="1" s="290">
      <c r="A62" s="339" t="n"/>
      <c r="B62" s="370" t="inlineStr">
        <is>
          <t xml:space="preserve">  Beginning HC — Rainmaker</t>
        </is>
      </c>
      <c r="C62" s="371" t="inlineStr">
        <is>
          <t>#</t>
        </is>
      </c>
      <c r="D62" s="372" t="inlineStr">
        <is>
          <t>← '03 Operational Assumptions' row 45</t>
        </is>
      </c>
      <c r="E62" s="361">
        <f>'03 Operational Assumptions'!E45</f>
        <v/>
      </c>
      <c r="F62" s="361">
        <f>E68</f>
        <v/>
      </c>
      <c r="G62" s="361">
        <f>F68</f>
        <v/>
      </c>
      <c r="H62" s="361">
        <f>G68</f>
        <v/>
      </c>
      <c r="I62" s="361">
        <f>AVERAGE(E62:H62)</f>
        <v/>
      </c>
      <c r="J62" s="361">
        <f>H68</f>
        <v/>
      </c>
      <c r="K62" s="361">
        <f>J68</f>
        <v/>
      </c>
      <c r="L62" s="361">
        <f>K68</f>
        <v/>
      </c>
      <c r="M62" s="361">
        <f>L68</f>
        <v/>
      </c>
      <c r="N62" s="361">
        <f>AVERAGE(J62:M62)</f>
        <v/>
      </c>
      <c r="O62" s="361">
        <f>M68</f>
        <v/>
      </c>
      <c r="P62" s="361">
        <f>O68</f>
        <v/>
      </c>
      <c r="Q62" s="361">
        <f>P68</f>
        <v/>
      </c>
      <c r="R62" s="361">
        <f>Q68</f>
        <v/>
      </c>
      <c r="S62" s="361">
        <f>AVERAGE(O62:R62)</f>
        <v/>
      </c>
      <c r="T62" s="361">
        <f>R68</f>
        <v/>
      </c>
      <c r="U62" s="361">
        <f>T68</f>
        <v/>
      </c>
      <c r="V62" s="361">
        <f>U68</f>
        <v/>
      </c>
      <c r="W62" s="361">
        <f>V68</f>
        <v/>
      </c>
      <c r="X62" s="361">
        <f>AVERAGE(T62:W62)</f>
        <v/>
      </c>
      <c r="Y62" s="361">
        <f>W68</f>
        <v/>
      </c>
      <c r="Z62" s="361">
        <f>Y68</f>
        <v/>
      </c>
      <c r="AA62" s="361">
        <f>Z68</f>
        <v/>
      </c>
      <c r="AB62" s="361">
        <f>AA68</f>
        <v/>
      </c>
      <c r="AC62" s="361">
        <f>AVERAGE(Y62:AB62)</f>
        <v/>
      </c>
      <c r="AD62" s="361">
        <f>AB68</f>
        <v/>
      </c>
      <c r="AE62" s="361">
        <f>AD68</f>
        <v/>
      </c>
      <c r="AF62" s="361">
        <f>AE68</f>
        <v/>
      </c>
      <c r="AG62" s="361">
        <f>AF68</f>
        <v/>
      </c>
      <c r="AH62" s="361">
        <f>AVERAGE(AD62:AG62)</f>
        <v/>
      </c>
      <c r="AI62" s="361">
        <f>AG68</f>
        <v/>
      </c>
      <c r="AJ62" s="361">
        <f>AI68</f>
        <v/>
      </c>
      <c r="AK62" s="361">
        <f>AJ68</f>
        <v/>
      </c>
      <c r="AL62" s="361">
        <f>AK68</f>
        <v/>
      </c>
      <c r="AM62" s="361">
        <f>AVERAGE(AI62:AL62)</f>
        <v/>
      </c>
      <c r="AN62" s="361">
        <f>AL68</f>
        <v/>
      </c>
      <c r="AO62" s="361">
        <f>AN68</f>
        <v/>
      </c>
      <c r="AP62" s="361">
        <f>AO68</f>
        <v/>
      </c>
      <c r="AQ62" s="361">
        <f>AP68</f>
        <v/>
      </c>
      <c r="AR62" s="361">
        <f>AVERAGE(AN62:AQ62)</f>
        <v/>
      </c>
    </row>
    <row r="63" ht="13.5" customHeight="1" s="290">
      <c r="A63" s="339" t="n"/>
      <c r="B63" s="370" t="inlineStr">
        <is>
          <t xml:space="preserve">  Gross Hires / Qtr — Rainmaker</t>
        </is>
      </c>
      <c r="C63" s="371" t="inlineStr">
        <is>
          <t>#/qtr</t>
        </is>
      </c>
      <c r="D63" s="372" t="inlineStr">
        <is>
          <t>← '03 Operational Assumptions' row 49 (Active)</t>
        </is>
      </c>
      <c r="E63" s="361">
        <f>'03 Operational Assumptions'!E49</f>
        <v/>
      </c>
      <c r="F63" s="361">
        <f>'03 Operational Assumptions'!F49</f>
        <v/>
      </c>
      <c r="G63" s="361">
        <f>'03 Operational Assumptions'!G49</f>
        <v/>
      </c>
      <c r="H63" s="361">
        <f>'03 Operational Assumptions'!H49</f>
        <v/>
      </c>
      <c r="I63" s="361">
        <f>SUM(E63:H63)</f>
        <v/>
      </c>
      <c r="J63" s="361">
        <f>'03 Operational Assumptions'!J49</f>
        <v/>
      </c>
      <c r="K63" s="361">
        <f>'03 Operational Assumptions'!K49</f>
        <v/>
      </c>
      <c r="L63" s="361">
        <f>'03 Operational Assumptions'!L49</f>
        <v/>
      </c>
      <c r="M63" s="361">
        <f>'03 Operational Assumptions'!M49</f>
        <v/>
      </c>
      <c r="N63" s="361">
        <f>SUM(J63:M63)</f>
        <v/>
      </c>
      <c r="O63" s="361">
        <f>'03 Operational Assumptions'!O49</f>
        <v/>
      </c>
      <c r="P63" s="361">
        <f>'03 Operational Assumptions'!P49</f>
        <v/>
      </c>
      <c r="Q63" s="361">
        <f>'03 Operational Assumptions'!Q49</f>
        <v/>
      </c>
      <c r="R63" s="361">
        <f>'03 Operational Assumptions'!R49</f>
        <v/>
      </c>
      <c r="S63" s="361">
        <f>SUM(O63:R63)</f>
        <v/>
      </c>
      <c r="T63" s="361">
        <f>'03 Operational Assumptions'!T49</f>
        <v/>
      </c>
      <c r="U63" s="361">
        <f>'03 Operational Assumptions'!U49</f>
        <v/>
      </c>
      <c r="V63" s="361">
        <f>'03 Operational Assumptions'!V49</f>
        <v/>
      </c>
      <c r="W63" s="361">
        <f>'03 Operational Assumptions'!W49</f>
        <v/>
      </c>
      <c r="X63" s="361">
        <f>SUM(T63:W63)</f>
        <v/>
      </c>
      <c r="Y63" s="361">
        <f>'03 Operational Assumptions'!Y49</f>
        <v/>
      </c>
      <c r="Z63" s="361">
        <f>'03 Operational Assumptions'!Z49</f>
        <v/>
      </c>
      <c r="AA63" s="361">
        <f>'03 Operational Assumptions'!AA49</f>
        <v/>
      </c>
      <c r="AB63" s="361">
        <f>'03 Operational Assumptions'!AB49</f>
        <v/>
      </c>
      <c r="AC63" s="361">
        <f>SUM(Y63:AB63)</f>
        <v/>
      </c>
      <c r="AD63" s="361">
        <f>'03 Operational Assumptions'!AD49</f>
        <v/>
      </c>
      <c r="AE63" s="361">
        <f>'03 Operational Assumptions'!AE49</f>
        <v/>
      </c>
      <c r="AF63" s="361">
        <f>'03 Operational Assumptions'!AF49</f>
        <v/>
      </c>
      <c r="AG63" s="361">
        <f>'03 Operational Assumptions'!AG49</f>
        <v/>
      </c>
      <c r="AH63" s="361">
        <f>SUM(AD63:AG63)</f>
        <v/>
      </c>
      <c r="AI63" s="361">
        <f>'03 Operational Assumptions'!AI49</f>
        <v/>
      </c>
      <c r="AJ63" s="361">
        <f>'03 Operational Assumptions'!AJ49</f>
        <v/>
      </c>
      <c r="AK63" s="361">
        <f>'03 Operational Assumptions'!AK49</f>
        <v/>
      </c>
      <c r="AL63" s="361">
        <f>'03 Operational Assumptions'!AL49</f>
        <v/>
      </c>
      <c r="AM63" s="361">
        <f>SUM(AI63:AL63)</f>
        <v/>
      </c>
      <c r="AN63" s="361">
        <f>'03 Operational Assumptions'!AN49</f>
        <v/>
      </c>
      <c r="AO63" s="361">
        <f>'03 Operational Assumptions'!AO49</f>
        <v/>
      </c>
      <c r="AP63" s="361">
        <f>'03 Operational Assumptions'!AP49</f>
        <v/>
      </c>
      <c r="AQ63" s="361">
        <f>'03 Operational Assumptions'!AQ49</f>
        <v/>
      </c>
      <c r="AR63" s="361">
        <f>SUM(AN63:AQ63)</f>
        <v/>
      </c>
    </row>
    <row r="64" ht="13.5" customHeight="1" s="290">
      <c r="A64" s="339" t="n"/>
      <c r="B64" s="370" t="inlineStr">
        <is>
          <t xml:space="preserve">  Attrition Rate — Rainmaker</t>
        </is>
      </c>
      <c r="C64" s="371" t="inlineStr">
        <is>
          <t>%/qtr</t>
        </is>
      </c>
      <c r="D64" s="372" t="inlineStr">
        <is>
          <t>← '03 Operational Assumptions' row 53 (Active)</t>
        </is>
      </c>
      <c r="E64" s="361">
        <f>'03 Operational Assumptions'!E53</f>
        <v/>
      </c>
      <c r="F64" s="361">
        <f>'03 Operational Assumptions'!F53</f>
        <v/>
      </c>
      <c r="G64" s="361">
        <f>'03 Operational Assumptions'!G53</f>
        <v/>
      </c>
      <c r="H64" s="361">
        <f>'03 Operational Assumptions'!H53</f>
        <v/>
      </c>
      <c r="I64" s="361">
        <f>AVERAGE(E64:H64)</f>
        <v/>
      </c>
      <c r="J64" s="361">
        <f>'03 Operational Assumptions'!J53</f>
        <v/>
      </c>
      <c r="K64" s="361">
        <f>'03 Operational Assumptions'!K53</f>
        <v/>
      </c>
      <c r="L64" s="361">
        <f>'03 Operational Assumptions'!L53</f>
        <v/>
      </c>
      <c r="M64" s="361">
        <f>'03 Operational Assumptions'!M53</f>
        <v/>
      </c>
      <c r="N64" s="361">
        <f>AVERAGE(J64:M64)</f>
        <v/>
      </c>
      <c r="O64" s="361">
        <f>'03 Operational Assumptions'!O53</f>
        <v/>
      </c>
      <c r="P64" s="361">
        <f>'03 Operational Assumptions'!P53</f>
        <v/>
      </c>
      <c r="Q64" s="361">
        <f>'03 Operational Assumptions'!Q53</f>
        <v/>
      </c>
      <c r="R64" s="361">
        <f>'03 Operational Assumptions'!R53</f>
        <v/>
      </c>
      <c r="S64" s="361">
        <f>AVERAGE(O64:R64)</f>
        <v/>
      </c>
      <c r="T64" s="361">
        <f>'03 Operational Assumptions'!T53</f>
        <v/>
      </c>
      <c r="U64" s="361">
        <f>'03 Operational Assumptions'!U53</f>
        <v/>
      </c>
      <c r="V64" s="361">
        <f>'03 Operational Assumptions'!V53</f>
        <v/>
      </c>
      <c r="W64" s="361">
        <f>'03 Operational Assumptions'!W53</f>
        <v/>
      </c>
      <c r="X64" s="361">
        <f>AVERAGE(T64:W64)</f>
        <v/>
      </c>
      <c r="Y64" s="361">
        <f>'03 Operational Assumptions'!Y53</f>
        <v/>
      </c>
      <c r="Z64" s="361">
        <f>'03 Operational Assumptions'!Z53</f>
        <v/>
      </c>
      <c r="AA64" s="361">
        <f>'03 Operational Assumptions'!AA53</f>
        <v/>
      </c>
      <c r="AB64" s="361">
        <f>'03 Operational Assumptions'!AB53</f>
        <v/>
      </c>
      <c r="AC64" s="361">
        <f>AVERAGE(Y64:AB64)</f>
        <v/>
      </c>
      <c r="AD64" s="361">
        <f>'03 Operational Assumptions'!AD53</f>
        <v/>
      </c>
      <c r="AE64" s="361">
        <f>'03 Operational Assumptions'!AE53</f>
        <v/>
      </c>
      <c r="AF64" s="361">
        <f>'03 Operational Assumptions'!AF53</f>
        <v/>
      </c>
      <c r="AG64" s="361">
        <f>'03 Operational Assumptions'!AG53</f>
        <v/>
      </c>
      <c r="AH64" s="361">
        <f>AVERAGE(AD64:AG64)</f>
        <v/>
      </c>
      <c r="AI64" s="361">
        <f>'03 Operational Assumptions'!AI53</f>
        <v/>
      </c>
      <c r="AJ64" s="361">
        <f>'03 Operational Assumptions'!AJ53</f>
        <v/>
      </c>
      <c r="AK64" s="361">
        <f>'03 Operational Assumptions'!AK53</f>
        <v/>
      </c>
      <c r="AL64" s="361">
        <f>'03 Operational Assumptions'!AL53</f>
        <v/>
      </c>
      <c r="AM64" s="361">
        <f>AVERAGE(AI64:AL64)</f>
        <v/>
      </c>
      <c r="AN64" s="361">
        <f>'03 Operational Assumptions'!AN53</f>
        <v/>
      </c>
      <c r="AO64" s="361">
        <f>'03 Operational Assumptions'!AO53</f>
        <v/>
      </c>
      <c r="AP64" s="361">
        <f>'03 Operational Assumptions'!AP53</f>
        <v/>
      </c>
      <c r="AQ64" s="361">
        <f>'03 Operational Assumptions'!AQ53</f>
        <v/>
      </c>
      <c r="AR64" s="361">
        <f>AVERAGE(AN64:AQ64)</f>
        <v/>
      </c>
    </row>
    <row r="65" ht="13.5" customHeight="1" s="290">
      <c r="A65" s="339" t="n"/>
      <c r="B65" s="373" t="inlineStr">
        <is>
          <t xml:space="preserve">  Attrition Count — Rainmaker</t>
        </is>
      </c>
      <c r="C65" s="374" t="inlineStr">
        <is>
          <t>#/qtr</t>
        </is>
      </c>
      <c r="D65" s="375" t="inlineStr">
        <is>
          <t xml:space="preserve"> attrition rate × Beginning HC</t>
        </is>
      </c>
      <c r="E65" s="376">
        <f>E64*E62</f>
        <v/>
      </c>
      <c r="F65" s="376">
        <f>F64*F62</f>
        <v/>
      </c>
      <c r="G65" s="376">
        <f>G64*G62</f>
        <v/>
      </c>
      <c r="H65" s="376">
        <f>H64*H62</f>
        <v/>
      </c>
      <c r="I65" s="344">
        <f>SUM(E65:H65)</f>
        <v/>
      </c>
      <c r="J65" s="376">
        <f>J64*J62</f>
        <v/>
      </c>
      <c r="K65" s="376">
        <f>K64*K62</f>
        <v/>
      </c>
      <c r="L65" s="376">
        <f>L64*L62</f>
        <v/>
      </c>
      <c r="M65" s="376">
        <f>M64*M62</f>
        <v/>
      </c>
      <c r="N65" s="344">
        <f>SUM(J65:M65)</f>
        <v/>
      </c>
      <c r="O65" s="376">
        <f>O64*O62</f>
        <v/>
      </c>
      <c r="P65" s="376">
        <f>P64*P62</f>
        <v/>
      </c>
      <c r="Q65" s="376">
        <f>Q64*Q62</f>
        <v/>
      </c>
      <c r="R65" s="376">
        <f>R64*R62</f>
        <v/>
      </c>
      <c r="S65" s="344">
        <f>SUM(O65:R65)</f>
        <v/>
      </c>
      <c r="T65" s="376">
        <f>T64*T62</f>
        <v/>
      </c>
      <c r="U65" s="376">
        <f>U64*U62</f>
        <v/>
      </c>
      <c r="V65" s="376">
        <f>V64*V62</f>
        <v/>
      </c>
      <c r="W65" s="376">
        <f>W64*W62</f>
        <v/>
      </c>
      <c r="X65" s="344">
        <f>SUM(T65:W65)</f>
        <v/>
      </c>
      <c r="Y65" s="376">
        <f>Y64*Y62</f>
        <v/>
      </c>
      <c r="Z65" s="376">
        <f>Z64*Z62</f>
        <v/>
      </c>
      <c r="AA65" s="376">
        <f>AA64*AA62</f>
        <v/>
      </c>
      <c r="AB65" s="376">
        <f>AB64*AB62</f>
        <v/>
      </c>
      <c r="AC65" s="344">
        <f>SUM(Y65:AB65)</f>
        <v/>
      </c>
      <c r="AD65" s="376">
        <f>AD64*AD62</f>
        <v/>
      </c>
      <c r="AE65" s="376">
        <f>AE64*AE62</f>
        <v/>
      </c>
      <c r="AF65" s="376">
        <f>AF64*AF62</f>
        <v/>
      </c>
      <c r="AG65" s="376">
        <f>AG64*AG62</f>
        <v/>
      </c>
      <c r="AH65" s="344">
        <f>SUM(AD65:AG65)</f>
        <v/>
      </c>
      <c r="AI65" s="376">
        <f>AI64*AI62</f>
        <v/>
      </c>
      <c r="AJ65" s="376">
        <f>AJ64*AJ62</f>
        <v/>
      </c>
      <c r="AK65" s="376">
        <f>AK64*AK62</f>
        <v/>
      </c>
      <c r="AL65" s="376">
        <f>AL64*AL62</f>
        <v/>
      </c>
      <c r="AM65" s="344">
        <f>SUM(AI65:AL65)</f>
        <v/>
      </c>
      <c r="AN65" s="376">
        <f>AN64*AN62</f>
        <v/>
      </c>
      <c r="AO65" s="376">
        <f>AO64*AO62</f>
        <v/>
      </c>
      <c r="AP65" s="376">
        <f>AP64*AP62</f>
        <v/>
      </c>
      <c r="AQ65" s="376">
        <f>AQ64*AQ62</f>
        <v/>
      </c>
      <c r="AR65" s="344">
        <f>SUM(AN65:AQ65)</f>
        <v/>
      </c>
    </row>
    <row r="66" ht="13.5" customHeight="1" s="290">
      <c r="A66" s="339" t="n"/>
      <c r="B66" s="370" t="inlineStr">
        <is>
          <t xml:space="preserve">  Ramp Factor Yr1 — Rainmaker</t>
        </is>
      </c>
      <c r="C66" s="371" t="inlineStr">
        <is>
          <t>% of mature</t>
        </is>
      </c>
      <c r="D66" s="372" t="inlineStr">
        <is>
          <t>← '03 Operational Assumptions' row 153 col E (Yr1 ramp)</t>
        </is>
      </c>
      <c r="E66" s="361">
        <f>'03 Operational Assumptions'!E153</f>
        <v/>
      </c>
      <c r="F66" s="361">
        <f>'03 Operational Assumptions'!E153</f>
        <v/>
      </c>
      <c r="G66" s="361">
        <f>'03 Operational Assumptions'!E153</f>
        <v/>
      </c>
      <c r="H66" s="361">
        <f>'03 Operational Assumptions'!E153</f>
        <v/>
      </c>
      <c r="I66" s="361">
        <f>AVERAGE(E66:H66)</f>
        <v/>
      </c>
      <c r="J66" s="361">
        <f>'03 Operational Assumptions'!E153</f>
        <v/>
      </c>
      <c r="K66" s="361">
        <f>'03 Operational Assumptions'!E153</f>
        <v/>
      </c>
      <c r="L66" s="361">
        <f>'03 Operational Assumptions'!E153</f>
        <v/>
      </c>
      <c r="M66" s="361">
        <f>'03 Operational Assumptions'!E153</f>
        <v/>
      </c>
      <c r="N66" s="361">
        <f>AVERAGE(J66:M66)</f>
        <v/>
      </c>
      <c r="O66" s="361">
        <f>'03 Operational Assumptions'!E153</f>
        <v/>
      </c>
      <c r="P66" s="361">
        <f>'03 Operational Assumptions'!E153</f>
        <v/>
      </c>
      <c r="Q66" s="361">
        <f>'03 Operational Assumptions'!E153</f>
        <v/>
      </c>
      <c r="R66" s="361">
        <f>'03 Operational Assumptions'!E153</f>
        <v/>
      </c>
      <c r="S66" s="361">
        <f>AVERAGE(O66:R66)</f>
        <v/>
      </c>
      <c r="T66" s="361">
        <f>'03 Operational Assumptions'!E153</f>
        <v/>
      </c>
      <c r="U66" s="361">
        <f>'03 Operational Assumptions'!E153</f>
        <v/>
      </c>
      <c r="V66" s="361">
        <f>'03 Operational Assumptions'!E153</f>
        <v/>
      </c>
      <c r="W66" s="361">
        <f>'03 Operational Assumptions'!E153</f>
        <v/>
      </c>
      <c r="X66" s="361">
        <f>AVERAGE(T66:W66)</f>
        <v/>
      </c>
      <c r="Y66" s="361">
        <f>'03 Operational Assumptions'!E153</f>
        <v/>
      </c>
      <c r="Z66" s="361">
        <f>'03 Operational Assumptions'!E153</f>
        <v/>
      </c>
      <c r="AA66" s="361">
        <f>'03 Operational Assumptions'!E153</f>
        <v/>
      </c>
      <c r="AB66" s="361">
        <f>'03 Operational Assumptions'!E153</f>
        <v/>
      </c>
      <c r="AC66" s="361">
        <f>AVERAGE(Y66:AB66)</f>
        <v/>
      </c>
      <c r="AD66" s="361">
        <f>'03 Operational Assumptions'!E153</f>
        <v/>
      </c>
      <c r="AE66" s="361">
        <f>'03 Operational Assumptions'!E153</f>
        <v/>
      </c>
      <c r="AF66" s="361">
        <f>'03 Operational Assumptions'!E153</f>
        <v/>
      </c>
      <c r="AG66" s="361">
        <f>'03 Operational Assumptions'!E153</f>
        <v/>
      </c>
      <c r="AH66" s="361">
        <f>AVERAGE(AD66:AG66)</f>
        <v/>
      </c>
      <c r="AI66" s="361">
        <f>'03 Operational Assumptions'!E153</f>
        <v/>
      </c>
      <c r="AJ66" s="361">
        <f>'03 Operational Assumptions'!E153</f>
        <v/>
      </c>
      <c r="AK66" s="361">
        <f>'03 Operational Assumptions'!E153</f>
        <v/>
      </c>
      <c r="AL66" s="361">
        <f>'03 Operational Assumptions'!E153</f>
        <v/>
      </c>
      <c r="AM66" s="361">
        <f>AVERAGE(AI66:AL66)</f>
        <v/>
      </c>
      <c r="AN66" s="361">
        <f>'03 Operational Assumptions'!E153</f>
        <v/>
      </c>
      <c r="AO66" s="361">
        <f>'03 Operational Assumptions'!E153</f>
        <v/>
      </c>
      <c r="AP66" s="361">
        <f>'03 Operational Assumptions'!E153</f>
        <v/>
      </c>
      <c r="AQ66" s="361">
        <f>'03 Operational Assumptions'!E153</f>
        <v/>
      </c>
      <c r="AR66" s="361">
        <f>AVERAGE(AN66:AQ66)</f>
        <v/>
      </c>
    </row>
    <row r="67" ht="13.5" customHeight="1" s="290">
      <c r="A67" s="339" t="n"/>
      <c r="B67" s="377" t="inlineStr">
        <is>
          <t xml:space="preserve">  ★ EPE — Rainmaker</t>
        </is>
      </c>
      <c r="C67" s="378" t="inlineStr">
        <is>
          <t>EPE</t>
        </is>
      </c>
      <c r="D67" s="375" t="inlineStr">
        <is>
          <t xml:space="preserve"> MAX(0, beg hc + (hires × Ramp) − Attrition)))</t>
        </is>
      </c>
      <c r="E67" s="379">
        <f>MAX(0,E62+(E63*E66)-E65)</f>
        <v/>
      </c>
      <c r="F67" s="379">
        <f>MAX(0,F62+(F63*F66)-F65)</f>
        <v/>
      </c>
      <c r="G67" s="379">
        <f>MAX(0,G62+(G63*G66)-G65)</f>
        <v/>
      </c>
      <c r="H67" s="379">
        <f>MAX(0,H62+(H63*H66)-H65)</f>
        <v/>
      </c>
      <c r="I67" s="379">
        <f>AVERAGE(E67:H67)</f>
        <v/>
      </c>
      <c r="J67" s="379">
        <f>MAX(0,J62+(J63*J66)-J65)</f>
        <v/>
      </c>
      <c r="K67" s="379">
        <f>MAX(0,K62+(K63*K66)-K65)</f>
        <v/>
      </c>
      <c r="L67" s="379">
        <f>MAX(0,L62+(L63*L66)-L65)</f>
        <v/>
      </c>
      <c r="M67" s="379">
        <f>MAX(0,M62+(M63*M66)-M65)</f>
        <v/>
      </c>
      <c r="N67" s="379">
        <f>AVERAGE(J67:M67)</f>
        <v/>
      </c>
      <c r="O67" s="379">
        <f>MAX(0,O62+(O63*O66)-O65)</f>
        <v/>
      </c>
      <c r="P67" s="379">
        <f>MAX(0,P62+(P63*P66)-P65)</f>
        <v/>
      </c>
      <c r="Q67" s="379">
        <f>MAX(0,Q62+(Q63*Q66)-Q65)</f>
        <v/>
      </c>
      <c r="R67" s="379">
        <f>MAX(0,R62+(R63*R66)-R65)</f>
        <v/>
      </c>
      <c r="S67" s="379">
        <f>AVERAGE(O67:R67)</f>
        <v/>
      </c>
      <c r="T67" s="379">
        <f>MAX(0,T62+(T63*T66)-T65)</f>
        <v/>
      </c>
      <c r="U67" s="379">
        <f>MAX(0,U62+(U63*U66)-U65)</f>
        <v/>
      </c>
      <c r="V67" s="379">
        <f>MAX(0,V62+(V63*V66)-V65)</f>
        <v/>
      </c>
      <c r="W67" s="379">
        <f>MAX(0,W62+(W63*W66)-W65)</f>
        <v/>
      </c>
      <c r="X67" s="379">
        <f>AVERAGE(T67:W67)</f>
        <v/>
      </c>
      <c r="Y67" s="379">
        <f>MAX(0,Y62+(Y63*Y66)-Y65)</f>
        <v/>
      </c>
      <c r="Z67" s="379">
        <f>MAX(0,Z62+(Z63*Z66)-Z65)</f>
        <v/>
      </c>
      <c r="AA67" s="379">
        <f>MAX(0,AA62+(AA63*AA66)-AA65)</f>
        <v/>
      </c>
      <c r="AB67" s="379">
        <f>MAX(0,AB62+(AB63*AB66)-AB65)</f>
        <v/>
      </c>
      <c r="AC67" s="379">
        <f>AVERAGE(Y67:AB67)</f>
        <v/>
      </c>
      <c r="AD67" s="379">
        <f>MAX(0,AD62+(AD63*AD66)-AD65)</f>
        <v/>
      </c>
      <c r="AE67" s="379">
        <f>MAX(0,AE62+(AE63*AE66)-AE65)</f>
        <v/>
      </c>
      <c r="AF67" s="379">
        <f>MAX(0,AF62+(AF63*AF66)-AF65)</f>
        <v/>
      </c>
      <c r="AG67" s="379">
        <f>MAX(0,AG62+(AG63*AG66)-AG65)</f>
        <v/>
      </c>
      <c r="AH67" s="379">
        <f>AVERAGE(AD67:AG67)</f>
        <v/>
      </c>
      <c r="AI67" s="379">
        <f>MAX(0,AI62+(AI63*AI66)-AI65)</f>
        <v/>
      </c>
      <c r="AJ67" s="379">
        <f>MAX(0,AJ62+(AJ63*AJ66)-AJ65)</f>
        <v/>
      </c>
      <c r="AK67" s="379">
        <f>MAX(0,AK62+(AK63*AK66)-AK65)</f>
        <v/>
      </c>
      <c r="AL67" s="379">
        <f>MAX(0,AL62+(AL63*AL66)-AL65)</f>
        <v/>
      </c>
      <c r="AM67" s="379">
        <f>AVERAGE(AI67:AL67)</f>
        <v/>
      </c>
      <c r="AN67" s="379">
        <f>MAX(0,AN62+(AN63*AN66)-AN65)</f>
        <v/>
      </c>
      <c r="AO67" s="379">
        <f>MAX(0,AO62+(AO63*AO66)-AO65)</f>
        <v/>
      </c>
      <c r="AP67" s="379">
        <f>MAX(0,AP62+(AP63*AP66)-AP65)</f>
        <v/>
      </c>
      <c r="AQ67" s="379">
        <f>MAX(0,AQ62+(AQ63*AQ66)-AQ65)</f>
        <v/>
      </c>
      <c r="AR67" s="379">
        <f>AVERAGE(AN67:AQ67)</f>
        <v/>
      </c>
    </row>
    <row r="68" ht="13.5" customHeight="1" s="290">
      <c r="A68" s="339" t="n"/>
      <c r="B68" s="373" t="inlineStr">
        <is>
          <t xml:space="preserve">  Ending HC — Rainmaker</t>
        </is>
      </c>
      <c r="C68" s="374" t="inlineStr">
        <is>
          <t>#</t>
        </is>
      </c>
      <c r="D68" s="375" t="inlineStr">
        <is>
          <t xml:space="preserve"> MAX(0, beg hc + hires − Attrition Count))</t>
        </is>
      </c>
      <c r="E68" s="376">
        <f>MAX(0,E62+E63-E65)</f>
        <v/>
      </c>
      <c r="F68" s="376">
        <f>MAX(0,F62+F63-F65)</f>
        <v/>
      </c>
      <c r="G68" s="376">
        <f>MAX(0,G62+G63-G65)</f>
        <v/>
      </c>
      <c r="H68" s="376">
        <f>MAX(0,H62+H63-H65)</f>
        <v/>
      </c>
      <c r="I68" s="344">
        <f>AVERAGE(E68:H68)</f>
        <v/>
      </c>
      <c r="J68" s="376">
        <f>MAX(0,J62+J63-J65)</f>
        <v/>
      </c>
      <c r="K68" s="376">
        <f>MAX(0,K62+K63-K65)</f>
        <v/>
      </c>
      <c r="L68" s="376">
        <f>MAX(0,L62+L63-L65)</f>
        <v/>
      </c>
      <c r="M68" s="376">
        <f>MAX(0,M62+M63-M65)</f>
        <v/>
      </c>
      <c r="N68" s="344">
        <f>AVERAGE(J68:M68)</f>
        <v/>
      </c>
      <c r="O68" s="376">
        <f>MAX(0,O62+O63-O65)</f>
        <v/>
      </c>
      <c r="P68" s="376">
        <f>MAX(0,P62+P63-P65)</f>
        <v/>
      </c>
      <c r="Q68" s="376">
        <f>MAX(0,Q62+Q63-Q65)</f>
        <v/>
      </c>
      <c r="R68" s="376">
        <f>MAX(0,R62+R63-R65)</f>
        <v/>
      </c>
      <c r="S68" s="344">
        <f>AVERAGE(O68:R68)</f>
        <v/>
      </c>
      <c r="T68" s="376">
        <f>MAX(0,T62+T63-T65)</f>
        <v/>
      </c>
      <c r="U68" s="376">
        <f>MAX(0,U62+U63-U65)</f>
        <v/>
      </c>
      <c r="V68" s="376">
        <f>MAX(0,V62+V63-V65)</f>
        <v/>
      </c>
      <c r="W68" s="376">
        <f>MAX(0,W62+W63-W65)</f>
        <v/>
      </c>
      <c r="X68" s="344">
        <f>AVERAGE(T68:W68)</f>
        <v/>
      </c>
      <c r="Y68" s="376">
        <f>MAX(0,Y62+Y63-Y65)</f>
        <v/>
      </c>
      <c r="Z68" s="376">
        <f>MAX(0,Z62+Z63-Z65)</f>
        <v/>
      </c>
      <c r="AA68" s="376">
        <f>MAX(0,AA62+AA63-AA65)</f>
        <v/>
      </c>
      <c r="AB68" s="376">
        <f>MAX(0,AB62+AB63-AB65)</f>
        <v/>
      </c>
      <c r="AC68" s="344">
        <f>AVERAGE(Y68:AB68)</f>
        <v/>
      </c>
      <c r="AD68" s="376">
        <f>MAX(0,AD62+AD63-AD65)</f>
        <v/>
      </c>
      <c r="AE68" s="376">
        <f>MAX(0,AE62+AE63-AE65)</f>
        <v/>
      </c>
      <c r="AF68" s="376">
        <f>MAX(0,AF62+AF63-AF65)</f>
        <v/>
      </c>
      <c r="AG68" s="376">
        <f>MAX(0,AG62+AG63-AG65)</f>
        <v/>
      </c>
      <c r="AH68" s="344">
        <f>AVERAGE(AD68:AG68)</f>
        <v/>
      </c>
      <c r="AI68" s="376">
        <f>MAX(0,AI62+AI63-AI65)</f>
        <v/>
      </c>
      <c r="AJ68" s="376">
        <f>MAX(0,AJ62+AJ63-AJ65)</f>
        <v/>
      </c>
      <c r="AK68" s="376">
        <f>MAX(0,AK62+AK63-AK65)</f>
        <v/>
      </c>
      <c r="AL68" s="376">
        <f>MAX(0,AL62+AL63-AL65)</f>
        <v/>
      </c>
      <c r="AM68" s="344">
        <f>AVERAGE(AI68:AL68)</f>
        <v/>
      </c>
      <c r="AN68" s="376">
        <f>MAX(0,AN62+AN63-AN65)</f>
        <v/>
      </c>
      <c r="AO68" s="376">
        <f>MAX(0,AO62+AO63-AO65)</f>
        <v/>
      </c>
      <c r="AP68" s="376">
        <f>MAX(0,AP62+AP63-AP65)</f>
        <v/>
      </c>
      <c r="AQ68" s="376">
        <f>MAX(0,AQ62+AQ63-AQ65)</f>
        <v/>
      </c>
      <c r="AR68" s="344">
        <f>AVERAGE(AN68:AQ68)</f>
        <v/>
      </c>
    </row>
    <row r="69" ht="13.5" customHeight="1" s="290">
      <c r="A69" s="339" t="n"/>
      <c r="B69" s="373" t="inlineStr">
        <is>
          <t xml:space="preserve">  Ramp Drag — Rainmaker</t>
        </is>
      </c>
      <c r="C69" s="374" t="inlineStr">
        <is>
          <t>#</t>
        </is>
      </c>
      <c r="D69" s="375" t="inlineStr">
        <is>
          <t xml:space="preserve"> ending hc − EPE  (un-ramped producer count)</t>
        </is>
      </c>
      <c r="E69" s="376">
        <f>MAX(0,E68-E67)</f>
        <v/>
      </c>
      <c r="F69" s="376">
        <f>MAX(0,F68-F67)</f>
        <v/>
      </c>
      <c r="G69" s="376">
        <f>MAX(0,G68-G67)</f>
        <v/>
      </c>
      <c r="H69" s="376">
        <f>MAX(0,H68-H67)</f>
        <v/>
      </c>
      <c r="I69" s="344">
        <f>SUM(E69:H69)</f>
        <v/>
      </c>
      <c r="J69" s="376">
        <f>MAX(0,J68-J67)</f>
        <v/>
      </c>
      <c r="K69" s="376">
        <f>MAX(0,K68-K67)</f>
        <v/>
      </c>
      <c r="L69" s="376">
        <f>MAX(0,L68-L67)</f>
        <v/>
      </c>
      <c r="M69" s="376">
        <f>MAX(0,M68-M67)</f>
        <v/>
      </c>
      <c r="N69" s="344">
        <f>SUM(J69:M69)</f>
        <v/>
      </c>
      <c r="O69" s="376">
        <f>MAX(0,O68-O67)</f>
        <v/>
      </c>
      <c r="P69" s="376">
        <f>MAX(0,P68-P67)</f>
        <v/>
      </c>
      <c r="Q69" s="376">
        <f>MAX(0,Q68-Q67)</f>
        <v/>
      </c>
      <c r="R69" s="376">
        <f>MAX(0,R68-R67)</f>
        <v/>
      </c>
      <c r="S69" s="344">
        <f>SUM(O69:R69)</f>
        <v/>
      </c>
      <c r="T69" s="376">
        <f>MAX(0,T68-T67)</f>
        <v/>
      </c>
      <c r="U69" s="376">
        <f>MAX(0,U68-U67)</f>
        <v/>
      </c>
      <c r="V69" s="376">
        <f>MAX(0,V68-V67)</f>
        <v/>
      </c>
      <c r="W69" s="376">
        <f>MAX(0,W68-W67)</f>
        <v/>
      </c>
      <c r="X69" s="344">
        <f>SUM(T69:W69)</f>
        <v/>
      </c>
      <c r="Y69" s="376">
        <f>MAX(0,Y68-Y67)</f>
        <v/>
      </c>
      <c r="Z69" s="376">
        <f>MAX(0,Z68-Z67)</f>
        <v/>
      </c>
      <c r="AA69" s="376">
        <f>MAX(0,AA68-AA67)</f>
        <v/>
      </c>
      <c r="AB69" s="376">
        <f>MAX(0,AB68-AB67)</f>
        <v/>
      </c>
      <c r="AC69" s="344">
        <f>SUM(Y69:AB69)</f>
        <v/>
      </c>
      <c r="AD69" s="376">
        <f>MAX(0,AD68-AD67)</f>
        <v/>
      </c>
      <c r="AE69" s="376">
        <f>MAX(0,AE68-AE67)</f>
        <v/>
      </c>
      <c r="AF69" s="376">
        <f>MAX(0,AF68-AF67)</f>
        <v/>
      </c>
      <c r="AG69" s="376">
        <f>MAX(0,AG68-AG67)</f>
        <v/>
      </c>
      <c r="AH69" s="344">
        <f>SUM(AD69:AG69)</f>
        <v/>
      </c>
      <c r="AI69" s="376">
        <f>MAX(0,AI68-AI67)</f>
        <v/>
      </c>
      <c r="AJ69" s="376">
        <f>MAX(0,AJ68-AJ67)</f>
        <v/>
      </c>
      <c r="AK69" s="376">
        <f>MAX(0,AK68-AK67)</f>
        <v/>
      </c>
      <c r="AL69" s="376">
        <f>MAX(0,AL68-AL67)</f>
        <v/>
      </c>
      <c r="AM69" s="344">
        <f>SUM(AI69:AL69)</f>
        <v/>
      </c>
      <c r="AN69" s="376">
        <f>MAX(0,AN68-AN67)</f>
        <v/>
      </c>
      <c r="AO69" s="376">
        <f>MAX(0,AO68-AO67)</f>
        <v/>
      </c>
      <c r="AP69" s="376">
        <f>MAX(0,AP68-AP67)</f>
        <v/>
      </c>
      <c r="AQ69" s="376">
        <f>MAX(0,AQ68-AQ67)</f>
        <v/>
      </c>
      <c r="AR69" s="344">
        <f>SUM(AN69:AQ69)</f>
        <v/>
      </c>
    </row>
    <row r="70" ht="13.5" customHeight="1" s="290">
      <c r="A70" s="339" t="n"/>
      <c r="B70" s="370" t="inlineStr">
        <is>
          <t xml:space="preserve">  Book Loss Factor — Rainmaker</t>
        </is>
      </c>
      <c r="C70" s="371" t="inlineStr">
        <is>
          <t>%</t>
        </is>
      </c>
      <c r="D70" s="372" t="inlineStr">
        <is>
          <t>← '03 Operational Assumptions' row 163 col E</t>
        </is>
      </c>
      <c r="E70" s="361">
        <f>'03 Operational Assumptions'!E163</f>
        <v/>
      </c>
      <c r="F70" s="361">
        <f>'03 Operational Assumptions'!E163</f>
        <v/>
      </c>
      <c r="G70" s="361">
        <f>'03 Operational Assumptions'!E163</f>
        <v/>
      </c>
      <c r="H70" s="361">
        <f>'03 Operational Assumptions'!E163</f>
        <v/>
      </c>
      <c r="I70" s="361">
        <f>AVERAGE(E70:H70)</f>
        <v/>
      </c>
      <c r="J70" s="361">
        <f>'03 Operational Assumptions'!E163</f>
        <v/>
      </c>
      <c r="K70" s="361">
        <f>'03 Operational Assumptions'!E163</f>
        <v/>
      </c>
      <c r="L70" s="361">
        <f>'03 Operational Assumptions'!E163</f>
        <v/>
      </c>
      <c r="M70" s="361">
        <f>'03 Operational Assumptions'!E163</f>
        <v/>
      </c>
      <c r="N70" s="361">
        <f>AVERAGE(J70:M70)</f>
        <v/>
      </c>
      <c r="O70" s="361">
        <f>'03 Operational Assumptions'!E163</f>
        <v/>
      </c>
      <c r="P70" s="361">
        <f>'03 Operational Assumptions'!E163</f>
        <v/>
      </c>
      <c r="Q70" s="361">
        <f>'03 Operational Assumptions'!E163</f>
        <v/>
      </c>
      <c r="R70" s="361">
        <f>'03 Operational Assumptions'!E163</f>
        <v/>
      </c>
      <c r="S70" s="361">
        <f>AVERAGE(O70:R70)</f>
        <v/>
      </c>
      <c r="T70" s="361">
        <f>'03 Operational Assumptions'!E163</f>
        <v/>
      </c>
      <c r="U70" s="361">
        <f>'03 Operational Assumptions'!E163</f>
        <v/>
      </c>
      <c r="V70" s="361">
        <f>'03 Operational Assumptions'!E163</f>
        <v/>
      </c>
      <c r="W70" s="361">
        <f>'03 Operational Assumptions'!E163</f>
        <v/>
      </c>
      <c r="X70" s="361">
        <f>AVERAGE(T70:W70)</f>
        <v/>
      </c>
      <c r="Y70" s="361">
        <f>'03 Operational Assumptions'!E163</f>
        <v/>
      </c>
      <c r="Z70" s="361">
        <f>'03 Operational Assumptions'!E163</f>
        <v/>
      </c>
      <c r="AA70" s="361">
        <f>'03 Operational Assumptions'!E163</f>
        <v/>
      </c>
      <c r="AB70" s="361">
        <f>'03 Operational Assumptions'!E163</f>
        <v/>
      </c>
      <c r="AC70" s="361">
        <f>AVERAGE(Y70:AB70)</f>
        <v/>
      </c>
      <c r="AD70" s="361">
        <f>'03 Operational Assumptions'!E163</f>
        <v/>
      </c>
      <c r="AE70" s="361">
        <f>'03 Operational Assumptions'!E163</f>
        <v/>
      </c>
      <c r="AF70" s="361">
        <f>'03 Operational Assumptions'!E163</f>
        <v/>
      </c>
      <c r="AG70" s="361">
        <f>'03 Operational Assumptions'!E163</f>
        <v/>
      </c>
      <c r="AH70" s="361">
        <f>AVERAGE(AD70:AG70)</f>
        <v/>
      </c>
      <c r="AI70" s="361">
        <f>'03 Operational Assumptions'!E163</f>
        <v/>
      </c>
      <c r="AJ70" s="361">
        <f>'03 Operational Assumptions'!E163</f>
        <v/>
      </c>
      <c r="AK70" s="361">
        <f>'03 Operational Assumptions'!E163</f>
        <v/>
      </c>
      <c r="AL70" s="361">
        <f>'03 Operational Assumptions'!E163</f>
        <v/>
      </c>
      <c r="AM70" s="361">
        <f>AVERAGE(AI70:AL70)</f>
        <v/>
      </c>
      <c r="AN70" s="361">
        <f>'03 Operational Assumptions'!E163</f>
        <v/>
      </c>
      <c r="AO70" s="361">
        <f>'03 Operational Assumptions'!E163</f>
        <v/>
      </c>
      <c r="AP70" s="361">
        <f>'03 Operational Assumptions'!E163</f>
        <v/>
      </c>
      <c r="AQ70" s="361">
        <f>'03 Operational Assumptions'!E163</f>
        <v/>
      </c>
      <c r="AR70" s="361">
        <f>AVERAGE(AN70:AQ70)</f>
        <v/>
      </c>
    </row>
    <row r="71" ht="13.5" customHeight="1" s="290">
      <c r="B71" s="380" t="inlineStr">
        <is>
          <t xml:space="preserve">  Mature GCI / EPE — Rainmaker  [Placeholder]</t>
        </is>
      </c>
      <c r="C71" s="381" t="inlineStr">
        <is>
          <t>$K/EPE</t>
        </is>
      </c>
      <c r="D71" s="382" t="inlineStr">
        <is>
          <t>V1 MANUAL INPUT: Enter annualized GCI/EPE ($K) for this tier after Tab 05 is run. Book-loss drag = 0 until populated. No circular reference risk — this is a one-way input.</t>
        </is>
      </c>
      <c r="E71" s="383" t="n">
        <v>0</v>
      </c>
      <c r="F71" s="383" t="n">
        <v>0</v>
      </c>
      <c r="G71" s="383" t="n">
        <v>0</v>
      </c>
      <c r="H71" s="383" t="n">
        <v>0</v>
      </c>
      <c r="I71" s="384">
        <f>AVERAGE(E71:H71)</f>
        <v/>
      </c>
      <c r="J71" s="383" t="n">
        <v>0</v>
      </c>
      <c r="K71" s="383" t="n">
        <v>0</v>
      </c>
      <c r="L71" s="383" t="n">
        <v>0</v>
      </c>
      <c r="M71" s="383" t="n">
        <v>0</v>
      </c>
      <c r="N71" s="384">
        <f>AVERAGE(J71:M71)</f>
        <v/>
      </c>
      <c r="O71" s="383" t="n">
        <v>0</v>
      </c>
      <c r="P71" s="383" t="n">
        <v>0</v>
      </c>
      <c r="Q71" s="383" t="n">
        <v>0</v>
      </c>
      <c r="R71" s="383" t="n">
        <v>0</v>
      </c>
      <c r="S71" s="384">
        <f>AVERAGE(O71:R71)</f>
        <v/>
      </c>
      <c r="T71" s="383" t="n">
        <v>0</v>
      </c>
      <c r="U71" s="383" t="n">
        <v>0</v>
      </c>
      <c r="V71" s="383" t="n">
        <v>0</v>
      </c>
      <c r="W71" s="383" t="n">
        <v>0</v>
      </c>
      <c r="X71" s="384">
        <f>AVERAGE(T71:W71)</f>
        <v/>
      </c>
      <c r="Y71" s="383" t="n">
        <v>0</v>
      </c>
      <c r="Z71" s="383" t="n">
        <v>0</v>
      </c>
      <c r="AA71" s="383" t="n">
        <v>0</v>
      </c>
      <c r="AB71" s="383" t="n">
        <v>0</v>
      </c>
      <c r="AC71" s="384">
        <f>AVERAGE(Y71:AB71)</f>
        <v/>
      </c>
      <c r="AD71" s="383" t="n">
        <v>0</v>
      </c>
      <c r="AE71" s="383" t="n">
        <v>0</v>
      </c>
      <c r="AF71" s="383" t="n">
        <v>0</v>
      </c>
      <c r="AG71" s="383" t="n">
        <v>0</v>
      </c>
      <c r="AH71" s="384">
        <f>AVERAGE(AD71:AG71)</f>
        <v/>
      </c>
      <c r="AI71" s="383" t="n">
        <v>0</v>
      </c>
      <c r="AJ71" s="383" t="n">
        <v>0</v>
      </c>
      <c r="AK71" s="383" t="n">
        <v>0</v>
      </c>
      <c r="AL71" s="383" t="n">
        <v>0</v>
      </c>
      <c r="AM71" s="384">
        <f>AVERAGE(AI71:AL71)</f>
        <v/>
      </c>
      <c r="AN71" s="383" t="n">
        <v>0</v>
      </c>
      <c r="AO71" s="383" t="n">
        <v>0</v>
      </c>
      <c r="AP71" s="383" t="n">
        <v>0</v>
      </c>
      <c r="AQ71" s="383" t="n">
        <v>0</v>
      </c>
      <c r="AR71" s="384">
        <f>AVERAGE(AN71:AQ71)</f>
        <v/>
      </c>
    </row>
    <row r="72" ht="13.5" customHeight="1" s="290">
      <c r="A72" s="339" t="n"/>
      <c r="B72" s="373" t="inlineStr">
        <is>
          <t xml:space="preserve">  Book Loss GCI Drag — Rainmaker</t>
        </is>
      </c>
      <c r="C72" s="374" t="inlineStr">
        <is>
          <t>$K</t>
        </is>
      </c>
      <c r="D72" s="375" t="inlineStr">
        <is>
          <t xml:space="preserve"> −(Attrition × Book Loss Factor × Mature GCI/EPE)</t>
        </is>
      </c>
      <c r="E72" s="376">
        <f>-MAX(0,E65*E70*E71)</f>
        <v/>
      </c>
      <c r="F72" s="376">
        <f>-MAX(0,F65*F70*F71)</f>
        <v/>
      </c>
      <c r="G72" s="376">
        <f>-MAX(0,G65*G70*G71)</f>
        <v/>
      </c>
      <c r="H72" s="376">
        <f>-MAX(0,H65*H70*H71)</f>
        <v/>
      </c>
      <c r="I72" s="344">
        <f>SUM(E72:H72)</f>
        <v/>
      </c>
      <c r="J72" s="376">
        <f>-MAX(0,J65*J70*J71)</f>
        <v/>
      </c>
      <c r="K72" s="376">
        <f>-MAX(0,K65*K70*K71)</f>
        <v/>
      </c>
      <c r="L72" s="376">
        <f>-MAX(0,L65*L70*L71)</f>
        <v/>
      </c>
      <c r="M72" s="376">
        <f>-MAX(0,M65*M70*M71)</f>
        <v/>
      </c>
      <c r="N72" s="344">
        <f>SUM(J72:M72)</f>
        <v/>
      </c>
      <c r="O72" s="376">
        <f>-MAX(0,O65*O70*O71)</f>
        <v/>
      </c>
      <c r="P72" s="376">
        <f>-MAX(0,P65*P70*P71)</f>
        <v/>
      </c>
      <c r="Q72" s="376">
        <f>-MAX(0,Q65*Q70*Q71)</f>
        <v/>
      </c>
      <c r="R72" s="376">
        <f>-MAX(0,R65*R70*R71)</f>
        <v/>
      </c>
      <c r="S72" s="344">
        <f>SUM(O72:R72)</f>
        <v/>
      </c>
      <c r="T72" s="376">
        <f>-MAX(0,T65*T70*T71)</f>
        <v/>
      </c>
      <c r="U72" s="376">
        <f>-MAX(0,U65*U70*U71)</f>
        <v/>
      </c>
      <c r="V72" s="376">
        <f>-MAX(0,V65*V70*V71)</f>
        <v/>
      </c>
      <c r="W72" s="376">
        <f>-MAX(0,W65*W70*W71)</f>
        <v/>
      </c>
      <c r="X72" s="344">
        <f>SUM(T72:W72)</f>
        <v/>
      </c>
      <c r="Y72" s="376">
        <f>-MAX(0,Y65*Y70*Y71)</f>
        <v/>
      </c>
      <c r="Z72" s="376">
        <f>-MAX(0,Z65*Z70*Z71)</f>
        <v/>
      </c>
      <c r="AA72" s="376">
        <f>-MAX(0,AA65*AA70*AA71)</f>
        <v/>
      </c>
      <c r="AB72" s="376">
        <f>-MAX(0,AB65*AB70*AB71)</f>
        <v/>
      </c>
      <c r="AC72" s="344">
        <f>SUM(Y72:AB72)</f>
        <v/>
      </c>
      <c r="AD72" s="376">
        <f>-MAX(0,AD65*AD70*AD71)</f>
        <v/>
      </c>
      <c r="AE72" s="376">
        <f>-MAX(0,AE65*AE70*AE71)</f>
        <v/>
      </c>
      <c r="AF72" s="376">
        <f>-MAX(0,AF65*AF70*AF71)</f>
        <v/>
      </c>
      <c r="AG72" s="376">
        <f>-MAX(0,AG65*AG70*AG71)</f>
        <v/>
      </c>
      <c r="AH72" s="344">
        <f>SUM(AD72:AG72)</f>
        <v/>
      </c>
      <c r="AI72" s="376">
        <f>-MAX(0,AI65*AI70*AI71)</f>
        <v/>
      </c>
      <c r="AJ72" s="376">
        <f>-MAX(0,AJ65*AJ70*AJ71)</f>
        <v/>
      </c>
      <c r="AK72" s="376">
        <f>-MAX(0,AK65*AK70*AK71)</f>
        <v/>
      </c>
      <c r="AL72" s="376">
        <f>-MAX(0,AL65*AL70*AL71)</f>
        <v/>
      </c>
      <c r="AM72" s="344">
        <f>SUM(AI72:AL72)</f>
        <v/>
      </c>
      <c r="AN72" s="376">
        <f>-MAX(0,AN65*AN70*AN71)</f>
        <v/>
      </c>
      <c r="AO72" s="376">
        <f>-MAX(0,AO65*AO70*AO71)</f>
        <v/>
      </c>
      <c r="AP72" s="376">
        <f>-MAX(0,AP65*AP70*AP71)</f>
        <v/>
      </c>
      <c r="AQ72" s="376">
        <f>-MAX(0,AQ65*AQ70*AQ71)</f>
        <v/>
      </c>
      <c r="AR72" s="344">
        <f>SUM(AN72:AQ72)</f>
        <v/>
      </c>
    </row>
    <row r="73" ht="4.5" customHeight="1" s="290"/>
    <row r="74" ht="13.5" customHeight="1" s="290">
      <c r="A74" s="369" t="inlineStr">
        <is>
          <t xml:space="preserve">    ── Core ──</t>
        </is>
      </c>
    </row>
    <row r="75" ht="13.5" customHeight="1" s="290">
      <c r="A75" s="339" t="n"/>
      <c r="B75" s="370" t="inlineStr">
        <is>
          <t xml:space="preserve">  Beginning HC — Core</t>
        </is>
      </c>
      <c r="C75" s="371" t="inlineStr">
        <is>
          <t>#</t>
        </is>
      </c>
      <c r="D75" s="372" t="inlineStr">
        <is>
          <t>← '03 Operational Assumptions' row 55</t>
        </is>
      </c>
      <c r="E75" s="361">
        <f>'03 Operational Assumptions'!E55</f>
        <v/>
      </c>
      <c r="F75" s="361">
        <f>E81</f>
        <v/>
      </c>
      <c r="G75" s="361">
        <f>F81</f>
        <v/>
      </c>
      <c r="H75" s="361">
        <f>G81</f>
        <v/>
      </c>
      <c r="I75" s="361">
        <f>AVERAGE(E75:H75)</f>
        <v/>
      </c>
      <c r="J75" s="361">
        <f>H81</f>
        <v/>
      </c>
      <c r="K75" s="361">
        <f>J81</f>
        <v/>
      </c>
      <c r="L75" s="361">
        <f>K81</f>
        <v/>
      </c>
      <c r="M75" s="361">
        <f>L81</f>
        <v/>
      </c>
      <c r="N75" s="361">
        <f>AVERAGE(J75:M75)</f>
        <v/>
      </c>
      <c r="O75" s="361">
        <f>M81</f>
        <v/>
      </c>
      <c r="P75" s="361">
        <f>O81</f>
        <v/>
      </c>
      <c r="Q75" s="361">
        <f>P81</f>
        <v/>
      </c>
      <c r="R75" s="361">
        <f>Q81</f>
        <v/>
      </c>
      <c r="S75" s="361">
        <f>AVERAGE(O75:R75)</f>
        <v/>
      </c>
      <c r="T75" s="361">
        <f>R81</f>
        <v/>
      </c>
      <c r="U75" s="361">
        <f>T81</f>
        <v/>
      </c>
      <c r="V75" s="361">
        <f>U81</f>
        <v/>
      </c>
      <c r="W75" s="361">
        <f>V81</f>
        <v/>
      </c>
      <c r="X75" s="361">
        <f>AVERAGE(T75:W75)</f>
        <v/>
      </c>
      <c r="Y75" s="361">
        <f>W81</f>
        <v/>
      </c>
      <c r="Z75" s="361">
        <f>Y81</f>
        <v/>
      </c>
      <c r="AA75" s="361">
        <f>Z81</f>
        <v/>
      </c>
      <c r="AB75" s="361">
        <f>AA81</f>
        <v/>
      </c>
      <c r="AC75" s="361">
        <f>AVERAGE(Y75:AB75)</f>
        <v/>
      </c>
      <c r="AD75" s="361">
        <f>AB81</f>
        <v/>
      </c>
      <c r="AE75" s="361">
        <f>AD81</f>
        <v/>
      </c>
      <c r="AF75" s="361">
        <f>AE81</f>
        <v/>
      </c>
      <c r="AG75" s="361">
        <f>AF81</f>
        <v/>
      </c>
      <c r="AH75" s="361">
        <f>AVERAGE(AD75:AG75)</f>
        <v/>
      </c>
      <c r="AI75" s="361">
        <f>AG81</f>
        <v/>
      </c>
      <c r="AJ75" s="361">
        <f>AI81</f>
        <v/>
      </c>
      <c r="AK75" s="361">
        <f>AJ81</f>
        <v/>
      </c>
      <c r="AL75" s="361">
        <f>AK81</f>
        <v/>
      </c>
      <c r="AM75" s="361">
        <f>AVERAGE(AI75:AL75)</f>
        <v/>
      </c>
      <c r="AN75" s="361">
        <f>AL81</f>
        <v/>
      </c>
      <c r="AO75" s="361">
        <f>AN81</f>
        <v/>
      </c>
      <c r="AP75" s="361">
        <f>AO81</f>
        <v/>
      </c>
      <c r="AQ75" s="361">
        <f>AP81</f>
        <v/>
      </c>
      <c r="AR75" s="361">
        <f>AVERAGE(AN75:AQ75)</f>
        <v/>
      </c>
    </row>
    <row r="76" ht="13.5" customHeight="1" s="290">
      <c r="A76" s="339" t="n"/>
      <c r="B76" s="370" t="inlineStr">
        <is>
          <t xml:space="preserve">  Gross Hires / Qtr — Core</t>
        </is>
      </c>
      <c r="C76" s="371" t="inlineStr">
        <is>
          <t>#/qtr</t>
        </is>
      </c>
      <c r="D76" s="372" t="inlineStr">
        <is>
          <t>← '03 Operational Assumptions' row 59 (Active)</t>
        </is>
      </c>
      <c r="E76" s="361">
        <f>'03 Operational Assumptions'!E59</f>
        <v/>
      </c>
      <c r="F76" s="361">
        <f>'03 Operational Assumptions'!F59</f>
        <v/>
      </c>
      <c r="G76" s="361">
        <f>'03 Operational Assumptions'!G59</f>
        <v/>
      </c>
      <c r="H76" s="361">
        <f>'03 Operational Assumptions'!H59</f>
        <v/>
      </c>
      <c r="I76" s="361">
        <f>SUM(E76:H76)</f>
        <v/>
      </c>
      <c r="J76" s="361">
        <f>'03 Operational Assumptions'!J59</f>
        <v/>
      </c>
      <c r="K76" s="361">
        <f>'03 Operational Assumptions'!K59</f>
        <v/>
      </c>
      <c r="L76" s="361">
        <f>'03 Operational Assumptions'!L59</f>
        <v/>
      </c>
      <c r="M76" s="361">
        <f>'03 Operational Assumptions'!M59</f>
        <v/>
      </c>
      <c r="N76" s="361">
        <f>SUM(J76:M76)</f>
        <v/>
      </c>
      <c r="O76" s="361">
        <f>'03 Operational Assumptions'!O59</f>
        <v/>
      </c>
      <c r="P76" s="361">
        <f>'03 Operational Assumptions'!P59</f>
        <v/>
      </c>
      <c r="Q76" s="361">
        <f>'03 Operational Assumptions'!Q59</f>
        <v/>
      </c>
      <c r="R76" s="361">
        <f>'03 Operational Assumptions'!R59</f>
        <v/>
      </c>
      <c r="S76" s="361">
        <f>SUM(O76:R76)</f>
        <v/>
      </c>
      <c r="T76" s="361">
        <f>'03 Operational Assumptions'!T59</f>
        <v/>
      </c>
      <c r="U76" s="361">
        <f>'03 Operational Assumptions'!U59</f>
        <v/>
      </c>
      <c r="V76" s="361">
        <f>'03 Operational Assumptions'!V59</f>
        <v/>
      </c>
      <c r="W76" s="361">
        <f>'03 Operational Assumptions'!W59</f>
        <v/>
      </c>
      <c r="X76" s="361">
        <f>SUM(T76:W76)</f>
        <v/>
      </c>
      <c r="Y76" s="361">
        <f>'03 Operational Assumptions'!Y59</f>
        <v/>
      </c>
      <c r="Z76" s="361">
        <f>'03 Operational Assumptions'!Z59</f>
        <v/>
      </c>
      <c r="AA76" s="361">
        <f>'03 Operational Assumptions'!AA59</f>
        <v/>
      </c>
      <c r="AB76" s="361">
        <f>'03 Operational Assumptions'!AB59</f>
        <v/>
      </c>
      <c r="AC76" s="361">
        <f>SUM(Y76:AB76)</f>
        <v/>
      </c>
      <c r="AD76" s="361">
        <f>'03 Operational Assumptions'!AD59</f>
        <v/>
      </c>
      <c r="AE76" s="361">
        <f>'03 Operational Assumptions'!AE59</f>
        <v/>
      </c>
      <c r="AF76" s="361">
        <f>'03 Operational Assumptions'!AF59</f>
        <v/>
      </c>
      <c r="AG76" s="361">
        <f>'03 Operational Assumptions'!AG59</f>
        <v/>
      </c>
      <c r="AH76" s="361">
        <f>SUM(AD76:AG76)</f>
        <v/>
      </c>
      <c r="AI76" s="361">
        <f>'03 Operational Assumptions'!AI59</f>
        <v/>
      </c>
      <c r="AJ76" s="361">
        <f>'03 Operational Assumptions'!AJ59</f>
        <v/>
      </c>
      <c r="AK76" s="361">
        <f>'03 Operational Assumptions'!AK59</f>
        <v/>
      </c>
      <c r="AL76" s="361">
        <f>'03 Operational Assumptions'!AL59</f>
        <v/>
      </c>
      <c r="AM76" s="361">
        <f>SUM(AI76:AL76)</f>
        <v/>
      </c>
      <c r="AN76" s="361">
        <f>'03 Operational Assumptions'!AN59</f>
        <v/>
      </c>
      <c r="AO76" s="361">
        <f>'03 Operational Assumptions'!AO59</f>
        <v/>
      </c>
      <c r="AP76" s="361">
        <f>'03 Operational Assumptions'!AP59</f>
        <v/>
      </c>
      <c r="AQ76" s="361">
        <f>'03 Operational Assumptions'!AQ59</f>
        <v/>
      </c>
      <c r="AR76" s="361">
        <f>SUM(AN76:AQ76)</f>
        <v/>
      </c>
    </row>
    <row r="77" ht="13.5" customHeight="1" s="290">
      <c r="A77" s="339" t="n"/>
      <c r="B77" s="370" t="inlineStr">
        <is>
          <t xml:space="preserve">  Attrition Rate — Core</t>
        </is>
      </c>
      <c r="C77" s="371" t="inlineStr">
        <is>
          <t>%/qtr</t>
        </is>
      </c>
      <c r="D77" s="372" t="inlineStr">
        <is>
          <t>← '03 Operational Assumptions' row 63 (Active)</t>
        </is>
      </c>
      <c r="E77" s="361">
        <f>'03 Operational Assumptions'!E63</f>
        <v/>
      </c>
      <c r="F77" s="361">
        <f>'03 Operational Assumptions'!F63</f>
        <v/>
      </c>
      <c r="G77" s="361">
        <f>'03 Operational Assumptions'!G63</f>
        <v/>
      </c>
      <c r="H77" s="361">
        <f>'03 Operational Assumptions'!H63</f>
        <v/>
      </c>
      <c r="I77" s="361">
        <f>AVERAGE(E77:H77)</f>
        <v/>
      </c>
      <c r="J77" s="361">
        <f>'03 Operational Assumptions'!J63</f>
        <v/>
      </c>
      <c r="K77" s="361">
        <f>'03 Operational Assumptions'!K63</f>
        <v/>
      </c>
      <c r="L77" s="361">
        <f>'03 Operational Assumptions'!L63</f>
        <v/>
      </c>
      <c r="M77" s="361">
        <f>'03 Operational Assumptions'!M63</f>
        <v/>
      </c>
      <c r="N77" s="361">
        <f>AVERAGE(J77:M77)</f>
        <v/>
      </c>
      <c r="O77" s="361">
        <f>'03 Operational Assumptions'!O63</f>
        <v/>
      </c>
      <c r="P77" s="361">
        <f>'03 Operational Assumptions'!P63</f>
        <v/>
      </c>
      <c r="Q77" s="361">
        <f>'03 Operational Assumptions'!Q63</f>
        <v/>
      </c>
      <c r="R77" s="361">
        <f>'03 Operational Assumptions'!R63</f>
        <v/>
      </c>
      <c r="S77" s="361">
        <f>AVERAGE(O77:R77)</f>
        <v/>
      </c>
      <c r="T77" s="361">
        <f>'03 Operational Assumptions'!T63</f>
        <v/>
      </c>
      <c r="U77" s="361">
        <f>'03 Operational Assumptions'!U63</f>
        <v/>
      </c>
      <c r="V77" s="361">
        <f>'03 Operational Assumptions'!V63</f>
        <v/>
      </c>
      <c r="W77" s="361">
        <f>'03 Operational Assumptions'!W63</f>
        <v/>
      </c>
      <c r="X77" s="361">
        <f>AVERAGE(T77:W77)</f>
        <v/>
      </c>
      <c r="Y77" s="361">
        <f>'03 Operational Assumptions'!Y63</f>
        <v/>
      </c>
      <c r="Z77" s="361">
        <f>'03 Operational Assumptions'!Z63</f>
        <v/>
      </c>
      <c r="AA77" s="361">
        <f>'03 Operational Assumptions'!AA63</f>
        <v/>
      </c>
      <c r="AB77" s="361">
        <f>'03 Operational Assumptions'!AB63</f>
        <v/>
      </c>
      <c r="AC77" s="361">
        <f>AVERAGE(Y77:AB77)</f>
        <v/>
      </c>
      <c r="AD77" s="361">
        <f>'03 Operational Assumptions'!AD63</f>
        <v/>
      </c>
      <c r="AE77" s="361">
        <f>'03 Operational Assumptions'!AE63</f>
        <v/>
      </c>
      <c r="AF77" s="361">
        <f>'03 Operational Assumptions'!AF63</f>
        <v/>
      </c>
      <c r="AG77" s="361">
        <f>'03 Operational Assumptions'!AG63</f>
        <v/>
      </c>
      <c r="AH77" s="361">
        <f>AVERAGE(AD77:AG77)</f>
        <v/>
      </c>
      <c r="AI77" s="361">
        <f>'03 Operational Assumptions'!AI63</f>
        <v/>
      </c>
      <c r="AJ77" s="361">
        <f>'03 Operational Assumptions'!AJ63</f>
        <v/>
      </c>
      <c r="AK77" s="361">
        <f>'03 Operational Assumptions'!AK63</f>
        <v/>
      </c>
      <c r="AL77" s="361">
        <f>'03 Operational Assumptions'!AL63</f>
        <v/>
      </c>
      <c r="AM77" s="361">
        <f>AVERAGE(AI77:AL77)</f>
        <v/>
      </c>
      <c r="AN77" s="361">
        <f>'03 Operational Assumptions'!AN63</f>
        <v/>
      </c>
      <c r="AO77" s="361">
        <f>'03 Operational Assumptions'!AO63</f>
        <v/>
      </c>
      <c r="AP77" s="361">
        <f>'03 Operational Assumptions'!AP63</f>
        <v/>
      </c>
      <c r="AQ77" s="361">
        <f>'03 Operational Assumptions'!AQ63</f>
        <v/>
      </c>
      <c r="AR77" s="361">
        <f>AVERAGE(AN77:AQ77)</f>
        <v/>
      </c>
    </row>
    <row r="78" ht="13.5" customHeight="1" s="290">
      <c r="A78" s="339" t="n"/>
      <c r="B78" s="373" t="inlineStr">
        <is>
          <t xml:space="preserve">  Attrition Count — Core</t>
        </is>
      </c>
      <c r="C78" s="374" t="inlineStr">
        <is>
          <t>#/qtr</t>
        </is>
      </c>
      <c r="D78" s="375" t="inlineStr">
        <is>
          <t xml:space="preserve"> attrition rate × Beginning HC</t>
        </is>
      </c>
      <c r="E78" s="376">
        <f>E77*E75</f>
        <v/>
      </c>
      <c r="F78" s="376">
        <f>F77*F75</f>
        <v/>
      </c>
      <c r="G78" s="376">
        <f>G77*G75</f>
        <v/>
      </c>
      <c r="H78" s="376">
        <f>H77*H75</f>
        <v/>
      </c>
      <c r="I78" s="344">
        <f>SUM(E78:H78)</f>
        <v/>
      </c>
      <c r="J78" s="376">
        <f>J77*J75</f>
        <v/>
      </c>
      <c r="K78" s="376">
        <f>K77*K75</f>
        <v/>
      </c>
      <c r="L78" s="376">
        <f>L77*L75</f>
        <v/>
      </c>
      <c r="M78" s="376">
        <f>M77*M75</f>
        <v/>
      </c>
      <c r="N78" s="344">
        <f>SUM(J78:M78)</f>
        <v/>
      </c>
      <c r="O78" s="376">
        <f>O77*O75</f>
        <v/>
      </c>
      <c r="P78" s="376">
        <f>P77*P75</f>
        <v/>
      </c>
      <c r="Q78" s="376">
        <f>Q77*Q75</f>
        <v/>
      </c>
      <c r="R78" s="376">
        <f>R77*R75</f>
        <v/>
      </c>
      <c r="S78" s="344">
        <f>SUM(O78:R78)</f>
        <v/>
      </c>
      <c r="T78" s="376">
        <f>T77*T75</f>
        <v/>
      </c>
      <c r="U78" s="376">
        <f>U77*U75</f>
        <v/>
      </c>
      <c r="V78" s="376">
        <f>V77*V75</f>
        <v/>
      </c>
      <c r="W78" s="376">
        <f>W77*W75</f>
        <v/>
      </c>
      <c r="X78" s="344">
        <f>SUM(T78:W78)</f>
        <v/>
      </c>
      <c r="Y78" s="376">
        <f>Y77*Y75</f>
        <v/>
      </c>
      <c r="Z78" s="376">
        <f>Z77*Z75</f>
        <v/>
      </c>
      <c r="AA78" s="376">
        <f>AA77*AA75</f>
        <v/>
      </c>
      <c r="AB78" s="376">
        <f>AB77*AB75</f>
        <v/>
      </c>
      <c r="AC78" s="344">
        <f>SUM(Y78:AB78)</f>
        <v/>
      </c>
      <c r="AD78" s="376">
        <f>AD77*AD75</f>
        <v/>
      </c>
      <c r="AE78" s="376">
        <f>AE77*AE75</f>
        <v/>
      </c>
      <c r="AF78" s="376">
        <f>AF77*AF75</f>
        <v/>
      </c>
      <c r="AG78" s="376">
        <f>AG77*AG75</f>
        <v/>
      </c>
      <c r="AH78" s="344">
        <f>SUM(AD78:AG78)</f>
        <v/>
      </c>
      <c r="AI78" s="376">
        <f>AI77*AI75</f>
        <v/>
      </c>
      <c r="AJ78" s="376">
        <f>AJ77*AJ75</f>
        <v/>
      </c>
      <c r="AK78" s="376">
        <f>AK77*AK75</f>
        <v/>
      </c>
      <c r="AL78" s="376">
        <f>AL77*AL75</f>
        <v/>
      </c>
      <c r="AM78" s="344">
        <f>SUM(AI78:AL78)</f>
        <v/>
      </c>
      <c r="AN78" s="376">
        <f>AN77*AN75</f>
        <v/>
      </c>
      <c r="AO78" s="376">
        <f>AO77*AO75</f>
        <v/>
      </c>
      <c r="AP78" s="376">
        <f>AP77*AP75</f>
        <v/>
      </c>
      <c r="AQ78" s="376">
        <f>AQ77*AQ75</f>
        <v/>
      </c>
      <c r="AR78" s="344">
        <f>SUM(AN78:AQ78)</f>
        <v/>
      </c>
    </row>
    <row r="79" ht="13.5" customHeight="1" s="290">
      <c r="A79" s="339" t="n"/>
      <c r="B79" s="370" t="inlineStr">
        <is>
          <t xml:space="preserve">  Ramp Factor Yr1 — Core</t>
        </is>
      </c>
      <c r="C79" s="371" t="inlineStr">
        <is>
          <t>% of mature</t>
        </is>
      </c>
      <c r="D79" s="372" t="inlineStr">
        <is>
          <t>← '03 Operational Assumptions' row 153 col F (Yr1 ramp)</t>
        </is>
      </c>
      <c r="E79" s="361">
        <f>'03 Operational Assumptions'!F153</f>
        <v/>
      </c>
      <c r="F79" s="361">
        <f>'03 Operational Assumptions'!F153</f>
        <v/>
      </c>
      <c r="G79" s="361">
        <f>'03 Operational Assumptions'!F153</f>
        <v/>
      </c>
      <c r="H79" s="361">
        <f>'03 Operational Assumptions'!F153</f>
        <v/>
      </c>
      <c r="I79" s="361">
        <f>AVERAGE(E79:H79)</f>
        <v/>
      </c>
      <c r="J79" s="361">
        <f>'03 Operational Assumptions'!F153</f>
        <v/>
      </c>
      <c r="K79" s="361">
        <f>'03 Operational Assumptions'!F153</f>
        <v/>
      </c>
      <c r="L79" s="361">
        <f>'03 Operational Assumptions'!F153</f>
        <v/>
      </c>
      <c r="M79" s="361">
        <f>'03 Operational Assumptions'!F153</f>
        <v/>
      </c>
      <c r="N79" s="361">
        <f>AVERAGE(J79:M79)</f>
        <v/>
      </c>
      <c r="O79" s="361">
        <f>'03 Operational Assumptions'!F153</f>
        <v/>
      </c>
      <c r="P79" s="361">
        <f>'03 Operational Assumptions'!F153</f>
        <v/>
      </c>
      <c r="Q79" s="361">
        <f>'03 Operational Assumptions'!F153</f>
        <v/>
      </c>
      <c r="R79" s="361">
        <f>'03 Operational Assumptions'!F153</f>
        <v/>
      </c>
      <c r="S79" s="361">
        <f>AVERAGE(O79:R79)</f>
        <v/>
      </c>
      <c r="T79" s="361">
        <f>'03 Operational Assumptions'!F153</f>
        <v/>
      </c>
      <c r="U79" s="361">
        <f>'03 Operational Assumptions'!F153</f>
        <v/>
      </c>
      <c r="V79" s="361">
        <f>'03 Operational Assumptions'!F153</f>
        <v/>
      </c>
      <c r="W79" s="361">
        <f>'03 Operational Assumptions'!F153</f>
        <v/>
      </c>
      <c r="X79" s="361">
        <f>AVERAGE(T79:W79)</f>
        <v/>
      </c>
      <c r="Y79" s="361">
        <f>'03 Operational Assumptions'!F153</f>
        <v/>
      </c>
      <c r="Z79" s="361">
        <f>'03 Operational Assumptions'!F153</f>
        <v/>
      </c>
      <c r="AA79" s="361">
        <f>'03 Operational Assumptions'!F153</f>
        <v/>
      </c>
      <c r="AB79" s="361">
        <f>'03 Operational Assumptions'!F153</f>
        <v/>
      </c>
      <c r="AC79" s="361">
        <f>AVERAGE(Y79:AB79)</f>
        <v/>
      </c>
      <c r="AD79" s="361">
        <f>'03 Operational Assumptions'!F153</f>
        <v/>
      </c>
      <c r="AE79" s="361">
        <f>'03 Operational Assumptions'!F153</f>
        <v/>
      </c>
      <c r="AF79" s="361">
        <f>'03 Operational Assumptions'!F153</f>
        <v/>
      </c>
      <c r="AG79" s="361">
        <f>'03 Operational Assumptions'!F153</f>
        <v/>
      </c>
      <c r="AH79" s="361">
        <f>AVERAGE(AD79:AG79)</f>
        <v/>
      </c>
      <c r="AI79" s="361">
        <f>'03 Operational Assumptions'!F153</f>
        <v/>
      </c>
      <c r="AJ79" s="361">
        <f>'03 Operational Assumptions'!F153</f>
        <v/>
      </c>
      <c r="AK79" s="361">
        <f>'03 Operational Assumptions'!F153</f>
        <v/>
      </c>
      <c r="AL79" s="361">
        <f>'03 Operational Assumptions'!F153</f>
        <v/>
      </c>
      <c r="AM79" s="361">
        <f>AVERAGE(AI79:AL79)</f>
        <v/>
      </c>
      <c r="AN79" s="361">
        <f>'03 Operational Assumptions'!F153</f>
        <v/>
      </c>
      <c r="AO79" s="361">
        <f>'03 Operational Assumptions'!F153</f>
        <v/>
      </c>
      <c r="AP79" s="361">
        <f>'03 Operational Assumptions'!F153</f>
        <v/>
      </c>
      <c r="AQ79" s="361">
        <f>'03 Operational Assumptions'!F153</f>
        <v/>
      </c>
      <c r="AR79" s="361">
        <f>AVERAGE(AN79:AQ79)</f>
        <v/>
      </c>
    </row>
    <row r="80" ht="13.5" customHeight="1" s="290">
      <c r="A80" s="339" t="n"/>
      <c r="B80" s="377" t="inlineStr">
        <is>
          <t xml:space="preserve">  ★ EPE — Core</t>
        </is>
      </c>
      <c r="C80" s="378" t="inlineStr">
        <is>
          <t>EPE</t>
        </is>
      </c>
      <c r="D80" s="375" t="inlineStr">
        <is>
          <t xml:space="preserve"> MAX(0, beg hc + (hires × Ramp) − Attrition)))</t>
        </is>
      </c>
      <c r="E80" s="379">
        <f>MAX(0,E75+(E76*E79)-E78)</f>
        <v/>
      </c>
      <c r="F80" s="379">
        <f>MAX(0,F75+(F76*F79)-F78)</f>
        <v/>
      </c>
      <c r="G80" s="379">
        <f>MAX(0,G75+(G76*G79)-G78)</f>
        <v/>
      </c>
      <c r="H80" s="379">
        <f>MAX(0,H75+(H76*H79)-H78)</f>
        <v/>
      </c>
      <c r="I80" s="379">
        <f>AVERAGE(E80:H80)</f>
        <v/>
      </c>
      <c r="J80" s="379">
        <f>MAX(0,J75+(J76*J79)-J78)</f>
        <v/>
      </c>
      <c r="K80" s="379">
        <f>MAX(0,K75+(K76*K79)-K78)</f>
        <v/>
      </c>
      <c r="L80" s="379">
        <f>MAX(0,L75+(L76*L79)-L78)</f>
        <v/>
      </c>
      <c r="M80" s="379">
        <f>MAX(0,M75+(M76*M79)-M78)</f>
        <v/>
      </c>
      <c r="N80" s="379">
        <f>AVERAGE(J80:M80)</f>
        <v/>
      </c>
      <c r="O80" s="379">
        <f>MAX(0,O75+(O76*O79)-O78)</f>
        <v/>
      </c>
      <c r="P80" s="379">
        <f>MAX(0,P75+(P76*P79)-P78)</f>
        <v/>
      </c>
      <c r="Q80" s="379">
        <f>MAX(0,Q75+(Q76*Q79)-Q78)</f>
        <v/>
      </c>
      <c r="R80" s="379">
        <f>MAX(0,R75+(R76*R79)-R78)</f>
        <v/>
      </c>
      <c r="S80" s="379">
        <f>AVERAGE(O80:R80)</f>
        <v/>
      </c>
      <c r="T80" s="379">
        <f>MAX(0,T75+(T76*T79)-T78)</f>
        <v/>
      </c>
      <c r="U80" s="379">
        <f>MAX(0,U75+(U76*U79)-U78)</f>
        <v/>
      </c>
      <c r="V80" s="379">
        <f>MAX(0,V75+(V76*V79)-V78)</f>
        <v/>
      </c>
      <c r="W80" s="379">
        <f>MAX(0,W75+(W76*W79)-W78)</f>
        <v/>
      </c>
      <c r="X80" s="379">
        <f>AVERAGE(T80:W80)</f>
        <v/>
      </c>
      <c r="Y80" s="379">
        <f>MAX(0,Y75+(Y76*Y79)-Y78)</f>
        <v/>
      </c>
      <c r="Z80" s="379">
        <f>MAX(0,Z75+(Z76*Z79)-Z78)</f>
        <v/>
      </c>
      <c r="AA80" s="379">
        <f>MAX(0,AA75+(AA76*AA79)-AA78)</f>
        <v/>
      </c>
      <c r="AB80" s="379">
        <f>MAX(0,AB75+(AB76*AB79)-AB78)</f>
        <v/>
      </c>
      <c r="AC80" s="379">
        <f>AVERAGE(Y80:AB80)</f>
        <v/>
      </c>
      <c r="AD80" s="379">
        <f>MAX(0,AD75+(AD76*AD79)-AD78)</f>
        <v/>
      </c>
      <c r="AE80" s="379">
        <f>MAX(0,AE75+(AE76*AE79)-AE78)</f>
        <v/>
      </c>
      <c r="AF80" s="379">
        <f>MAX(0,AF75+(AF76*AF79)-AF78)</f>
        <v/>
      </c>
      <c r="AG80" s="379">
        <f>MAX(0,AG75+(AG76*AG79)-AG78)</f>
        <v/>
      </c>
      <c r="AH80" s="379">
        <f>AVERAGE(AD80:AG80)</f>
        <v/>
      </c>
      <c r="AI80" s="379">
        <f>MAX(0,AI75+(AI76*AI79)-AI78)</f>
        <v/>
      </c>
      <c r="AJ80" s="379">
        <f>MAX(0,AJ75+(AJ76*AJ79)-AJ78)</f>
        <v/>
      </c>
      <c r="AK80" s="379">
        <f>MAX(0,AK75+(AK76*AK79)-AK78)</f>
        <v/>
      </c>
      <c r="AL80" s="379">
        <f>MAX(0,AL75+(AL76*AL79)-AL78)</f>
        <v/>
      </c>
      <c r="AM80" s="379">
        <f>AVERAGE(AI80:AL80)</f>
        <v/>
      </c>
      <c r="AN80" s="379">
        <f>MAX(0,AN75+(AN76*AN79)-AN78)</f>
        <v/>
      </c>
      <c r="AO80" s="379">
        <f>MAX(0,AO75+(AO76*AO79)-AO78)</f>
        <v/>
      </c>
      <c r="AP80" s="379">
        <f>MAX(0,AP75+(AP76*AP79)-AP78)</f>
        <v/>
      </c>
      <c r="AQ80" s="379">
        <f>MAX(0,AQ75+(AQ76*AQ79)-AQ78)</f>
        <v/>
      </c>
      <c r="AR80" s="379">
        <f>AVERAGE(AN80:AQ80)</f>
        <v/>
      </c>
    </row>
    <row r="81" ht="13.5" customHeight="1" s="290">
      <c r="A81" s="339" t="n"/>
      <c r="B81" s="373" t="inlineStr">
        <is>
          <t xml:space="preserve">  Ending HC — Core</t>
        </is>
      </c>
      <c r="C81" s="374" t="inlineStr">
        <is>
          <t>#</t>
        </is>
      </c>
      <c r="D81" s="375" t="inlineStr">
        <is>
          <t xml:space="preserve"> MAX(0, beg hc + hires − Attrition Count))</t>
        </is>
      </c>
      <c r="E81" s="376">
        <f>MAX(0,E75+E76-E78)</f>
        <v/>
      </c>
      <c r="F81" s="376">
        <f>MAX(0,F75+F76-F78)</f>
        <v/>
      </c>
      <c r="G81" s="376">
        <f>MAX(0,G75+G76-G78)</f>
        <v/>
      </c>
      <c r="H81" s="376">
        <f>MAX(0,H75+H76-H78)</f>
        <v/>
      </c>
      <c r="I81" s="344">
        <f>AVERAGE(E81:H81)</f>
        <v/>
      </c>
      <c r="J81" s="376">
        <f>MAX(0,J75+J76-J78)</f>
        <v/>
      </c>
      <c r="K81" s="376">
        <f>MAX(0,K75+K76-K78)</f>
        <v/>
      </c>
      <c r="L81" s="376">
        <f>MAX(0,L75+L76-L78)</f>
        <v/>
      </c>
      <c r="M81" s="376">
        <f>MAX(0,M75+M76-M78)</f>
        <v/>
      </c>
      <c r="N81" s="344">
        <f>AVERAGE(J81:M81)</f>
        <v/>
      </c>
      <c r="O81" s="376">
        <f>MAX(0,O75+O76-O78)</f>
        <v/>
      </c>
      <c r="P81" s="376">
        <f>MAX(0,P75+P76-P78)</f>
        <v/>
      </c>
      <c r="Q81" s="376">
        <f>MAX(0,Q75+Q76-Q78)</f>
        <v/>
      </c>
      <c r="R81" s="376">
        <f>MAX(0,R75+R76-R78)</f>
        <v/>
      </c>
      <c r="S81" s="344">
        <f>AVERAGE(O81:R81)</f>
        <v/>
      </c>
      <c r="T81" s="376">
        <f>MAX(0,T75+T76-T78)</f>
        <v/>
      </c>
      <c r="U81" s="376">
        <f>MAX(0,U75+U76-U78)</f>
        <v/>
      </c>
      <c r="V81" s="376">
        <f>MAX(0,V75+V76-V78)</f>
        <v/>
      </c>
      <c r="W81" s="376">
        <f>MAX(0,W75+W76-W78)</f>
        <v/>
      </c>
      <c r="X81" s="344">
        <f>AVERAGE(T81:W81)</f>
        <v/>
      </c>
      <c r="Y81" s="376">
        <f>MAX(0,Y75+Y76-Y78)</f>
        <v/>
      </c>
      <c r="Z81" s="376">
        <f>MAX(0,Z75+Z76-Z78)</f>
        <v/>
      </c>
      <c r="AA81" s="376">
        <f>MAX(0,AA75+AA76-AA78)</f>
        <v/>
      </c>
      <c r="AB81" s="376">
        <f>MAX(0,AB75+AB76-AB78)</f>
        <v/>
      </c>
      <c r="AC81" s="344">
        <f>AVERAGE(Y81:AB81)</f>
        <v/>
      </c>
      <c r="AD81" s="376">
        <f>MAX(0,AD75+AD76-AD78)</f>
        <v/>
      </c>
      <c r="AE81" s="376">
        <f>MAX(0,AE75+AE76-AE78)</f>
        <v/>
      </c>
      <c r="AF81" s="376">
        <f>MAX(0,AF75+AF76-AF78)</f>
        <v/>
      </c>
      <c r="AG81" s="376">
        <f>MAX(0,AG75+AG76-AG78)</f>
        <v/>
      </c>
      <c r="AH81" s="344">
        <f>AVERAGE(AD81:AG81)</f>
        <v/>
      </c>
      <c r="AI81" s="376">
        <f>MAX(0,AI75+AI76-AI78)</f>
        <v/>
      </c>
      <c r="AJ81" s="376">
        <f>MAX(0,AJ75+AJ76-AJ78)</f>
        <v/>
      </c>
      <c r="AK81" s="376">
        <f>MAX(0,AK75+AK76-AK78)</f>
        <v/>
      </c>
      <c r="AL81" s="376">
        <f>MAX(0,AL75+AL76-AL78)</f>
        <v/>
      </c>
      <c r="AM81" s="344">
        <f>AVERAGE(AI81:AL81)</f>
        <v/>
      </c>
      <c r="AN81" s="376">
        <f>MAX(0,AN75+AN76-AN78)</f>
        <v/>
      </c>
      <c r="AO81" s="376">
        <f>MAX(0,AO75+AO76-AO78)</f>
        <v/>
      </c>
      <c r="AP81" s="376">
        <f>MAX(0,AP75+AP76-AP78)</f>
        <v/>
      </c>
      <c r="AQ81" s="376">
        <f>MAX(0,AQ75+AQ76-AQ78)</f>
        <v/>
      </c>
      <c r="AR81" s="344">
        <f>AVERAGE(AN81:AQ81)</f>
        <v/>
      </c>
    </row>
    <row r="82" ht="13.5" customHeight="1" s="290">
      <c r="A82" s="339" t="n"/>
      <c r="B82" s="373" t="inlineStr">
        <is>
          <t xml:space="preserve">  Ramp Drag — Core</t>
        </is>
      </c>
      <c r="C82" s="374" t="inlineStr">
        <is>
          <t>#</t>
        </is>
      </c>
      <c r="D82" s="375" t="inlineStr">
        <is>
          <t xml:space="preserve"> ending hc − EPE  (un-ramped producer count)</t>
        </is>
      </c>
      <c r="E82" s="376">
        <f>MAX(0,E81-E80)</f>
        <v/>
      </c>
      <c r="F82" s="376">
        <f>MAX(0,F81-F80)</f>
        <v/>
      </c>
      <c r="G82" s="376">
        <f>MAX(0,G81-G80)</f>
        <v/>
      </c>
      <c r="H82" s="376">
        <f>MAX(0,H81-H80)</f>
        <v/>
      </c>
      <c r="I82" s="344">
        <f>SUM(E82:H82)</f>
        <v/>
      </c>
      <c r="J82" s="376">
        <f>MAX(0,J81-J80)</f>
        <v/>
      </c>
      <c r="K82" s="376">
        <f>MAX(0,K81-K80)</f>
        <v/>
      </c>
      <c r="L82" s="376">
        <f>MAX(0,L81-L80)</f>
        <v/>
      </c>
      <c r="M82" s="376">
        <f>MAX(0,M81-M80)</f>
        <v/>
      </c>
      <c r="N82" s="344">
        <f>SUM(J82:M82)</f>
        <v/>
      </c>
      <c r="O82" s="376">
        <f>MAX(0,O81-O80)</f>
        <v/>
      </c>
      <c r="P82" s="376">
        <f>MAX(0,P81-P80)</f>
        <v/>
      </c>
      <c r="Q82" s="376">
        <f>MAX(0,Q81-Q80)</f>
        <v/>
      </c>
      <c r="R82" s="376">
        <f>MAX(0,R81-R80)</f>
        <v/>
      </c>
      <c r="S82" s="344">
        <f>SUM(O82:R82)</f>
        <v/>
      </c>
      <c r="T82" s="376">
        <f>MAX(0,T81-T80)</f>
        <v/>
      </c>
      <c r="U82" s="376">
        <f>MAX(0,U81-U80)</f>
        <v/>
      </c>
      <c r="V82" s="376">
        <f>MAX(0,V81-V80)</f>
        <v/>
      </c>
      <c r="W82" s="376">
        <f>MAX(0,W81-W80)</f>
        <v/>
      </c>
      <c r="X82" s="344">
        <f>SUM(T82:W82)</f>
        <v/>
      </c>
      <c r="Y82" s="376">
        <f>MAX(0,Y81-Y80)</f>
        <v/>
      </c>
      <c r="Z82" s="376">
        <f>MAX(0,Z81-Z80)</f>
        <v/>
      </c>
      <c r="AA82" s="376">
        <f>MAX(0,AA81-AA80)</f>
        <v/>
      </c>
      <c r="AB82" s="376">
        <f>MAX(0,AB81-AB80)</f>
        <v/>
      </c>
      <c r="AC82" s="344">
        <f>SUM(Y82:AB82)</f>
        <v/>
      </c>
      <c r="AD82" s="376">
        <f>MAX(0,AD81-AD80)</f>
        <v/>
      </c>
      <c r="AE82" s="376">
        <f>MAX(0,AE81-AE80)</f>
        <v/>
      </c>
      <c r="AF82" s="376">
        <f>MAX(0,AF81-AF80)</f>
        <v/>
      </c>
      <c r="AG82" s="376">
        <f>MAX(0,AG81-AG80)</f>
        <v/>
      </c>
      <c r="AH82" s="344">
        <f>SUM(AD82:AG82)</f>
        <v/>
      </c>
      <c r="AI82" s="376">
        <f>MAX(0,AI81-AI80)</f>
        <v/>
      </c>
      <c r="AJ82" s="376">
        <f>MAX(0,AJ81-AJ80)</f>
        <v/>
      </c>
      <c r="AK82" s="376">
        <f>MAX(0,AK81-AK80)</f>
        <v/>
      </c>
      <c r="AL82" s="376">
        <f>MAX(0,AL81-AL80)</f>
        <v/>
      </c>
      <c r="AM82" s="344">
        <f>SUM(AI82:AL82)</f>
        <v/>
      </c>
      <c r="AN82" s="376">
        <f>MAX(0,AN81-AN80)</f>
        <v/>
      </c>
      <c r="AO82" s="376">
        <f>MAX(0,AO81-AO80)</f>
        <v/>
      </c>
      <c r="AP82" s="376">
        <f>MAX(0,AP81-AP80)</f>
        <v/>
      </c>
      <c r="AQ82" s="376">
        <f>MAX(0,AQ81-AQ80)</f>
        <v/>
      </c>
      <c r="AR82" s="344">
        <f>SUM(AN82:AQ82)</f>
        <v/>
      </c>
    </row>
    <row r="83" ht="13.5" customHeight="1" s="290">
      <c r="A83" s="339" t="n"/>
      <c r="B83" s="370" t="inlineStr">
        <is>
          <t xml:space="preserve">  Book Loss Factor — Core</t>
        </is>
      </c>
      <c r="C83" s="371" t="inlineStr">
        <is>
          <t>%</t>
        </is>
      </c>
      <c r="D83" s="372" t="inlineStr">
        <is>
          <t>← '03 Operational Assumptions' row 163 col F</t>
        </is>
      </c>
      <c r="E83" s="361">
        <f>'03 Operational Assumptions'!F163</f>
        <v/>
      </c>
      <c r="F83" s="361">
        <f>'03 Operational Assumptions'!F163</f>
        <v/>
      </c>
      <c r="G83" s="361">
        <f>'03 Operational Assumptions'!F163</f>
        <v/>
      </c>
      <c r="H83" s="361">
        <f>'03 Operational Assumptions'!F163</f>
        <v/>
      </c>
      <c r="I83" s="361">
        <f>AVERAGE(E83:H83)</f>
        <v/>
      </c>
      <c r="J83" s="361">
        <f>'03 Operational Assumptions'!F163</f>
        <v/>
      </c>
      <c r="K83" s="361">
        <f>'03 Operational Assumptions'!F163</f>
        <v/>
      </c>
      <c r="L83" s="361">
        <f>'03 Operational Assumptions'!F163</f>
        <v/>
      </c>
      <c r="M83" s="361">
        <f>'03 Operational Assumptions'!F163</f>
        <v/>
      </c>
      <c r="N83" s="361">
        <f>AVERAGE(J83:M83)</f>
        <v/>
      </c>
      <c r="O83" s="361">
        <f>'03 Operational Assumptions'!F163</f>
        <v/>
      </c>
      <c r="P83" s="361">
        <f>'03 Operational Assumptions'!F163</f>
        <v/>
      </c>
      <c r="Q83" s="361">
        <f>'03 Operational Assumptions'!F163</f>
        <v/>
      </c>
      <c r="R83" s="361">
        <f>'03 Operational Assumptions'!F163</f>
        <v/>
      </c>
      <c r="S83" s="361">
        <f>AVERAGE(O83:R83)</f>
        <v/>
      </c>
      <c r="T83" s="361">
        <f>'03 Operational Assumptions'!F163</f>
        <v/>
      </c>
      <c r="U83" s="361">
        <f>'03 Operational Assumptions'!F163</f>
        <v/>
      </c>
      <c r="V83" s="361">
        <f>'03 Operational Assumptions'!F163</f>
        <v/>
      </c>
      <c r="W83" s="361">
        <f>'03 Operational Assumptions'!F163</f>
        <v/>
      </c>
      <c r="X83" s="361">
        <f>AVERAGE(T83:W83)</f>
        <v/>
      </c>
      <c r="Y83" s="361">
        <f>'03 Operational Assumptions'!F163</f>
        <v/>
      </c>
      <c r="Z83" s="361">
        <f>'03 Operational Assumptions'!F163</f>
        <v/>
      </c>
      <c r="AA83" s="361">
        <f>'03 Operational Assumptions'!F163</f>
        <v/>
      </c>
      <c r="AB83" s="361">
        <f>'03 Operational Assumptions'!F163</f>
        <v/>
      </c>
      <c r="AC83" s="361">
        <f>AVERAGE(Y83:AB83)</f>
        <v/>
      </c>
      <c r="AD83" s="361">
        <f>'03 Operational Assumptions'!F163</f>
        <v/>
      </c>
      <c r="AE83" s="361">
        <f>'03 Operational Assumptions'!F163</f>
        <v/>
      </c>
      <c r="AF83" s="361">
        <f>'03 Operational Assumptions'!F163</f>
        <v/>
      </c>
      <c r="AG83" s="361">
        <f>'03 Operational Assumptions'!F163</f>
        <v/>
      </c>
      <c r="AH83" s="361">
        <f>AVERAGE(AD83:AG83)</f>
        <v/>
      </c>
      <c r="AI83" s="361">
        <f>'03 Operational Assumptions'!F163</f>
        <v/>
      </c>
      <c r="AJ83" s="361">
        <f>'03 Operational Assumptions'!F163</f>
        <v/>
      </c>
      <c r="AK83" s="361">
        <f>'03 Operational Assumptions'!F163</f>
        <v/>
      </c>
      <c r="AL83" s="361">
        <f>'03 Operational Assumptions'!F163</f>
        <v/>
      </c>
      <c r="AM83" s="361">
        <f>AVERAGE(AI83:AL83)</f>
        <v/>
      </c>
      <c r="AN83" s="361">
        <f>'03 Operational Assumptions'!F163</f>
        <v/>
      </c>
      <c r="AO83" s="361">
        <f>'03 Operational Assumptions'!F163</f>
        <v/>
      </c>
      <c r="AP83" s="361">
        <f>'03 Operational Assumptions'!F163</f>
        <v/>
      </c>
      <c r="AQ83" s="361">
        <f>'03 Operational Assumptions'!F163</f>
        <v/>
      </c>
      <c r="AR83" s="361">
        <f>AVERAGE(AN83:AQ83)</f>
        <v/>
      </c>
    </row>
    <row r="84" ht="13.5" customHeight="1" s="290">
      <c r="B84" s="380" t="inlineStr">
        <is>
          <t xml:space="preserve">  Mature GCI / EPE — Core  [Placeholder]</t>
        </is>
      </c>
      <c r="C84" s="381" t="inlineStr">
        <is>
          <t>$K/EPE</t>
        </is>
      </c>
      <c r="D84" s="382" t="inlineStr">
        <is>
          <t>V1 MANUAL INPUT: Enter annualized GCI/EPE ($K) for this tier after Tab 05 is run. Book-loss drag = 0 until populated. No circular reference risk — this is a one-way input.</t>
        </is>
      </c>
      <c r="E84" s="383" t="n">
        <v>0</v>
      </c>
      <c r="F84" s="383" t="n">
        <v>0</v>
      </c>
      <c r="G84" s="383" t="n">
        <v>0</v>
      </c>
      <c r="H84" s="383" t="n">
        <v>0</v>
      </c>
      <c r="I84" s="384">
        <f>AVERAGE(E84:H84)</f>
        <v/>
      </c>
      <c r="J84" s="383" t="n">
        <v>0</v>
      </c>
      <c r="K84" s="383" t="n">
        <v>0</v>
      </c>
      <c r="L84" s="383" t="n">
        <v>0</v>
      </c>
      <c r="M84" s="383" t="n">
        <v>0</v>
      </c>
      <c r="N84" s="384">
        <f>AVERAGE(J84:M84)</f>
        <v/>
      </c>
      <c r="O84" s="383" t="n">
        <v>0</v>
      </c>
      <c r="P84" s="383" t="n">
        <v>0</v>
      </c>
      <c r="Q84" s="383" t="n">
        <v>0</v>
      </c>
      <c r="R84" s="383" t="n">
        <v>0</v>
      </c>
      <c r="S84" s="384">
        <f>AVERAGE(O84:R84)</f>
        <v/>
      </c>
      <c r="T84" s="383" t="n">
        <v>0</v>
      </c>
      <c r="U84" s="383" t="n">
        <v>0</v>
      </c>
      <c r="V84" s="383" t="n">
        <v>0</v>
      </c>
      <c r="W84" s="383" t="n">
        <v>0</v>
      </c>
      <c r="X84" s="384">
        <f>AVERAGE(T84:W84)</f>
        <v/>
      </c>
      <c r="Y84" s="383" t="n">
        <v>0</v>
      </c>
      <c r="Z84" s="383" t="n">
        <v>0</v>
      </c>
      <c r="AA84" s="383" t="n">
        <v>0</v>
      </c>
      <c r="AB84" s="383" t="n">
        <v>0</v>
      </c>
      <c r="AC84" s="384">
        <f>AVERAGE(Y84:AB84)</f>
        <v/>
      </c>
      <c r="AD84" s="383" t="n">
        <v>0</v>
      </c>
      <c r="AE84" s="383" t="n">
        <v>0</v>
      </c>
      <c r="AF84" s="383" t="n">
        <v>0</v>
      </c>
      <c r="AG84" s="383" t="n">
        <v>0</v>
      </c>
      <c r="AH84" s="384">
        <f>AVERAGE(AD84:AG84)</f>
        <v/>
      </c>
      <c r="AI84" s="383" t="n">
        <v>0</v>
      </c>
      <c r="AJ84" s="383" t="n">
        <v>0</v>
      </c>
      <c r="AK84" s="383" t="n">
        <v>0</v>
      </c>
      <c r="AL84" s="383" t="n">
        <v>0</v>
      </c>
      <c r="AM84" s="384">
        <f>AVERAGE(AI84:AL84)</f>
        <v/>
      </c>
      <c r="AN84" s="383" t="n">
        <v>0</v>
      </c>
      <c r="AO84" s="383" t="n">
        <v>0</v>
      </c>
      <c r="AP84" s="383" t="n">
        <v>0</v>
      </c>
      <c r="AQ84" s="383" t="n">
        <v>0</v>
      </c>
      <c r="AR84" s="384">
        <f>AVERAGE(AN84:AQ84)</f>
        <v/>
      </c>
    </row>
    <row r="85" ht="13.5" customHeight="1" s="290">
      <c r="A85" s="339" t="n"/>
      <c r="B85" s="373" t="inlineStr">
        <is>
          <t xml:space="preserve">  Book Loss GCI Drag — Core</t>
        </is>
      </c>
      <c r="C85" s="374" t="inlineStr">
        <is>
          <t>$K</t>
        </is>
      </c>
      <c r="D85" s="375" t="inlineStr">
        <is>
          <t xml:space="preserve"> −(Attrition × Book Loss Factor × Mature GCI/EPE)</t>
        </is>
      </c>
      <c r="E85" s="376">
        <f>-MAX(0,E78*E83*E84)</f>
        <v/>
      </c>
      <c r="F85" s="376">
        <f>-MAX(0,F78*F83*F84)</f>
        <v/>
      </c>
      <c r="G85" s="376">
        <f>-MAX(0,G78*G83*G84)</f>
        <v/>
      </c>
      <c r="H85" s="376">
        <f>-MAX(0,H78*H83*H84)</f>
        <v/>
      </c>
      <c r="I85" s="344">
        <f>SUM(E85:H85)</f>
        <v/>
      </c>
      <c r="J85" s="376">
        <f>-MAX(0,J78*J83*J84)</f>
        <v/>
      </c>
      <c r="K85" s="376">
        <f>-MAX(0,K78*K83*K84)</f>
        <v/>
      </c>
      <c r="L85" s="376">
        <f>-MAX(0,L78*L83*L84)</f>
        <v/>
      </c>
      <c r="M85" s="376">
        <f>-MAX(0,M78*M83*M84)</f>
        <v/>
      </c>
      <c r="N85" s="344">
        <f>SUM(J85:M85)</f>
        <v/>
      </c>
      <c r="O85" s="376">
        <f>-MAX(0,O78*O83*O84)</f>
        <v/>
      </c>
      <c r="P85" s="376">
        <f>-MAX(0,P78*P83*P84)</f>
        <v/>
      </c>
      <c r="Q85" s="376">
        <f>-MAX(0,Q78*Q83*Q84)</f>
        <v/>
      </c>
      <c r="R85" s="376">
        <f>-MAX(0,R78*R83*R84)</f>
        <v/>
      </c>
      <c r="S85" s="344">
        <f>SUM(O85:R85)</f>
        <v/>
      </c>
      <c r="T85" s="376">
        <f>-MAX(0,T78*T83*T84)</f>
        <v/>
      </c>
      <c r="U85" s="376">
        <f>-MAX(0,U78*U83*U84)</f>
        <v/>
      </c>
      <c r="V85" s="376">
        <f>-MAX(0,V78*V83*V84)</f>
        <v/>
      </c>
      <c r="W85" s="376">
        <f>-MAX(0,W78*W83*W84)</f>
        <v/>
      </c>
      <c r="X85" s="344">
        <f>SUM(T85:W85)</f>
        <v/>
      </c>
      <c r="Y85" s="376">
        <f>-MAX(0,Y78*Y83*Y84)</f>
        <v/>
      </c>
      <c r="Z85" s="376">
        <f>-MAX(0,Z78*Z83*Z84)</f>
        <v/>
      </c>
      <c r="AA85" s="376">
        <f>-MAX(0,AA78*AA83*AA84)</f>
        <v/>
      </c>
      <c r="AB85" s="376">
        <f>-MAX(0,AB78*AB83*AB84)</f>
        <v/>
      </c>
      <c r="AC85" s="344">
        <f>SUM(Y85:AB85)</f>
        <v/>
      </c>
      <c r="AD85" s="376">
        <f>-MAX(0,AD78*AD83*AD84)</f>
        <v/>
      </c>
      <c r="AE85" s="376">
        <f>-MAX(0,AE78*AE83*AE84)</f>
        <v/>
      </c>
      <c r="AF85" s="376">
        <f>-MAX(0,AF78*AF83*AF84)</f>
        <v/>
      </c>
      <c r="AG85" s="376">
        <f>-MAX(0,AG78*AG83*AG84)</f>
        <v/>
      </c>
      <c r="AH85" s="344">
        <f>SUM(AD85:AG85)</f>
        <v/>
      </c>
      <c r="AI85" s="376">
        <f>-MAX(0,AI78*AI83*AI84)</f>
        <v/>
      </c>
      <c r="AJ85" s="376">
        <f>-MAX(0,AJ78*AJ83*AJ84)</f>
        <v/>
      </c>
      <c r="AK85" s="376">
        <f>-MAX(0,AK78*AK83*AK84)</f>
        <v/>
      </c>
      <c r="AL85" s="376">
        <f>-MAX(0,AL78*AL83*AL84)</f>
        <v/>
      </c>
      <c r="AM85" s="344">
        <f>SUM(AI85:AL85)</f>
        <v/>
      </c>
      <c r="AN85" s="376">
        <f>-MAX(0,AN78*AN83*AN84)</f>
        <v/>
      </c>
      <c r="AO85" s="376">
        <f>-MAX(0,AO78*AO83*AO84)</f>
        <v/>
      </c>
      <c r="AP85" s="376">
        <f>-MAX(0,AP78*AP83*AP84)</f>
        <v/>
      </c>
      <c r="AQ85" s="376">
        <f>-MAX(0,AQ78*AQ83*AQ84)</f>
        <v/>
      </c>
      <c r="AR85" s="344">
        <f>SUM(AN85:AQ85)</f>
        <v/>
      </c>
    </row>
    <row r="86" ht="4.5" customHeight="1" s="290"/>
    <row r="87" ht="13.5" customHeight="1" s="290">
      <c r="A87" s="369" t="inlineStr">
        <is>
          <t xml:space="preserve">    ── Junior ──</t>
        </is>
      </c>
    </row>
    <row r="88" ht="13.5" customHeight="1" s="290">
      <c r="A88" s="339" t="n"/>
      <c r="B88" s="370" t="inlineStr">
        <is>
          <t xml:space="preserve">  Beginning HC — Junior</t>
        </is>
      </c>
      <c r="C88" s="371" t="inlineStr">
        <is>
          <t>#</t>
        </is>
      </c>
      <c r="D88" s="372" t="inlineStr">
        <is>
          <t>← '03 Operational Assumptions' row 65</t>
        </is>
      </c>
      <c r="E88" s="361">
        <f>'03 Operational Assumptions'!E65</f>
        <v/>
      </c>
      <c r="F88" s="361">
        <f>E94</f>
        <v/>
      </c>
      <c r="G88" s="361">
        <f>F94</f>
        <v/>
      </c>
      <c r="H88" s="361">
        <f>G94</f>
        <v/>
      </c>
      <c r="I88" s="361">
        <f>AVERAGE(E88:H88)</f>
        <v/>
      </c>
      <c r="J88" s="361">
        <f>H94</f>
        <v/>
      </c>
      <c r="K88" s="361">
        <f>J94</f>
        <v/>
      </c>
      <c r="L88" s="361">
        <f>K94</f>
        <v/>
      </c>
      <c r="M88" s="361">
        <f>L94</f>
        <v/>
      </c>
      <c r="N88" s="361">
        <f>AVERAGE(J88:M88)</f>
        <v/>
      </c>
      <c r="O88" s="361">
        <f>M94</f>
        <v/>
      </c>
      <c r="P88" s="361">
        <f>O94</f>
        <v/>
      </c>
      <c r="Q88" s="361">
        <f>P94</f>
        <v/>
      </c>
      <c r="R88" s="361">
        <f>Q94</f>
        <v/>
      </c>
      <c r="S88" s="361">
        <f>AVERAGE(O88:R88)</f>
        <v/>
      </c>
      <c r="T88" s="361">
        <f>R94</f>
        <v/>
      </c>
      <c r="U88" s="361">
        <f>T94</f>
        <v/>
      </c>
      <c r="V88" s="361">
        <f>U94</f>
        <v/>
      </c>
      <c r="W88" s="361">
        <f>V94</f>
        <v/>
      </c>
      <c r="X88" s="361">
        <f>AVERAGE(T88:W88)</f>
        <v/>
      </c>
      <c r="Y88" s="361">
        <f>W94</f>
        <v/>
      </c>
      <c r="Z88" s="361">
        <f>Y94</f>
        <v/>
      </c>
      <c r="AA88" s="361">
        <f>Z94</f>
        <v/>
      </c>
      <c r="AB88" s="361">
        <f>AA94</f>
        <v/>
      </c>
      <c r="AC88" s="361">
        <f>AVERAGE(Y88:AB88)</f>
        <v/>
      </c>
      <c r="AD88" s="361">
        <f>AB94</f>
        <v/>
      </c>
      <c r="AE88" s="361">
        <f>AD94</f>
        <v/>
      </c>
      <c r="AF88" s="361">
        <f>AE94</f>
        <v/>
      </c>
      <c r="AG88" s="361">
        <f>AF94</f>
        <v/>
      </c>
      <c r="AH88" s="361">
        <f>AVERAGE(AD88:AG88)</f>
        <v/>
      </c>
      <c r="AI88" s="361">
        <f>AG94</f>
        <v/>
      </c>
      <c r="AJ88" s="361">
        <f>AI94</f>
        <v/>
      </c>
      <c r="AK88" s="361">
        <f>AJ94</f>
        <v/>
      </c>
      <c r="AL88" s="361">
        <f>AK94</f>
        <v/>
      </c>
      <c r="AM88" s="361">
        <f>AVERAGE(AI88:AL88)</f>
        <v/>
      </c>
      <c r="AN88" s="361">
        <f>AL94</f>
        <v/>
      </c>
      <c r="AO88" s="361">
        <f>AN94</f>
        <v/>
      </c>
      <c r="AP88" s="361">
        <f>AO94</f>
        <v/>
      </c>
      <c r="AQ88" s="361">
        <f>AP94</f>
        <v/>
      </c>
      <c r="AR88" s="361">
        <f>AVERAGE(AN88:AQ88)</f>
        <v/>
      </c>
    </row>
    <row r="89" ht="13.5" customHeight="1" s="290">
      <c r="A89" s="339" t="n"/>
      <c r="B89" s="370" t="inlineStr">
        <is>
          <t xml:space="preserve">  Gross Hires / Qtr — Junior</t>
        </is>
      </c>
      <c r="C89" s="371" t="inlineStr">
        <is>
          <t>#/qtr</t>
        </is>
      </c>
      <c r="D89" s="372" t="inlineStr">
        <is>
          <t>← '03 Operational Assumptions' row 69 (Active)</t>
        </is>
      </c>
      <c r="E89" s="361">
        <f>'03 Operational Assumptions'!E69</f>
        <v/>
      </c>
      <c r="F89" s="361">
        <f>'03 Operational Assumptions'!F69</f>
        <v/>
      </c>
      <c r="G89" s="361">
        <f>'03 Operational Assumptions'!G69</f>
        <v/>
      </c>
      <c r="H89" s="361">
        <f>'03 Operational Assumptions'!H69</f>
        <v/>
      </c>
      <c r="I89" s="361">
        <f>SUM(E89:H89)</f>
        <v/>
      </c>
      <c r="J89" s="361">
        <f>'03 Operational Assumptions'!J69</f>
        <v/>
      </c>
      <c r="K89" s="361">
        <f>'03 Operational Assumptions'!K69</f>
        <v/>
      </c>
      <c r="L89" s="361">
        <f>'03 Operational Assumptions'!L69</f>
        <v/>
      </c>
      <c r="M89" s="361">
        <f>'03 Operational Assumptions'!M69</f>
        <v/>
      </c>
      <c r="N89" s="361">
        <f>SUM(J89:M89)</f>
        <v/>
      </c>
      <c r="O89" s="361">
        <f>'03 Operational Assumptions'!O69</f>
        <v/>
      </c>
      <c r="P89" s="361">
        <f>'03 Operational Assumptions'!P69</f>
        <v/>
      </c>
      <c r="Q89" s="361">
        <f>'03 Operational Assumptions'!Q69</f>
        <v/>
      </c>
      <c r="R89" s="361">
        <f>'03 Operational Assumptions'!R69</f>
        <v/>
      </c>
      <c r="S89" s="361">
        <f>SUM(O89:R89)</f>
        <v/>
      </c>
      <c r="T89" s="361">
        <f>'03 Operational Assumptions'!T69</f>
        <v/>
      </c>
      <c r="U89" s="361">
        <f>'03 Operational Assumptions'!U69</f>
        <v/>
      </c>
      <c r="V89" s="361">
        <f>'03 Operational Assumptions'!V69</f>
        <v/>
      </c>
      <c r="W89" s="361">
        <f>'03 Operational Assumptions'!W69</f>
        <v/>
      </c>
      <c r="X89" s="361">
        <f>SUM(T89:W89)</f>
        <v/>
      </c>
      <c r="Y89" s="361">
        <f>'03 Operational Assumptions'!Y69</f>
        <v/>
      </c>
      <c r="Z89" s="361">
        <f>'03 Operational Assumptions'!Z69</f>
        <v/>
      </c>
      <c r="AA89" s="361">
        <f>'03 Operational Assumptions'!AA69</f>
        <v/>
      </c>
      <c r="AB89" s="361">
        <f>'03 Operational Assumptions'!AB69</f>
        <v/>
      </c>
      <c r="AC89" s="361">
        <f>SUM(Y89:AB89)</f>
        <v/>
      </c>
      <c r="AD89" s="361">
        <f>'03 Operational Assumptions'!AD69</f>
        <v/>
      </c>
      <c r="AE89" s="361">
        <f>'03 Operational Assumptions'!AE69</f>
        <v/>
      </c>
      <c r="AF89" s="361">
        <f>'03 Operational Assumptions'!AF69</f>
        <v/>
      </c>
      <c r="AG89" s="361">
        <f>'03 Operational Assumptions'!AG69</f>
        <v/>
      </c>
      <c r="AH89" s="361">
        <f>SUM(AD89:AG89)</f>
        <v/>
      </c>
      <c r="AI89" s="361">
        <f>'03 Operational Assumptions'!AI69</f>
        <v/>
      </c>
      <c r="AJ89" s="361">
        <f>'03 Operational Assumptions'!AJ69</f>
        <v/>
      </c>
      <c r="AK89" s="361">
        <f>'03 Operational Assumptions'!AK69</f>
        <v/>
      </c>
      <c r="AL89" s="361">
        <f>'03 Operational Assumptions'!AL69</f>
        <v/>
      </c>
      <c r="AM89" s="361">
        <f>SUM(AI89:AL89)</f>
        <v/>
      </c>
      <c r="AN89" s="361">
        <f>'03 Operational Assumptions'!AN69</f>
        <v/>
      </c>
      <c r="AO89" s="361">
        <f>'03 Operational Assumptions'!AO69</f>
        <v/>
      </c>
      <c r="AP89" s="361">
        <f>'03 Operational Assumptions'!AP69</f>
        <v/>
      </c>
      <c r="AQ89" s="361">
        <f>'03 Operational Assumptions'!AQ69</f>
        <v/>
      </c>
      <c r="AR89" s="361">
        <f>SUM(AN89:AQ89)</f>
        <v/>
      </c>
    </row>
    <row r="90" ht="13.5" customHeight="1" s="290">
      <c r="A90" s="339" t="n"/>
      <c r="B90" s="370" t="inlineStr">
        <is>
          <t xml:space="preserve">  Attrition Rate — Junior</t>
        </is>
      </c>
      <c r="C90" s="371" t="inlineStr">
        <is>
          <t>%/qtr</t>
        </is>
      </c>
      <c r="D90" s="372" t="inlineStr">
        <is>
          <t>← '03 Operational Assumptions' row 73 (Active)</t>
        </is>
      </c>
      <c r="E90" s="361">
        <f>'03 Operational Assumptions'!E73</f>
        <v/>
      </c>
      <c r="F90" s="361">
        <f>'03 Operational Assumptions'!F73</f>
        <v/>
      </c>
      <c r="G90" s="361">
        <f>'03 Operational Assumptions'!G73</f>
        <v/>
      </c>
      <c r="H90" s="361">
        <f>'03 Operational Assumptions'!H73</f>
        <v/>
      </c>
      <c r="I90" s="361">
        <f>AVERAGE(E90:H90)</f>
        <v/>
      </c>
      <c r="J90" s="361">
        <f>'03 Operational Assumptions'!J73</f>
        <v/>
      </c>
      <c r="K90" s="361">
        <f>'03 Operational Assumptions'!K73</f>
        <v/>
      </c>
      <c r="L90" s="361">
        <f>'03 Operational Assumptions'!L73</f>
        <v/>
      </c>
      <c r="M90" s="361">
        <f>'03 Operational Assumptions'!M73</f>
        <v/>
      </c>
      <c r="N90" s="361">
        <f>AVERAGE(J90:M90)</f>
        <v/>
      </c>
      <c r="O90" s="361">
        <f>'03 Operational Assumptions'!O73</f>
        <v/>
      </c>
      <c r="P90" s="361">
        <f>'03 Operational Assumptions'!P73</f>
        <v/>
      </c>
      <c r="Q90" s="361">
        <f>'03 Operational Assumptions'!Q73</f>
        <v/>
      </c>
      <c r="R90" s="361">
        <f>'03 Operational Assumptions'!R73</f>
        <v/>
      </c>
      <c r="S90" s="361">
        <f>AVERAGE(O90:R90)</f>
        <v/>
      </c>
      <c r="T90" s="361">
        <f>'03 Operational Assumptions'!T73</f>
        <v/>
      </c>
      <c r="U90" s="361">
        <f>'03 Operational Assumptions'!U73</f>
        <v/>
      </c>
      <c r="V90" s="361">
        <f>'03 Operational Assumptions'!V73</f>
        <v/>
      </c>
      <c r="W90" s="361">
        <f>'03 Operational Assumptions'!W73</f>
        <v/>
      </c>
      <c r="X90" s="361">
        <f>AVERAGE(T90:W90)</f>
        <v/>
      </c>
      <c r="Y90" s="361">
        <f>'03 Operational Assumptions'!Y73</f>
        <v/>
      </c>
      <c r="Z90" s="361">
        <f>'03 Operational Assumptions'!Z73</f>
        <v/>
      </c>
      <c r="AA90" s="361">
        <f>'03 Operational Assumptions'!AA73</f>
        <v/>
      </c>
      <c r="AB90" s="361">
        <f>'03 Operational Assumptions'!AB73</f>
        <v/>
      </c>
      <c r="AC90" s="361">
        <f>AVERAGE(Y90:AB90)</f>
        <v/>
      </c>
      <c r="AD90" s="361">
        <f>'03 Operational Assumptions'!AD73</f>
        <v/>
      </c>
      <c r="AE90" s="361">
        <f>'03 Operational Assumptions'!AE73</f>
        <v/>
      </c>
      <c r="AF90" s="361">
        <f>'03 Operational Assumptions'!AF73</f>
        <v/>
      </c>
      <c r="AG90" s="361">
        <f>'03 Operational Assumptions'!AG73</f>
        <v/>
      </c>
      <c r="AH90" s="361">
        <f>AVERAGE(AD90:AG90)</f>
        <v/>
      </c>
      <c r="AI90" s="361">
        <f>'03 Operational Assumptions'!AI73</f>
        <v/>
      </c>
      <c r="AJ90" s="361">
        <f>'03 Operational Assumptions'!AJ73</f>
        <v/>
      </c>
      <c r="AK90" s="361">
        <f>'03 Operational Assumptions'!AK73</f>
        <v/>
      </c>
      <c r="AL90" s="361">
        <f>'03 Operational Assumptions'!AL73</f>
        <v/>
      </c>
      <c r="AM90" s="361">
        <f>AVERAGE(AI90:AL90)</f>
        <v/>
      </c>
      <c r="AN90" s="361">
        <f>'03 Operational Assumptions'!AN73</f>
        <v/>
      </c>
      <c r="AO90" s="361">
        <f>'03 Operational Assumptions'!AO73</f>
        <v/>
      </c>
      <c r="AP90" s="361">
        <f>'03 Operational Assumptions'!AP73</f>
        <v/>
      </c>
      <c r="AQ90" s="361">
        <f>'03 Operational Assumptions'!AQ73</f>
        <v/>
      </c>
      <c r="AR90" s="361">
        <f>AVERAGE(AN90:AQ90)</f>
        <v/>
      </c>
    </row>
    <row r="91" ht="13.5" customHeight="1" s="290">
      <c r="A91" s="339" t="n"/>
      <c r="B91" s="373" t="inlineStr">
        <is>
          <t xml:space="preserve">  Attrition Count — Junior</t>
        </is>
      </c>
      <c r="C91" s="374" t="inlineStr">
        <is>
          <t>#/qtr</t>
        </is>
      </c>
      <c r="D91" s="375" t="inlineStr">
        <is>
          <t xml:space="preserve"> attrition rate × Beginning HC</t>
        </is>
      </c>
      <c r="E91" s="376">
        <f>E90*E88</f>
        <v/>
      </c>
      <c r="F91" s="376">
        <f>F90*F88</f>
        <v/>
      </c>
      <c r="G91" s="376">
        <f>G90*G88</f>
        <v/>
      </c>
      <c r="H91" s="376">
        <f>H90*H88</f>
        <v/>
      </c>
      <c r="I91" s="344">
        <f>SUM(E91:H91)</f>
        <v/>
      </c>
      <c r="J91" s="376">
        <f>J90*J88</f>
        <v/>
      </c>
      <c r="K91" s="376">
        <f>K90*K88</f>
        <v/>
      </c>
      <c r="L91" s="376">
        <f>L90*L88</f>
        <v/>
      </c>
      <c r="M91" s="376">
        <f>M90*M88</f>
        <v/>
      </c>
      <c r="N91" s="344">
        <f>SUM(J91:M91)</f>
        <v/>
      </c>
      <c r="O91" s="376">
        <f>O90*O88</f>
        <v/>
      </c>
      <c r="P91" s="376">
        <f>P90*P88</f>
        <v/>
      </c>
      <c r="Q91" s="376">
        <f>Q90*Q88</f>
        <v/>
      </c>
      <c r="R91" s="376">
        <f>R90*R88</f>
        <v/>
      </c>
      <c r="S91" s="344">
        <f>SUM(O91:R91)</f>
        <v/>
      </c>
      <c r="T91" s="376">
        <f>T90*T88</f>
        <v/>
      </c>
      <c r="U91" s="376">
        <f>U90*U88</f>
        <v/>
      </c>
      <c r="V91" s="376">
        <f>V90*V88</f>
        <v/>
      </c>
      <c r="W91" s="376">
        <f>W90*W88</f>
        <v/>
      </c>
      <c r="X91" s="344">
        <f>SUM(T91:W91)</f>
        <v/>
      </c>
      <c r="Y91" s="376">
        <f>Y90*Y88</f>
        <v/>
      </c>
      <c r="Z91" s="376">
        <f>Z90*Z88</f>
        <v/>
      </c>
      <c r="AA91" s="376">
        <f>AA90*AA88</f>
        <v/>
      </c>
      <c r="AB91" s="376">
        <f>AB90*AB88</f>
        <v/>
      </c>
      <c r="AC91" s="344">
        <f>SUM(Y91:AB91)</f>
        <v/>
      </c>
      <c r="AD91" s="376">
        <f>AD90*AD88</f>
        <v/>
      </c>
      <c r="AE91" s="376">
        <f>AE90*AE88</f>
        <v/>
      </c>
      <c r="AF91" s="376">
        <f>AF90*AF88</f>
        <v/>
      </c>
      <c r="AG91" s="376">
        <f>AG90*AG88</f>
        <v/>
      </c>
      <c r="AH91" s="344">
        <f>SUM(AD91:AG91)</f>
        <v/>
      </c>
      <c r="AI91" s="376">
        <f>AI90*AI88</f>
        <v/>
      </c>
      <c r="AJ91" s="376">
        <f>AJ90*AJ88</f>
        <v/>
      </c>
      <c r="AK91" s="376">
        <f>AK90*AK88</f>
        <v/>
      </c>
      <c r="AL91" s="376">
        <f>AL90*AL88</f>
        <v/>
      </c>
      <c r="AM91" s="344">
        <f>SUM(AI91:AL91)</f>
        <v/>
      </c>
      <c r="AN91" s="376">
        <f>AN90*AN88</f>
        <v/>
      </c>
      <c r="AO91" s="376">
        <f>AO90*AO88</f>
        <v/>
      </c>
      <c r="AP91" s="376">
        <f>AP90*AP88</f>
        <v/>
      </c>
      <c r="AQ91" s="376">
        <f>AQ90*AQ88</f>
        <v/>
      </c>
      <c r="AR91" s="344">
        <f>SUM(AN91:AQ91)</f>
        <v/>
      </c>
    </row>
    <row r="92" ht="13.5" customHeight="1" s="290">
      <c r="A92" s="339" t="n"/>
      <c r="B92" s="370" t="inlineStr">
        <is>
          <t xml:space="preserve">  Ramp Factor Yr1 — Junior</t>
        </is>
      </c>
      <c r="C92" s="371" t="inlineStr">
        <is>
          <t>% of mature</t>
        </is>
      </c>
      <c r="D92" s="372" t="inlineStr">
        <is>
          <t>← '03 Operational Assumptions' row 153 col G (Yr1 ramp)</t>
        </is>
      </c>
      <c r="E92" s="361">
        <f>'03 Operational Assumptions'!G153</f>
        <v/>
      </c>
      <c r="F92" s="361">
        <f>'03 Operational Assumptions'!G153</f>
        <v/>
      </c>
      <c r="G92" s="361">
        <f>'03 Operational Assumptions'!G153</f>
        <v/>
      </c>
      <c r="H92" s="361">
        <f>'03 Operational Assumptions'!G153</f>
        <v/>
      </c>
      <c r="I92" s="361">
        <f>AVERAGE(E92:H92)</f>
        <v/>
      </c>
      <c r="J92" s="361">
        <f>'03 Operational Assumptions'!G153</f>
        <v/>
      </c>
      <c r="K92" s="361">
        <f>'03 Operational Assumptions'!G153</f>
        <v/>
      </c>
      <c r="L92" s="361">
        <f>'03 Operational Assumptions'!G153</f>
        <v/>
      </c>
      <c r="M92" s="361">
        <f>'03 Operational Assumptions'!G153</f>
        <v/>
      </c>
      <c r="N92" s="361">
        <f>AVERAGE(J92:M92)</f>
        <v/>
      </c>
      <c r="O92" s="361">
        <f>'03 Operational Assumptions'!G153</f>
        <v/>
      </c>
      <c r="P92" s="361">
        <f>'03 Operational Assumptions'!G153</f>
        <v/>
      </c>
      <c r="Q92" s="361">
        <f>'03 Operational Assumptions'!G153</f>
        <v/>
      </c>
      <c r="R92" s="361">
        <f>'03 Operational Assumptions'!G153</f>
        <v/>
      </c>
      <c r="S92" s="361">
        <f>AVERAGE(O92:R92)</f>
        <v/>
      </c>
      <c r="T92" s="361">
        <f>'03 Operational Assumptions'!G153</f>
        <v/>
      </c>
      <c r="U92" s="361">
        <f>'03 Operational Assumptions'!G153</f>
        <v/>
      </c>
      <c r="V92" s="361">
        <f>'03 Operational Assumptions'!G153</f>
        <v/>
      </c>
      <c r="W92" s="361">
        <f>'03 Operational Assumptions'!G153</f>
        <v/>
      </c>
      <c r="X92" s="361">
        <f>AVERAGE(T92:W92)</f>
        <v/>
      </c>
      <c r="Y92" s="361">
        <f>'03 Operational Assumptions'!G153</f>
        <v/>
      </c>
      <c r="Z92" s="361">
        <f>'03 Operational Assumptions'!G153</f>
        <v/>
      </c>
      <c r="AA92" s="361">
        <f>'03 Operational Assumptions'!G153</f>
        <v/>
      </c>
      <c r="AB92" s="361">
        <f>'03 Operational Assumptions'!G153</f>
        <v/>
      </c>
      <c r="AC92" s="361">
        <f>AVERAGE(Y92:AB92)</f>
        <v/>
      </c>
      <c r="AD92" s="361">
        <f>'03 Operational Assumptions'!G153</f>
        <v/>
      </c>
      <c r="AE92" s="361">
        <f>'03 Operational Assumptions'!G153</f>
        <v/>
      </c>
      <c r="AF92" s="361">
        <f>'03 Operational Assumptions'!G153</f>
        <v/>
      </c>
      <c r="AG92" s="361">
        <f>'03 Operational Assumptions'!G153</f>
        <v/>
      </c>
      <c r="AH92" s="361">
        <f>AVERAGE(AD92:AG92)</f>
        <v/>
      </c>
      <c r="AI92" s="361">
        <f>'03 Operational Assumptions'!G153</f>
        <v/>
      </c>
      <c r="AJ92" s="361">
        <f>'03 Operational Assumptions'!G153</f>
        <v/>
      </c>
      <c r="AK92" s="361">
        <f>'03 Operational Assumptions'!G153</f>
        <v/>
      </c>
      <c r="AL92" s="361">
        <f>'03 Operational Assumptions'!G153</f>
        <v/>
      </c>
      <c r="AM92" s="361">
        <f>AVERAGE(AI92:AL92)</f>
        <v/>
      </c>
      <c r="AN92" s="361">
        <f>'03 Operational Assumptions'!G153</f>
        <v/>
      </c>
      <c r="AO92" s="361">
        <f>'03 Operational Assumptions'!G153</f>
        <v/>
      </c>
      <c r="AP92" s="361">
        <f>'03 Operational Assumptions'!G153</f>
        <v/>
      </c>
      <c r="AQ92" s="361">
        <f>'03 Operational Assumptions'!G153</f>
        <v/>
      </c>
      <c r="AR92" s="361">
        <f>AVERAGE(AN92:AQ92)</f>
        <v/>
      </c>
    </row>
    <row r="93" ht="13.5" customHeight="1" s="290">
      <c r="A93" s="339" t="n"/>
      <c r="B93" s="377" t="inlineStr">
        <is>
          <t xml:space="preserve">  ★ EPE — Junior</t>
        </is>
      </c>
      <c r="C93" s="378" t="inlineStr">
        <is>
          <t>EPE</t>
        </is>
      </c>
      <c r="D93" s="375" t="inlineStr">
        <is>
          <t xml:space="preserve"> MAX(0, beg hc + (hires × Ramp) − Attrition)))</t>
        </is>
      </c>
      <c r="E93" s="379">
        <f>MAX(0,E88+(E89*E92)-E91)</f>
        <v/>
      </c>
      <c r="F93" s="379">
        <f>MAX(0,F88+(F89*F92)-F91)</f>
        <v/>
      </c>
      <c r="G93" s="379">
        <f>MAX(0,G88+(G89*G92)-G91)</f>
        <v/>
      </c>
      <c r="H93" s="379">
        <f>MAX(0,H88+(H89*H92)-H91)</f>
        <v/>
      </c>
      <c r="I93" s="379">
        <f>AVERAGE(E93:H93)</f>
        <v/>
      </c>
      <c r="J93" s="379">
        <f>MAX(0,J88+(J89*J92)-J91)</f>
        <v/>
      </c>
      <c r="K93" s="379">
        <f>MAX(0,K88+(K89*K92)-K91)</f>
        <v/>
      </c>
      <c r="L93" s="379">
        <f>MAX(0,L88+(L89*L92)-L91)</f>
        <v/>
      </c>
      <c r="M93" s="379">
        <f>MAX(0,M88+(M89*M92)-M91)</f>
        <v/>
      </c>
      <c r="N93" s="379">
        <f>AVERAGE(J93:M93)</f>
        <v/>
      </c>
      <c r="O93" s="379">
        <f>MAX(0,O88+(O89*O92)-O91)</f>
        <v/>
      </c>
      <c r="P93" s="379">
        <f>MAX(0,P88+(P89*P92)-P91)</f>
        <v/>
      </c>
      <c r="Q93" s="379">
        <f>MAX(0,Q88+(Q89*Q92)-Q91)</f>
        <v/>
      </c>
      <c r="R93" s="379">
        <f>MAX(0,R88+(R89*R92)-R91)</f>
        <v/>
      </c>
      <c r="S93" s="379">
        <f>AVERAGE(O93:R93)</f>
        <v/>
      </c>
      <c r="T93" s="379">
        <f>MAX(0,T88+(T89*T92)-T91)</f>
        <v/>
      </c>
      <c r="U93" s="379">
        <f>MAX(0,U88+(U89*U92)-U91)</f>
        <v/>
      </c>
      <c r="V93" s="379">
        <f>MAX(0,V88+(V89*V92)-V91)</f>
        <v/>
      </c>
      <c r="W93" s="379">
        <f>MAX(0,W88+(W89*W92)-W91)</f>
        <v/>
      </c>
      <c r="X93" s="379">
        <f>AVERAGE(T93:W93)</f>
        <v/>
      </c>
      <c r="Y93" s="379">
        <f>MAX(0,Y88+(Y89*Y92)-Y91)</f>
        <v/>
      </c>
      <c r="Z93" s="379">
        <f>MAX(0,Z88+(Z89*Z92)-Z91)</f>
        <v/>
      </c>
      <c r="AA93" s="379">
        <f>MAX(0,AA88+(AA89*AA92)-AA91)</f>
        <v/>
      </c>
      <c r="AB93" s="379">
        <f>MAX(0,AB88+(AB89*AB92)-AB91)</f>
        <v/>
      </c>
      <c r="AC93" s="379">
        <f>AVERAGE(Y93:AB93)</f>
        <v/>
      </c>
      <c r="AD93" s="379">
        <f>MAX(0,AD88+(AD89*AD92)-AD91)</f>
        <v/>
      </c>
      <c r="AE93" s="379">
        <f>MAX(0,AE88+(AE89*AE92)-AE91)</f>
        <v/>
      </c>
      <c r="AF93" s="379">
        <f>MAX(0,AF88+(AF89*AF92)-AF91)</f>
        <v/>
      </c>
      <c r="AG93" s="379">
        <f>MAX(0,AG88+(AG89*AG92)-AG91)</f>
        <v/>
      </c>
      <c r="AH93" s="379">
        <f>AVERAGE(AD93:AG93)</f>
        <v/>
      </c>
      <c r="AI93" s="379">
        <f>MAX(0,AI88+(AI89*AI92)-AI91)</f>
        <v/>
      </c>
      <c r="AJ93" s="379">
        <f>MAX(0,AJ88+(AJ89*AJ92)-AJ91)</f>
        <v/>
      </c>
      <c r="AK93" s="379">
        <f>MAX(0,AK88+(AK89*AK92)-AK91)</f>
        <v/>
      </c>
      <c r="AL93" s="379">
        <f>MAX(0,AL88+(AL89*AL92)-AL91)</f>
        <v/>
      </c>
      <c r="AM93" s="379">
        <f>AVERAGE(AI93:AL93)</f>
        <v/>
      </c>
      <c r="AN93" s="379">
        <f>MAX(0,AN88+(AN89*AN92)-AN91)</f>
        <v/>
      </c>
      <c r="AO93" s="379">
        <f>MAX(0,AO88+(AO89*AO92)-AO91)</f>
        <v/>
      </c>
      <c r="AP93" s="379">
        <f>MAX(0,AP88+(AP89*AP92)-AP91)</f>
        <v/>
      </c>
      <c r="AQ93" s="379">
        <f>MAX(0,AQ88+(AQ89*AQ92)-AQ91)</f>
        <v/>
      </c>
      <c r="AR93" s="379">
        <f>AVERAGE(AN93:AQ93)</f>
        <v/>
      </c>
    </row>
    <row r="94" ht="13.5" customHeight="1" s="290">
      <c r="A94" s="339" t="n"/>
      <c r="B94" s="373" t="inlineStr">
        <is>
          <t xml:space="preserve">  Ending HC — Junior</t>
        </is>
      </c>
      <c r="C94" s="374" t="inlineStr">
        <is>
          <t>#</t>
        </is>
      </c>
      <c r="D94" s="375" t="inlineStr">
        <is>
          <t xml:space="preserve"> MAX(0, beg hc + hires − Attrition Count))</t>
        </is>
      </c>
      <c r="E94" s="376">
        <f>MAX(0,E88+E89-E91)</f>
        <v/>
      </c>
      <c r="F94" s="376">
        <f>MAX(0,F88+F89-F91)</f>
        <v/>
      </c>
      <c r="G94" s="376">
        <f>MAX(0,G88+G89-G91)</f>
        <v/>
      </c>
      <c r="H94" s="376">
        <f>MAX(0,H88+H89-H91)</f>
        <v/>
      </c>
      <c r="I94" s="344">
        <f>AVERAGE(E94:H94)</f>
        <v/>
      </c>
      <c r="J94" s="376">
        <f>MAX(0,J88+J89-J91)</f>
        <v/>
      </c>
      <c r="K94" s="376">
        <f>MAX(0,K88+K89-K91)</f>
        <v/>
      </c>
      <c r="L94" s="376">
        <f>MAX(0,L88+L89-L91)</f>
        <v/>
      </c>
      <c r="M94" s="376">
        <f>MAX(0,M88+M89-M91)</f>
        <v/>
      </c>
      <c r="N94" s="344">
        <f>AVERAGE(J94:M94)</f>
        <v/>
      </c>
      <c r="O94" s="376">
        <f>MAX(0,O88+O89-O91)</f>
        <v/>
      </c>
      <c r="P94" s="376">
        <f>MAX(0,P88+P89-P91)</f>
        <v/>
      </c>
      <c r="Q94" s="376">
        <f>MAX(0,Q88+Q89-Q91)</f>
        <v/>
      </c>
      <c r="R94" s="376">
        <f>MAX(0,R88+R89-R91)</f>
        <v/>
      </c>
      <c r="S94" s="344">
        <f>AVERAGE(O94:R94)</f>
        <v/>
      </c>
      <c r="T94" s="376">
        <f>MAX(0,T88+T89-T91)</f>
        <v/>
      </c>
      <c r="U94" s="376">
        <f>MAX(0,U88+U89-U91)</f>
        <v/>
      </c>
      <c r="V94" s="376">
        <f>MAX(0,V88+V89-V91)</f>
        <v/>
      </c>
      <c r="W94" s="376">
        <f>MAX(0,W88+W89-W91)</f>
        <v/>
      </c>
      <c r="X94" s="344">
        <f>AVERAGE(T94:W94)</f>
        <v/>
      </c>
      <c r="Y94" s="376">
        <f>MAX(0,Y88+Y89-Y91)</f>
        <v/>
      </c>
      <c r="Z94" s="376">
        <f>MAX(0,Z88+Z89-Z91)</f>
        <v/>
      </c>
      <c r="AA94" s="376">
        <f>MAX(0,AA88+AA89-AA91)</f>
        <v/>
      </c>
      <c r="AB94" s="376">
        <f>MAX(0,AB88+AB89-AB91)</f>
        <v/>
      </c>
      <c r="AC94" s="344">
        <f>AVERAGE(Y94:AB94)</f>
        <v/>
      </c>
      <c r="AD94" s="376">
        <f>MAX(0,AD88+AD89-AD91)</f>
        <v/>
      </c>
      <c r="AE94" s="376">
        <f>MAX(0,AE88+AE89-AE91)</f>
        <v/>
      </c>
      <c r="AF94" s="376">
        <f>MAX(0,AF88+AF89-AF91)</f>
        <v/>
      </c>
      <c r="AG94" s="376">
        <f>MAX(0,AG88+AG89-AG91)</f>
        <v/>
      </c>
      <c r="AH94" s="344">
        <f>AVERAGE(AD94:AG94)</f>
        <v/>
      </c>
      <c r="AI94" s="376">
        <f>MAX(0,AI88+AI89-AI91)</f>
        <v/>
      </c>
      <c r="AJ94" s="376">
        <f>MAX(0,AJ88+AJ89-AJ91)</f>
        <v/>
      </c>
      <c r="AK94" s="376">
        <f>MAX(0,AK88+AK89-AK91)</f>
        <v/>
      </c>
      <c r="AL94" s="376">
        <f>MAX(0,AL88+AL89-AL91)</f>
        <v/>
      </c>
      <c r="AM94" s="344">
        <f>AVERAGE(AI94:AL94)</f>
        <v/>
      </c>
      <c r="AN94" s="376">
        <f>MAX(0,AN88+AN89-AN91)</f>
        <v/>
      </c>
      <c r="AO94" s="376">
        <f>MAX(0,AO88+AO89-AO91)</f>
        <v/>
      </c>
      <c r="AP94" s="376">
        <f>MAX(0,AP88+AP89-AP91)</f>
        <v/>
      </c>
      <c r="AQ94" s="376">
        <f>MAX(0,AQ88+AQ89-AQ91)</f>
        <v/>
      </c>
      <c r="AR94" s="344">
        <f>AVERAGE(AN94:AQ94)</f>
        <v/>
      </c>
    </row>
    <row r="95" ht="13.5" customHeight="1" s="290">
      <c r="A95" s="339" t="n"/>
      <c r="B95" s="373" t="inlineStr">
        <is>
          <t xml:space="preserve">  Ramp Drag — Junior</t>
        </is>
      </c>
      <c r="C95" s="374" t="inlineStr">
        <is>
          <t>#</t>
        </is>
      </c>
      <c r="D95" s="375" t="inlineStr">
        <is>
          <t xml:space="preserve"> ending hc − EPE  (un-ramped producer count)</t>
        </is>
      </c>
      <c r="E95" s="376">
        <f>MAX(0,E94-E93)</f>
        <v/>
      </c>
      <c r="F95" s="376">
        <f>MAX(0,F94-F93)</f>
        <v/>
      </c>
      <c r="G95" s="376">
        <f>MAX(0,G94-G93)</f>
        <v/>
      </c>
      <c r="H95" s="376">
        <f>MAX(0,H94-H93)</f>
        <v/>
      </c>
      <c r="I95" s="344">
        <f>SUM(E95:H95)</f>
        <v/>
      </c>
      <c r="J95" s="376">
        <f>MAX(0,J94-J93)</f>
        <v/>
      </c>
      <c r="K95" s="376">
        <f>MAX(0,K94-K93)</f>
        <v/>
      </c>
      <c r="L95" s="376">
        <f>MAX(0,L94-L93)</f>
        <v/>
      </c>
      <c r="M95" s="376">
        <f>MAX(0,M94-M93)</f>
        <v/>
      </c>
      <c r="N95" s="344">
        <f>SUM(J95:M95)</f>
        <v/>
      </c>
      <c r="O95" s="376">
        <f>MAX(0,O94-O93)</f>
        <v/>
      </c>
      <c r="P95" s="376">
        <f>MAX(0,P94-P93)</f>
        <v/>
      </c>
      <c r="Q95" s="376">
        <f>MAX(0,Q94-Q93)</f>
        <v/>
      </c>
      <c r="R95" s="376">
        <f>MAX(0,R94-R93)</f>
        <v/>
      </c>
      <c r="S95" s="344">
        <f>SUM(O95:R95)</f>
        <v/>
      </c>
      <c r="T95" s="376">
        <f>MAX(0,T94-T93)</f>
        <v/>
      </c>
      <c r="U95" s="376">
        <f>MAX(0,U94-U93)</f>
        <v/>
      </c>
      <c r="V95" s="376">
        <f>MAX(0,V94-V93)</f>
        <v/>
      </c>
      <c r="W95" s="376">
        <f>MAX(0,W94-W93)</f>
        <v/>
      </c>
      <c r="X95" s="344">
        <f>SUM(T95:W95)</f>
        <v/>
      </c>
      <c r="Y95" s="376">
        <f>MAX(0,Y94-Y93)</f>
        <v/>
      </c>
      <c r="Z95" s="376">
        <f>MAX(0,Z94-Z93)</f>
        <v/>
      </c>
      <c r="AA95" s="376">
        <f>MAX(0,AA94-AA93)</f>
        <v/>
      </c>
      <c r="AB95" s="376">
        <f>MAX(0,AB94-AB93)</f>
        <v/>
      </c>
      <c r="AC95" s="344">
        <f>SUM(Y95:AB95)</f>
        <v/>
      </c>
      <c r="AD95" s="376">
        <f>MAX(0,AD94-AD93)</f>
        <v/>
      </c>
      <c r="AE95" s="376">
        <f>MAX(0,AE94-AE93)</f>
        <v/>
      </c>
      <c r="AF95" s="376">
        <f>MAX(0,AF94-AF93)</f>
        <v/>
      </c>
      <c r="AG95" s="376">
        <f>MAX(0,AG94-AG93)</f>
        <v/>
      </c>
      <c r="AH95" s="344">
        <f>SUM(AD95:AG95)</f>
        <v/>
      </c>
      <c r="AI95" s="376">
        <f>MAX(0,AI94-AI93)</f>
        <v/>
      </c>
      <c r="AJ95" s="376">
        <f>MAX(0,AJ94-AJ93)</f>
        <v/>
      </c>
      <c r="AK95" s="376">
        <f>MAX(0,AK94-AK93)</f>
        <v/>
      </c>
      <c r="AL95" s="376">
        <f>MAX(0,AL94-AL93)</f>
        <v/>
      </c>
      <c r="AM95" s="344">
        <f>SUM(AI95:AL95)</f>
        <v/>
      </c>
      <c r="AN95" s="376">
        <f>MAX(0,AN94-AN93)</f>
        <v/>
      </c>
      <c r="AO95" s="376">
        <f>MAX(0,AO94-AO93)</f>
        <v/>
      </c>
      <c r="AP95" s="376">
        <f>MAX(0,AP94-AP93)</f>
        <v/>
      </c>
      <c r="AQ95" s="376">
        <f>MAX(0,AQ94-AQ93)</f>
        <v/>
      </c>
      <c r="AR95" s="344">
        <f>SUM(AN95:AQ95)</f>
        <v/>
      </c>
    </row>
    <row r="96" ht="13.5" customHeight="1" s="290">
      <c r="A96" s="339" t="n"/>
      <c r="B96" s="370" t="inlineStr">
        <is>
          <t xml:space="preserve">  Book Loss Factor — Junior</t>
        </is>
      </c>
      <c r="C96" s="371" t="inlineStr">
        <is>
          <t>%</t>
        </is>
      </c>
      <c r="D96" s="372" t="inlineStr">
        <is>
          <t>← '03 Operational Assumptions' row 163 col G</t>
        </is>
      </c>
      <c r="E96" s="361">
        <f>'03 Operational Assumptions'!G163</f>
        <v/>
      </c>
      <c r="F96" s="361">
        <f>'03 Operational Assumptions'!G163</f>
        <v/>
      </c>
      <c r="G96" s="361">
        <f>'03 Operational Assumptions'!G163</f>
        <v/>
      </c>
      <c r="H96" s="361">
        <f>'03 Operational Assumptions'!G163</f>
        <v/>
      </c>
      <c r="I96" s="361">
        <f>AVERAGE(E96:H96)</f>
        <v/>
      </c>
      <c r="J96" s="361">
        <f>'03 Operational Assumptions'!G163</f>
        <v/>
      </c>
      <c r="K96" s="361">
        <f>'03 Operational Assumptions'!G163</f>
        <v/>
      </c>
      <c r="L96" s="361">
        <f>'03 Operational Assumptions'!G163</f>
        <v/>
      </c>
      <c r="M96" s="361">
        <f>'03 Operational Assumptions'!G163</f>
        <v/>
      </c>
      <c r="N96" s="361">
        <f>AVERAGE(J96:M96)</f>
        <v/>
      </c>
      <c r="O96" s="361">
        <f>'03 Operational Assumptions'!G163</f>
        <v/>
      </c>
      <c r="P96" s="361">
        <f>'03 Operational Assumptions'!G163</f>
        <v/>
      </c>
      <c r="Q96" s="361">
        <f>'03 Operational Assumptions'!G163</f>
        <v/>
      </c>
      <c r="R96" s="361">
        <f>'03 Operational Assumptions'!G163</f>
        <v/>
      </c>
      <c r="S96" s="361">
        <f>AVERAGE(O96:R96)</f>
        <v/>
      </c>
      <c r="T96" s="361">
        <f>'03 Operational Assumptions'!G163</f>
        <v/>
      </c>
      <c r="U96" s="361">
        <f>'03 Operational Assumptions'!G163</f>
        <v/>
      </c>
      <c r="V96" s="361">
        <f>'03 Operational Assumptions'!G163</f>
        <v/>
      </c>
      <c r="W96" s="361">
        <f>'03 Operational Assumptions'!G163</f>
        <v/>
      </c>
      <c r="X96" s="361">
        <f>AVERAGE(T96:W96)</f>
        <v/>
      </c>
      <c r="Y96" s="361">
        <f>'03 Operational Assumptions'!G163</f>
        <v/>
      </c>
      <c r="Z96" s="361">
        <f>'03 Operational Assumptions'!G163</f>
        <v/>
      </c>
      <c r="AA96" s="361">
        <f>'03 Operational Assumptions'!G163</f>
        <v/>
      </c>
      <c r="AB96" s="361">
        <f>'03 Operational Assumptions'!G163</f>
        <v/>
      </c>
      <c r="AC96" s="361">
        <f>AVERAGE(Y96:AB96)</f>
        <v/>
      </c>
      <c r="AD96" s="361">
        <f>'03 Operational Assumptions'!G163</f>
        <v/>
      </c>
      <c r="AE96" s="361">
        <f>'03 Operational Assumptions'!G163</f>
        <v/>
      </c>
      <c r="AF96" s="361">
        <f>'03 Operational Assumptions'!G163</f>
        <v/>
      </c>
      <c r="AG96" s="361">
        <f>'03 Operational Assumptions'!G163</f>
        <v/>
      </c>
      <c r="AH96" s="361">
        <f>AVERAGE(AD96:AG96)</f>
        <v/>
      </c>
      <c r="AI96" s="361">
        <f>'03 Operational Assumptions'!G163</f>
        <v/>
      </c>
      <c r="AJ96" s="361">
        <f>'03 Operational Assumptions'!G163</f>
        <v/>
      </c>
      <c r="AK96" s="361">
        <f>'03 Operational Assumptions'!G163</f>
        <v/>
      </c>
      <c r="AL96" s="361">
        <f>'03 Operational Assumptions'!G163</f>
        <v/>
      </c>
      <c r="AM96" s="361">
        <f>AVERAGE(AI96:AL96)</f>
        <v/>
      </c>
      <c r="AN96" s="361">
        <f>'03 Operational Assumptions'!G163</f>
        <v/>
      </c>
      <c r="AO96" s="361">
        <f>'03 Operational Assumptions'!G163</f>
        <v/>
      </c>
      <c r="AP96" s="361">
        <f>'03 Operational Assumptions'!G163</f>
        <v/>
      </c>
      <c r="AQ96" s="361">
        <f>'03 Operational Assumptions'!G163</f>
        <v/>
      </c>
      <c r="AR96" s="361">
        <f>AVERAGE(AN96:AQ96)</f>
        <v/>
      </c>
    </row>
    <row r="97" ht="13.5" customHeight="1" s="290">
      <c r="B97" s="380" t="inlineStr">
        <is>
          <t xml:space="preserve">  Mature GCI / EPE — Junior  [Placeholder]</t>
        </is>
      </c>
      <c r="C97" s="381" t="inlineStr">
        <is>
          <t>$K/EPE</t>
        </is>
      </c>
      <c r="D97" s="382" t="inlineStr">
        <is>
          <t>V1 MANUAL INPUT: Enter annualized GCI/EPE ($K) for this tier after Tab 05 is run. Book-loss drag = 0 until populated. No circular reference risk — this is a one-way input.</t>
        </is>
      </c>
      <c r="E97" s="383" t="n">
        <v>0</v>
      </c>
      <c r="F97" s="383" t="n">
        <v>0</v>
      </c>
      <c r="G97" s="383" t="n">
        <v>0</v>
      </c>
      <c r="H97" s="383" t="n">
        <v>0</v>
      </c>
      <c r="I97" s="384">
        <f>AVERAGE(E97:H97)</f>
        <v/>
      </c>
      <c r="J97" s="383" t="n">
        <v>0</v>
      </c>
      <c r="K97" s="383" t="n">
        <v>0</v>
      </c>
      <c r="L97" s="383" t="n">
        <v>0</v>
      </c>
      <c r="M97" s="383" t="n">
        <v>0</v>
      </c>
      <c r="N97" s="384">
        <f>AVERAGE(J97:M97)</f>
        <v/>
      </c>
      <c r="O97" s="383" t="n">
        <v>0</v>
      </c>
      <c r="P97" s="383" t="n">
        <v>0</v>
      </c>
      <c r="Q97" s="383" t="n">
        <v>0</v>
      </c>
      <c r="R97" s="383" t="n">
        <v>0</v>
      </c>
      <c r="S97" s="384">
        <f>AVERAGE(O97:R97)</f>
        <v/>
      </c>
      <c r="T97" s="383" t="n">
        <v>0</v>
      </c>
      <c r="U97" s="383" t="n">
        <v>0</v>
      </c>
      <c r="V97" s="383" t="n">
        <v>0</v>
      </c>
      <c r="W97" s="383" t="n">
        <v>0</v>
      </c>
      <c r="X97" s="384">
        <f>AVERAGE(T97:W97)</f>
        <v/>
      </c>
      <c r="Y97" s="383" t="n">
        <v>0</v>
      </c>
      <c r="Z97" s="383" t="n">
        <v>0</v>
      </c>
      <c r="AA97" s="383" t="n">
        <v>0</v>
      </c>
      <c r="AB97" s="383" t="n">
        <v>0</v>
      </c>
      <c r="AC97" s="384">
        <f>AVERAGE(Y97:AB97)</f>
        <v/>
      </c>
      <c r="AD97" s="383" t="n">
        <v>0</v>
      </c>
      <c r="AE97" s="383" t="n">
        <v>0</v>
      </c>
      <c r="AF97" s="383" t="n">
        <v>0</v>
      </c>
      <c r="AG97" s="383" t="n">
        <v>0</v>
      </c>
      <c r="AH97" s="384">
        <f>AVERAGE(AD97:AG97)</f>
        <v/>
      </c>
      <c r="AI97" s="383" t="n">
        <v>0</v>
      </c>
      <c r="AJ97" s="383" t="n">
        <v>0</v>
      </c>
      <c r="AK97" s="383" t="n">
        <v>0</v>
      </c>
      <c r="AL97" s="383" t="n">
        <v>0</v>
      </c>
      <c r="AM97" s="384">
        <f>AVERAGE(AI97:AL97)</f>
        <v/>
      </c>
      <c r="AN97" s="383" t="n">
        <v>0</v>
      </c>
      <c r="AO97" s="383" t="n">
        <v>0</v>
      </c>
      <c r="AP97" s="383" t="n">
        <v>0</v>
      </c>
      <c r="AQ97" s="383" t="n">
        <v>0</v>
      </c>
      <c r="AR97" s="384">
        <f>AVERAGE(AN97:AQ97)</f>
        <v/>
      </c>
    </row>
    <row r="98" ht="13.5" customHeight="1" s="290">
      <c r="A98" s="339" t="n"/>
      <c r="B98" s="373" t="inlineStr">
        <is>
          <t xml:space="preserve">  Book Loss GCI Drag — Junior</t>
        </is>
      </c>
      <c r="C98" s="374" t="inlineStr">
        <is>
          <t>$K</t>
        </is>
      </c>
      <c r="D98" s="375" t="inlineStr">
        <is>
          <t xml:space="preserve"> −(Attrition × Book Loss Factor × Mature GCI/EPE)</t>
        </is>
      </c>
      <c r="E98" s="376">
        <f>-MAX(0,E91*E96*E97)</f>
        <v/>
      </c>
      <c r="F98" s="376">
        <f>-MAX(0,F91*F96*F97)</f>
        <v/>
      </c>
      <c r="G98" s="376">
        <f>-MAX(0,G91*G96*G97)</f>
        <v/>
      </c>
      <c r="H98" s="376">
        <f>-MAX(0,H91*H96*H97)</f>
        <v/>
      </c>
      <c r="I98" s="344">
        <f>SUM(E98:H98)</f>
        <v/>
      </c>
      <c r="J98" s="376">
        <f>-MAX(0,J91*J96*J97)</f>
        <v/>
      </c>
      <c r="K98" s="376">
        <f>-MAX(0,K91*K96*K97)</f>
        <v/>
      </c>
      <c r="L98" s="376">
        <f>-MAX(0,L91*L96*L97)</f>
        <v/>
      </c>
      <c r="M98" s="376">
        <f>-MAX(0,M91*M96*M97)</f>
        <v/>
      </c>
      <c r="N98" s="344">
        <f>SUM(J98:M98)</f>
        <v/>
      </c>
      <c r="O98" s="376">
        <f>-MAX(0,O91*O96*O97)</f>
        <v/>
      </c>
      <c r="P98" s="376">
        <f>-MAX(0,P91*P96*P97)</f>
        <v/>
      </c>
      <c r="Q98" s="376">
        <f>-MAX(0,Q91*Q96*Q97)</f>
        <v/>
      </c>
      <c r="R98" s="376">
        <f>-MAX(0,R91*R96*R97)</f>
        <v/>
      </c>
      <c r="S98" s="344">
        <f>SUM(O98:R98)</f>
        <v/>
      </c>
      <c r="T98" s="376">
        <f>-MAX(0,T91*T96*T97)</f>
        <v/>
      </c>
      <c r="U98" s="376">
        <f>-MAX(0,U91*U96*U97)</f>
        <v/>
      </c>
      <c r="V98" s="376">
        <f>-MAX(0,V91*V96*V97)</f>
        <v/>
      </c>
      <c r="W98" s="376">
        <f>-MAX(0,W91*W96*W97)</f>
        <v/>
      </c>
      <c r="X98" s="344">
        <f>SUM(T98:W98)</f>
        <v/>
      </c>
      <c r="Y98" s="376">
        <f>-MAX(0,Y91*Y96*Y97)</f>
        <v/>
      </c>
      <c r="Z98" s="376">
        <f>-MAX(0,Z91*Z96*Z97)</f>
        <v/>
      </c>
      <c r="AA98" s="376">
        <f>-MAX(0,AA91*AA96*AA97)</f>
        <v/>
      </c>
      <c r="AB98" s="376">
        <f>-MAX(0,AB91*AB96*AB97)</f>
        <v/>
      </c>
      <c r="AC98" s="344">
        <f>SUM(Y98:AB98)</f>
        <v/>
      </c>
      <c r="AD98" s="376">
        <f>-MAX(0,AD91*AD96*AD97)</f>
        <v/>
      </c>
      <c r="AE98" s="376">
        <f>-MAX(0,AE91*AE96*AE97)</f>
        <v/>
      </c>
      <c r="AF98" s="376">
        <f>-MAX(0,AF91*AF96*AF97)</f>
        <v/>
      </c>
      <c r="AG98" s="376">
        <f>-MAX(0,AG91*AG96*AG97)</f>
        <v/>
      </c>
      <c r="AH98" s="344">
        <f>SUM(AD98:AG98)</f>
        <v/>
      </c>
      <c r="AI98" s="376">
        <f>-MAX(0,AI91*AI96*AI97)</f>
        <v/>
      </c>
      <c r="AJ98" s="376">
        <f>-MAX(0,AJ91*AJ96*AJ97)</f>
        <v/>
      </c>
      <c r="AK98" s="376">
        <f>-MAX(0,AK91*AK96*AK97)</f>
        <v/>
      </c>
      <c r="AL98" s="376">
        <f>-MAX(0,AL91*AL96*AL97)</f>
        <v/>
      </c>
      <c r="AM98" s="344">
        <f>SUM(AI98:AL98)</f>
        <v/>
      </c>
      <c r="AN98" s="376">
        <f>-MAX(0,AN91*AN96*AN97)</f>
        <v/>
      </c>
      <c r="AO98" s="376">
        <f>-MAX(0,AO91*AO96*AO97)</f>
        <v/>
      </c>
      <c r="AP98" s="376">
        <f>-MAX(0,AP91*AP96*AP97)</f>
        <v/>
      </c>
      <c r="AQ98" s="376">
        <f>-MAX(0,AQ91*AQ96*AQ97)</f>
        <v/>
      </c>
      <c r="AR98" s="344">
        <f>SUM(AN98:AQ98)</f>
        <v/>
      </c>
    </row>
    <row r="99" ht="4.5" customHeight="1" s="290"/>
    <row r="100" ht="3" customHeight="1" s="290"/>
    <row r="101" ht="15" customHeight="1" s="290">
      <c r="A101" s="307" t="inlineStr">
        <is>
          <t xml:space="preserve">    Investment Sales — LINE TOTALS</t>
        </is>
      </c>
    </row>
    <row r="102" ht="13.5" customHeight="1" s="290">
      <c r="A102" s="339" t="n"/>
      <c r="B102" s="385" t="inlineStr">
        <is>
          <t xml:space="preserve">  Total EPE — Investment Sales</t>
        </is>
      </c>
      <c r="C102" s="386" t="inlineStr">
        <is>
          <t>EPE</t>
        </is>
      </c>
      <c r="D102" s="375" t="inlineStr">
        <is>
          <t xml:space="preserve"> sum of epe across all tiers</t>
        </is>
      </c>
      <c r="E102" s="387">
        <f>SUM(E67,E80,E93)</f>
        <v/>
      </c>
      <c r="F102" s="387">
        <f>SUM(F67,F80,F93)</f>
        <v/>
      </c>
      <c r="G102" s="387">
        <f>SUM(G67,G80,G93)</f>
        <v/>
      </c>
      <c r="H102" s="387">
        <f>SUM(H67,H80,H93)</f>
        <v/>
      </c>
      <c r="I102" s="387">
        <f>AVERAGE(E102:H102)</f>
        <v/>
      </c>
      <c r="J102" s="387">
        <f>SUM(J67,J80,J93)</f>
        <v/>
      </c>
      <c r="K102" s="387">
        <f>SUM(K67,K80,K93)</f>
        <v/>
      </c>
      <c r="L102" s="387">
        <f>SUM(L67,L80,L93)</f>
        <v/>
      </c>
      <c r="M102" s="387">
        <f>SUM(M67,M80,M93)</f>
        <v/>
      </c>
      <c r="N102" s="387">
        <f>AVERAGE(J102:M102)</f>
        <v/>
      </c>
      <c r="O102" s="387">
        <f>SUM(O67,O80,O93)</f>
        <v/>
      </c>
      <c r="P102" s="387">
        <f>SUM(P67,P80,P93)</f>
        <v/>
      </c>
      <c r="Q102" s="387">
        <f>SUM(Q67,Q80,Q93)</f>
        <v/>
      </c>
      <c r="R102" s="387">
        <f>SUM(R67,R80,R93)</f>
        <v/>
      </c>
      <c r="S102" s="387">
        <f>AVERAGE(O102:R102)</f>
        <v/>
      </c>
      <c r="T102" s="387">
        <f>SUM(T67,T80,T93)</f>
        <v/>
      </c>
      <c r="U102" s="387">
        <f>SUM(U67,U80,U93)</f>
        <v/>
      </c>
      <c r="V102" s="387">
        <f>SUM(V67,V80,V93)</f>
        <v/>
      </c>
      <c r="W102" s="387">
        <f>SUM(W67,W80,W93)</f>
        <v/>
      </c>
      <c r="X102" s="387">
        <f>AVERAGE(T102:W102)</f>
        <v/>
      </c>
      <c r="Y102" s="387">
        <f>SUM(Y67,Y80,Y93)</f>
        <v/>
      </c>
      <c r="Z102" s="387">
        <f>SUM(Z67,Z80,Z93)</f>
        <v/>
      </c>
      <c r="AA102" s="387">
        <f>SUM(AA67,AA80,AA93)</f>
        <v/>
      </c>
      <c r="AB102" s="387">
        <f>SUM(AB67,AB80,AB93)</f>
        <v/>
      </c>
      <c r="AC102" s="387">
        <f>AVERAGE(Y102:AB102)</f>
        <v/>
      </c>
      <c r="AD102" s="387">
        <f>SUM(AD67,AD80,AD93)</f>
        <v/>
      </c>
      <c r="AE102" s="387">
        <f>SUM(AE67,AE80,AE93)</f>
        <v/>
      </c>
      <c r="AF102" s="387">
        <f>SUM(AF67,AF80,AF93)</f>
        <v/>
      </c>
      <c r="AG102" s="387">
        <f>SUM(AG67,AG80,AG93)</f>
        <v/>
      </c>
      <c r="AH102" s="387">
        <f>AVERAGE(AD102:AG102)</f>
        <v/>
      </c>
      <c r="AI102" s="387">
        <f>SUM(AI67,AI80,AI93)</f>
        <v/>
      </c>
      <c r="AJ102" s="387">
        <f>SUM(AJ67,AJ80,AJ93)</f>
        <v/>
      </c>
      <c r="AK102" s="387">
        <f>SUM(AK67,AK80,AK93)</f>
        <v/>
      </c>
      <c r="AL102" s="387">
        <f>SUM(AL67,AL80,AL93)</f>
        <v/>
      </c>
      <c r="AM102" s="387">
        <f>AVERAGE(AI102:AL102)</f>
        <v/>
      </c>
      <c r="AN102" s="387">
        <f>SUM(AN67,AN80,AN93)</f>
        <v/>
      </c>
      <c r="AO102" s="387">
        <f>SUM(AO67,AO80,AO93)</f>
        <v/>
      </c>
      <c r="AP102" s="387">
        <f>SUM(AP67,AP80,AP93)</f>
        <v/>
      </c>
      <c r="AQ102" s="387">
        <f>SUM(AQ67,AQ80,AQ93)</f>
        <v/>
      </c>
      <c r="AR102" s="387">
        <f>AVERAGE(AN102:AQ102)</f>
        <v/>
      </c>
    </row>
    <row r="103" ht="13.5" customHeight="1" s="290">
      <c r="A103" s="339" t="n"/>
      <c r="B103" s="385" t="inlineStr">
        <is>
          <t xml:space="preserve">  Total Ending HC — Investment Sales</t>
        </is>
      </c>
      <c r="C103" s="386" t="inlineStr">
        <is>
          <t>#</t>
        </is>
      </c>
      <c r="D103" s="375" t="inlineStr">
        <is>
          <t xml:space="preserve"> sum of ending hc across all tiers</t>
        </is>
      </c>
      <c r="E103" s="387">
        <f>SUM(E68,E81,E94)</f>
        <v/>
      </c>
      <c r="F103" s="387">
        <f>SUM(F68,F81,F94)</f>
        <v/>
      </c>
      <c r="G103" s="387">
        <f>SUM(G68,G81,G94)</f>
        <v/>
      </c>
      <c r="H103" s="387">
        <f>SUM(H68,H81,H94)</f>
        <v/>
      </c>
      <c r="I103" s="387">
        <f>AVERAGE(E103:H103)</f>
        <v/>
      </c>
      <c r="J103" s="387">
        <f>SUM(J68,J81,J94)</f>
        <v/>
      </c>
      <c r="K103" s="387">
        <f>SUM(K68,K81,K94)</f>
        <v/>
      </c>
      <c r="L103" s="387">
        <f>SUM(L68,L81,L94)</f>
        <v/>
      </c>
      <c r="M103" s="387">
        <f>SUM(M68,M81,M94)</f>
        <v/>
      </c>
      <c r="N103" s="387">
        <f>AVERAGE(J103:M103)</f>
        <v/>
      </c>
      <c r="O103" s="387">
        <f>SUM(O68,O81,O94)</f>
        <v/>
      </c>
      <c r="P103" s="387">
        <f>SUM(P68,P81,P94)</f>
        <v/>
      </c>
      <c r="Q103" s="387">
        <f>SUM(Q68,Q81,Q94)</f>
        <v/>
      </c>
      <c r="R103" s="387">
        <f>SUM(R68,R81,R94)</f>
        <v/>
      </c>
      <c r="S103" s="387">
        <f>AVERAGE(O103:R103)</f>
        <v/>
      </c>
      <c r="T103" s="387">
        <f>SUM(T68,T81,T94)</f>
        <v/>
      </c>
      <c r="U103" s="387">
        <f>SUM(U68,U81,U94)</f>
        <v/>
      </c>
      <c r="V103" s="387">
        <f>SUM(V68,V81,V94)</f>
        <v/>
      </c>
      <c r="W103" s="387">
        <f>SUM(W68,W81,W94)</f>
        <v/>
      </c>
      <c r="X103" s="387">
        <f>AVERAGE(T103:W103)</f>
        <v/>
      </c>
      <c r="Y103" s="387">
        <f>SUM(Y68,Y81,Y94)</f>
        <v/>
      </c>
      <c r="Z103" s="387">
        <f>SUM(Z68,Z81,Z94)</f>
        <v/>
      </c>
      <c r="AA103" s="387">
        <f>SUM(AA68,AA81,AA94)</f>
        <v/>
      </c>
      <c r="AB103" s="387">
        <f>SUM(AB68,AB81,AB94)</f>
        <v/>
      </c>
      <c r="AC103" s="387">
        <f>AVERAGE(Y103:AB103)</f>
        <v/>
      </c>
      <c r="AD103" s="387">
        <f>SUM(AD68,AD81,AD94)</f>
        <v/>
      </c>
      <c r="AE103" s="387">
        <f>SUM(AE68,AE81,AE94)</f>
        <v/>
      </c>
      <c r="AF103" s="387">
        <f>SUM(AF68,AF81,AF94)</f>
        <v/>
      </c>
      <c r="AG103" s="387">
        <f>SUM(AG68,AG81,AG94)</f>
        <v/>
      </c>
      <c r="AH103" s="387">
        <f>AVERAGE(AD103:AG103)</f>
        <v/>
      </c>
      <c r="AI103" s="387">
        <f>SUM(AI68,AI81,AI94)</f>
        <v/>
      </c>
      <c r="AJ103" s="387">
        <f>SUM(AJ68,AJ81,AJ94)</f>
        <v/>
      </c>
      <c r="AK103" s="387">
        <f>SUM(AK68,AK81,AK94)</f>
        <v/>
      </c>
      <c r="AL103" s="387">
        <f>SUM(AL68,AL81,AL94)</f>
        <v/>
      </c>
      <c r="AM103" s="387">
        <f>AVERAGE(AI103:AL103)</f>
        <v/>
      </c>
      <c r="AN103" s="387">
        <f>SUM(AN68,AN81,AN94)</f>
        <v/>
      </c>
      <c r="AO103" s="387">
        <f>SUM(AO68,AO81,AO94)</f>
        <v/>
      </c>
      <c r="AP103" s="387">
        <f>SUM(AP68,AP81,AP94)</f>
        <v/>
      </c>
      <c r="AQ103" s="387">
        <f>SUM(AQ68,AQ81,AQ94)</f>
        <v/>
      </c>
      <c r="AR103" s="387">
        <f>AVERAGE(AN103:AQ103)</f>
        <v/>
      </c>
    </row>
    <row r="104" ht="13.5" customHeight="1" s="290">
      <c r="A104" s="339" t="n"/>
      <c r="B104" s="388" t="inlineStr">
        <is>
          <t xml:space="preserve">  Total Ramp Drag — Investment Sales</t>
        </is>
      </c>
      <c r="C104" s="386" t="inlineStr">
        <is>
          <t>#</t>
        </is>
      </c>
      <c r="D104" s="375" t="inlineStr">
        <is>
          <t xml:space="preserve"> total hc − Total EPE</t>
        </is>
      </c>
      <c r="E104" s="344">
        <f>MAX(0,E103-E102)</f>
        <v/>
      </c>
      <c r="F104" s="344">
        <f>MAX(0,F103-F102)</f>
        <v/>
      </c>
      <c r="G104" s="344">
        <f>MAX(0,G103-G102)</f>
        <v/>
      </c>
      <c r="H104" s="344">
        <f>MAX(0,H103-H102)</f>
        <v/>
      </c>
      <c r="I104" s="344">
        <f>SUM(E104:H104)</f>
        <v/>
      </c>
      <c r="J104" s="344">
        <f>MAX(0,J103-J102)</f>
        <v/>
      </c>
      <c r="K104" s="344">
        <f>MAX(0,K103-K102)</f>
        <v/>
      </c>
      <c r="L104" s="344">
        <f>MAX(0,L103-L102)</f>
        <v/>
      </c>
      <c r="M104" s="344">
        <f>MAX(0,M103-M102)</f>
        <v/>
      </c>
      <c r="N104" s="344">
        <f>SUM(J104:M104)</f>
        <v/>
      </c>
      <c r="O104" s="344">
        <f>MAX(0,O103-O102)</f>
        <v/>
      </c>
      <c r="P104" s="344">
        <f>MAX(0,P103-P102)</f>
        <v/>
      </c>
      <c r="Q104" s="344">
        <f>MAX(0,Q103-Q102)</f>
        <v/>
      </c>
      <c r="R104" s="344">
        <f>MAX(0,R103-R102)</f>
        <v/>
      </c>
      <c r="S104" s="344">
        <f>SUM(O104:R104)</f>
        <v/>
      </c>
      <c r="T104" s="344">
        <f>MAX(0,T103-T102)</f>
        <v/>
      </c>
      <c r="U104" s="344">
        <f>MAX(0,U103-U102)</f>
        <v/>
      </c>
      <c r="V104" s="344">
        <f>MAX(0,V103-V102)</f>
        <v/>
      </c>
      <c r="W104" s="344">
        <f>MAX(0,W103-W102)</f>
        <v/>
      </c>
      <c r="X104" s="344">
        <f>SUM(T104:W104)</f>
        <v/>
      </c>
      <c r="Y104" s="344">
        <f>MAX(0,Y103-Y102)</f>
        <v/>
      </c>
      <c r="Z104" s="344">
        <f>MAX(0,Z103-Z102)</f>
        <v/>
      </c>
      <c r="AA104" s="344">
        <f>MAX(0,AA103-AA102)</f>
        <v/>
      </c>
      <c r="AB104" s="344">
        <f>MAX(0,AB103-AB102)</f>
        <v/>
      </c>
      <c r="AC104" s="344">
        <f>SUM(Y104:AB104)</f>
        <v/>
      </c>
      <c r="AD104" s="344">
        <f>MAX(0,AD103-AD102)</f>
        <v/>
      </c>
      <c r="AE104" s="344">
        <f>MAX(0,AE103-AE102)</f>
        <v/>
      </c>
      <c r="AF104" s="344">
        <f>MAX(0,AF103-AF102)</f>
        <v/>
      </c>
      <c r="AG104" s="344">
        <f>MAX(0,AG103-AG102)</f>
        <v/>
      </c>
      <c r="AH104" s="344">
        <f>SUM(AD104:AG104)</f>
        <v/>
      </c>
      <c r="AI104" s="344">
        <f>MAX(0,AI103-AI102)</f>
        <v/>
      </c>
      <c r="AJ104" s="344">
        <f>MAX(0,AJ103-AJ102)</f>
        <v/>
      </c>
      <c r="AK104" s="344">
        <f>MAX(0,AK103-AK102)</f>
        <v/>
      </c>
      <c r="AL104" s="344">
        <f>MAX(0,AL103-AL102)</f>
        <v/>
      </c>
      <c r="AM104" s="344">
        <f>SUM(AI104:AL104)</f>
        <v/>
      </c>
      <c r="AN104" s="344">
        <f>MAX(0,AN103-AN102)</f>
        <v/>
      </c>
      <c r="AO104" s="344">
        <f>MAX(0,AO103-AO102)</f>
        <v/>
      </c>
      <c r="AP104" s="344">
        <f>MAX(0,AP103-AP102)</f>
        <v/>
      </c>
      <c r="AQ104" s="344">
        <f>MAX(0,AQ103-AQ102)</f>
        <v/>
      </c>
      <c r="AR104" s="344">
        <f>SUM(AN104:AQ104)</f>
        <v/>
      </c>
    </row>
    <row r="105" ht="13.5" customHeight="1" s="290">
      <c r="A105" s="339" t="n"/>
      <c r="B105" s="388" t="inlineStr">
        <is>
          <t xml:space="preserve">  Total Book Loss GCI Drag — Investment Sales</t>
        </is>
      </c>
      <c r="C105" s="386" t="inlineStr">
        <is>
          <t>$K</t>
        </is>
      </c>
      <c r="D105" s="375" t="inlineStr">
        <is>
          <t xml:space="preserve"> sum of book loss drag across all tiers (negative)</t>
        </is>
      </c>
      <c r="E105" s="344">
        <f>SUM(E72,E85,E98)</f>
        <v/>
      </c>
      <c r="F105" s="344">
        <f>SUM(F72,F85,F98)</f>
        <v/>
      </c>
      <c r="G105" s="344">
        <f>SUM(G72,G85,G98)</f>
        <v/>
      </c>
      <c r="H105" s="344">
        <f>SUM(H72,H85,H98)</f>
        <v/>
      </c>
      <c r="I105" s="344">
        <f>SUM(E105:H105)</f>
        <v/>
      </c>
      <c r="J105" s="344">
        <f>SUM(J72,J85,J98)</f>
        <v/>
      </c>
      <c r="K105" s="344">
        <f>SUM(K72,K85,K98)</f>
        <v/>
      </c>
      <c r="L105" s="344">
        <f>SUM(L72,L85,L98)</f>
        <v/>
      </c>
      <c r="M105" s="344">
        <f>SUM(M72,M85,M98)</f>
        <v/>
      </c>
      <c r="N105" s="344">
        <f>SUM(J105:M105)</f>
        <v/>
      </c>
      <c r="O105" s="344">
        <f>SUM(O72,O85,O98)</f>
        <v/>
      </c>
      <c r="P105" s="344">
        <f>SUM(P72,P85,P98)</f>
        <v/>
      </c>
      <c r="Q105" s="344">
        <f>SUM(Q72,Q85,Q98)</f>
        <v/>
      </c>
      <c r="R105" s="344">
        <f>SUM(R72,R85,R98)</f>
        <v/>
      </c>
      <c r="S105" s="344">
        <f>SUM(O105:R105)</f>
        <v/>
      </c>
      <c r="T105" s="344">
        <f>SUM(T72,T85,T98)</f>
        <v/>
      </c>
      <c r="U105" s="344">
        <f>SUM(U72,U85,U98)</f>
        <v/>
      </c>
      <c r="V105" s="344">
        <f>SUM(V72,V85,V98)</f>
        <v/>
      </c>
      <c r="W105" s="344">
        <f>SUM(W72,W85,W98)</f>
        <v/>
      </c>
      <c r="X105" s="344">
        <f>SUM(T105:W105)</f>
        <v/>
      </c>
      <c r="Y105" s="344">
        <f>SUM(Y72,Y85,Y98)</f>
        <v/>
      </c>
      <c r="Z105" s="344">
        <f>SUM(Z72,Z85,Z98)</f>
        <v/>
      </c>
      <c r="AA105" s="344">
        <f>SUM(AA72,AA85,AA98)</f>
        <v/>
      </c>
      <c r="AB105" s="344">
        <f>SUM(AB72,AB85,AB98)</f>
        <v/>
      </c>
      <c r="AC105" s="344">
        <f>SUM(Y105:AB105)</f>
        <v/>
      </c>
      <c r="AD105" s="344">
        <f>SUM(AD72,AD85,AD98)</f>
        <v/>
      </c>
      <c r="AE105" s="344">
        <f>SUM(AE72,AE85,AE98)</f>
        <v/>
      </c>
      <c r="AF105" s="344">
        <f>SUM(AF72,AF85,AF98)</f>
        <v/>
      </c>
      <c r="AG105" s="344">
        <f>SUM(AG72,AG85,AG98)</f>
        <v/>
      </c>
      <c r="AH105" s="344">
        <f>SUM(AD105:AG105)</f>
        <v/>
      </c>
      <c r="AI105" s="344">
        <f>SUM(AI72,AI85,AI98)</f>
        <v/>
      </c>
      <c r="AJ105" s="344">
        <f>SUM(AJ72,AJ85,AJ98)</f>
        <v/>
      </c>
      <c r="AK105" s="344">
        <f>SUM(AK72,AK85,AK98)</f>
        <v/>
      </c>
      <c r="AL105" s="344">
        <f>SUM(AL72,AL85,AL98)</f>
        <v/>
      </c>
      <c r="AM105" s="344">
        <f>SUM(AI105:AL105)</f>
        <v/>
      </c>
      <c r="AN105" s="344">
        <f>SUM(AN72,AN85,AN98)</f>
        <v/>
      </c>
      <c r="AO105" s="344">
        <f>SUM(AO72,AO85,AO98)</f>
        <v/>
      </c>
      <c r="AP105" s="344">
        <f>SUM(AP72,AP85,AP98)</f>
        <v/>
      </c>
      <c r="AQ105" s="344">
        <f>SUM(AQ72,AQ85,AQ98)</f>
        <v/>
      </c>
      <c r="AR105" s="344">
        <f>SUM(AN105:AQ105)</f>
        <v/>
      </c>
    </row>
    <row r="106" ht="3.75" customHeight="1" s="290"/>
    <row r="107" ht="3" customHeight="1" s="290">
      <c r="A107" s="293" t="n"/>
    </row>
    <row r="108" ht="4.5" customHeight="1" s="290"/>
    <row r="109" ht="15.75" customHeight="1" s="290">
      <c r="A109" s="338" t="inlineStr">
        <is>
          <t xml:space="preserve">  SECTION — DEBT &amp; EQUITY PRODUCER ENGINE</t>
        </is>
      </c>
    </row>
    <row r="110" ht="3.75" customHeight="1" s="290"/>
    <row r="111" ht="13.5" customHeight="1" s="290">
      <c r="A111" s="348" t="inlineStr">
        <is>
          <t xml:space="preserve">  EPE = Beginning HC + (Hires × Ramp Factor Yr1) − Attrition.  Green rows = links from Tab 03.  Black rows = calculations performed here.  Book Loss GCI Drag = Attrition Count × Book Loss Factor × Mature GCI/EPE placeholder.</t>
        </is>
      </c>
    </row>
    <row r="112" ht="3.75" customHeight="1" s="290"/>
    <row r="113" ht="13.5" customHeight="1" s="290">
      <c r="A113" s="369" t="inlineStr">
        <is>
          <t xml:space="preserve">    ── Rainmaker ──</t>
        </is>
      </c>
    </row>
    <row r="114" ht="13.5" customHeight="1" s="290">
      <c r="A114" s="339" t="n"/>
      <c r="B114" s="370" t="inlineStr">
        <is>
          <t xml:space="preserve">  Beginning HC — Rainmaker</t>
        </is>
      </c>
      <c r="C114" s="371" t="inlineStr">
        <is>
          <t>#</t>
        </is>
      </c>
      <c r="D114" s="372" t="inlineStr">
        <is>
          <t>← '03 Operational Assumptions' row 79</t>
        </is>
      </c>
      <c r="E114" s="361">
        <f>'03 Operational Assumptions'!E79</f>
        <v/>
      </c>
      <c r="F114" s="361">
        <f>E120</f>
        <v/>
      </c>
      <c r="G114" s="361">
        <f>F120</f>
        <v/>
      </c>
      <c r="H114" s="361">
        <f>G120</f>
        <v/>
      </c>
      <c r="I114" s="361">
        <f>AVERAGE(E114:H114)</f>
        <v/>
      </c>
      <c r="J114" s="361">
        <f>H120</f>
        <v/>
      </c>
      <c r="K114" s="361">
        <f>J120</f>
        <v/>
      </c>
      <c r="L114" s="361">
        <f>K120</f>
        <v/>
      </c>
      <c r="M114" s="361">
        <f>L120</f>
        <v/>
      </c>
      <c r="N114" s="361">
        <f>AVERAGE(J114:M114)</f>
        <v/>
      </c>
      <c r="O114" s="361">
        <f>M120</f>
        <v/>
      </c>
      <c r="P114" s="361">
        <f>O120</f>
        <v/>
      </c>
      <c r="Q114" s="361">
        <f>P120</f>
        <v/>
      </c>
      <c r="R114" s="361">
        <f>Q120</f>
        <v/>
      </c>
      <c r="S114" s="361">
        <f>AVERAGE(O114:R114)</f>
        <v/>
      </c>
      <c r="T114" s="361">
        <f>R120</f>
        <v/>
      </c>
      <c r="U114" s="361">
        <f>T120</f>
        <v/>
      </c>
      <c r="V114" s="361">
        <f>U120</f>
        <v/>
      </c>
      <c r="W114" s="361">
        <f>V120</f>
        <v/>
      </c>
      <c r="X114" s="361">
        <f>AVERAGE(T114:W114)</f>
        <v/>
      </c>
      <c r="Y114" s="361">
        <f>W120</f>
        <v/>
      </c>
      <c r="Z114" s="361">
        <f>Y120</f>
        <v/>
      </c>
      <c r="AA114" s="361">
        <f>Z120</f>
        <v/>
      </c>
      <c r="AB114" s="361">
        <f>AA120</f>
        <v/>
      </c>
      <c r="AC114" s="361">
        <f>AVERAGE(Y114:AB114)</f>
        <v/>
      </c>
      <c r="AD114" s="361">
        <f>AB120</f>
        <v/>
      </c>
      <c r="AE114" s="361">
        <f>AD120</f>
        <v/>
      </c>
      <c r="AF114" s="361">
        <f>AE120</f>
        <v/>
      </c>
      <c r="AG114" s="361">
        <f>AF120</f>
        <v/>
      </c>
      <c r="AH114" s="361">
        <f>AVERAGE(AD114:AG114)</f>
        <v/>
      </c>
      <c r="AI114" s="361">
        <f>AG120</f>
        <v/>
      </c>
      <c r="AJ114" s="361">
        <f>AI120</f>
        <v/>
      </c>
      <c r="AK114" s="361">
        <f>AJ120</f>
        <v/>
      </c>
      <c r="AL114" s="361">
        <f>AK120</f>
        <v/>
      </c>
      <c r="AM114" s="361">
        <f>AVERAGE(AI114:AL114)</f>
        <v/>
      </c>
      <c r="AN114" s="361">
        <f>AL120</f>
        <v/>
      </c>
      <c r="AO114" s="361">
        <f>AN120</f>
        <v/>
      </c>
      <c r="AP114" s="361">
        <f>AO120</f>
        <v/>
      </c>
      <c r="AQ114" s="361">
        <f>AP120</f>
        <v/>
      </c>
      <c r="AR114" s="361">
        <f>AVERAGE(AN114:AQ114)</f>
        <v/>
      </c>
    </row>
    <row r="115" ht="13.5" customHeight="1" s="290">
      <c r="A115" s="339" t="n"/>
      <c r="B115" s="370" t="inlineStr">
        <is>
          <t xml:space="preserve">  Gross Hires / Qtr — Rainmaker</t>
        </is>
      </c>
      <c r="C115" s="371" t="inlineStr">
        <is>
          <t>#/qtr</t>
        </is>
      </c>
      <c r="D115" s="372" t="inlineStr">
        <is>
          <t>← '03 Operational Assumptions' row 83 (Active)</t>
        </is>
      </c>
      <c r="E115" s="361">
        <f>'03 Operational Assumptions'!E83</f>
        <v/>
      </c>
      <c r="F115" s="361">
        <f>'03 Operational Assumptions'!F83</f>
        <v/>
      </c>
      <c r="G115" s="361">
        <f>'03 Operational Assumptions'!G83</f>
        <v/>
      </c>
      <c r="H115" s="361">
        <f>'03 Operational Assumptions'!H83</f>
        <v/>
      </c>
      <c r="I115" s="361">
        <f>SUM(E115:H115)</f>
        <v/>
      </c>
      <c r="J115" s="361">
        <f>'03 Operational Assumptions'!J83</f>
        <v/>
      </c>
      <c r="K115" s="361">
        <f>'03 Operational Assumptions'!K83</f>
        <v/>
      </c>
      <c r="L115" s="361">
        <f>'03 Operational Assumptions'!L83</f>
        <v/>
      </c>
      <c r="M115" s="361">
        <f>'03 Operational Assumptions'!M83</f>
        <v/>
      </c>
      <c r="N115" s="361">
        <f>SUM(J115:M115)</f>
        <v/>
      </c>
      <c r="O115" s="361">
        <f>'03 Operational Assumptions'!O83</f>
        <v/>
      </c>
      <c r="P115" s="361">
        <f>'03 Operational Assumptions'!P83</f>
        <v/>
      </c>
      <c r="Q115" s="361">
        <f>'03 Operational Assumptions'!Q83</f>
        <v/>
      </c>
      <c r="R115" s="361">
        <f>'03 Operational Assumptions'!R83</f>
        <v/>
      </c>
      <c r="S115" s="361">
        <f>SUM(O115:R115)</f>
        <v/>
      </c>
      <c r="T115" s="361">
        <f>'03 Operational Assumptions'!T83</f>
        <v/>
      </c>
      <c r="U115" s="361">
        <f>'03 Operational Assumptions'!U83</f>
        <v/>
      </c>
      <c r="V115" s="361">
        <f>'03 Operational Assumptions'!V83</f>
        <v/>
      </c>
      <c r="W115" s="361">
        <f>'03 Operational Assumptions'!W83</f>
        <v/>
      </c>
      <c r="X115" s="361">
        <f>SUM(T115:W115)</f>
        <v/>
      </c>
      <c r="Y115" s="361">
        <f>'03 Operational Assumptions'!Y83</f>
        <v/>
      </c>
      <c r="Z115" s="361">
        <f>'03 Operational Assumptions'!Z83</f>
        <v/>
      </c>
      <c r="AA115" s="361">
        <f>'03 Operational Assumptions'!AA83</f>
        <v/>
      </c>
      <c r="AB115" s="361">
        <f>'03 Operational Assumptions'!AB83</f>
        <v/>
      </c>
      <c r="AC115" s="361">
        <f>SUM(Y115:AB115)</f>
        <v/>
      </c>
      <c r="AD115" s="361">
        <f>'03 Operational Assumptions'!AD83</f>
        <v/>
      </c>
      <c r="AE115" s="361">
        <f>'03 Operational Assumptions'!AE83</f>
        <v/>
      </c>
      <c r="AF115" s="361">
        <f>'03 Operational Assumptions'!AF83</f>
        <v/>
      </c>
      <c r="AG115" s="361">
        <f>'03 Operational Assumptions'!AG83</f>
        <v/>
      </c>
      <c r="AH115" s="361">
        <f>SUM(AD115:AG115)</f>
        <v/>
      </c>
      <c r="AI115" s="361">
        <f>'03 Operational Assumptions'!AI83</f>
        <v/>
      </c>
      <c r="AJ115" s="361">
        <f>'03 Operational Assumptions'!AJ83</f>
        <v/>
      </c>
      <c r="AK115" s="361">
        <f>'03 Operational Assumptions'!AK83</f>
        <v/>
      </c>
      <c r="AL115" s="361">
        <f>'03 Operational Assumptions'!AL83</f>
        <v/>
      </c>
      <c r="AM115" s="361">
        <f>SUM(AI115:AL115)</f>
        <v/>
      </c>
      <c r="AN115" s="361">
        <f>'03 Operational Assumptions'!AN83</f>
        <v/>
      </c>
      <c r="AO115" s="361">
        <f>'03 Operational Assumptions'!AO83</f>
        <v/>
      </c>
      <c r="AP115" s="361">
        <f>'03 Operational Assumptions'!AP83</f>
        <v/>
      </c>
      <c r="AQ115" s="361">
        <f>'03 Operational Assumptions'!AQ83</f>
        <v/>
      </c>
      <c r="AR115" s="361">
        <f>SUM(AN115:AQ115)</f>
        <v/>
      </c>
    </row>
    <row r="116" ht="13.5" customHeight="1" s="290">
      <c r="A116" s="339" t="n"/>
      <c r="B116" s="370" t="inlineStr">
        <is>
          <t xml:space="preserve">  Attrition Rate — Rainmaker</t>
        </is>
      </c>
      <c r="C116" s="371" t="inlineStr">
        <is>
          <t>%/qtr</t>
        </is>
      </c>
      <c r="D116" s="372" t="inlineStr">
        <is>
          <t>← '03 Operational Assumptions' row 87 (Active)</t>
        </is>
      </c>
      <c r="E116" s="361">
        <f>'03 Operational Assumptions'!E87</f>
        <v/>
      </c>
      <c r="F116" s="361">
        <f>'03 Operational Assumptions'!F87</f>
        <v/>
      </c>
      <c r="G116" s="361">
        <f>'03 Operational Assumptions'!G87</f>
        <v/>
      </c>
      <c r="H116" s="361">
        <f>'03 Operational Assumptions'!H87</f>
        <v/>
      </c>
      <c r="I116" s="361">
        <f>AVERAGE(E116:H116)</f>
        <v/>
      </c>
      <c r="J116" s="361">
        <f>'03 Operational Assumptions'!J87</f>
        <v/>
      </c>
      <c r="K116" s="361">
        <f>'03 Operational Assumptions'!K87</f>
        <v/>
      </c>
      <c r="L116" s="361">
        <f>'03 Operational Assumptions'!L87</f>
        <v/>
      </c>
      <c r="M116" s="361">
        <f>'03 Operational Assumptions'!M87</f>
        <v/>
      </c>
      <c r="N116" s="361">
        <f>AVERAGE(J116:M116)</f>
        <v/>
      </c>
      <c r="O116" s="361">
        <f>'03 Operational Assumptions'!O87</f>
        <v/>
      </c>
      <c r="P116" s="361">
        <f>'03 Operational Assumptions'!P87</f>
        <v/>
      </c>
      <c r="Q116" s="361">
        <f>'03 Operational Assumptions'!Q87</f>
        <v/>
      </c>
      <c r="R116" s="361">
        <f>'03 Operational Assumptions'!R87</f>
        <v/>
      </c>
      <c r="S116" s="361">
        <f>AVERAGE(O116:R116)</f>
        <v/>
      </c>
      <c r="T116" s="361">
        <f>'03 Operational Assumptions'!T87</f>
        <v/>
      </c>
      <c r="U116" s="361">
        <f>'03 Operational Assumptions'!U87</f>
        <v/>
      </c>
      <c r="V116" s="361">
        <f>'03 Operational Assumptions'!V87</f>
        <v/>
      </c>
      <c r="W116" s="361">
        <f>'03 Operational Assumptions'!W87</f>
        <v/>
      </c>
      <c r="X116" s="361">
        <f>AVERAGE(T116:W116)</f>
        <v/>
      </c>
      <c r="Y116" s="361">
        <f>'03 Operational Assumptions'!Y87</f>
        <v/>
      </c>
      <c r="Z116" s="361">
        <f>'03 Operational Assumptions'!Z87</f>
        <v/>
      </c>
      <c r="AA116" s="361">
        <f>'03 Operational Assumptions'!AA87</f>
        <v/>
      </c>
      <c r="AB116" s="361">
        <f>'03 Operational Assumptions'!AB87</f>
        <v/>
      </c>
      <c r="AC116" s="361">
        <f>AVERAGE(Y116:AB116)</f>
        <v/>
      </c>
      <c r="AD116" s="361">
        <f>'03 Operational Assumptions'!AD87</f>
        <v/>
      </c>
      <c r="AE116" s="361">
        <f>'03 Operational Assumptions'!AE87</f>
        <v/>
      </c>
      <c r="AF116" s="361">
        <f>'03 Operational Assumptions'!AF87</f>
        <v/>
      </c>
      <c r="AG116" s="361">
        <f>'03 Operational Assumptions'!AG87</f>
        <v/>
      </c>
      <c r="AH116" s="361">
        <f>AVERAGE(AD116:AG116)</f>
        <v/>
      </c>
      <c r="AI116" s="361">
        <f>'03 Operational Assumptions'!AI87</f>
        <v/>
      </c>
      <c r="AJ116" s="361">
        <f>'03 Operational Assumptions'!AJ87</f>
        <v/>
      </c>
      <c r="AK116" s="361">
        <f>'03 Operational Assumptions'!AK87</f>
        <v/>
      </c>
      <c r="AL116" s="361">
        <f>'03 Operational Assumptions'!AL87</f>
        <v/>
      </c>
      <c r="AM116" s="361">
        <f>AVERAGE(AI116:AL116)</f>
        <v/>
      </c>
      <c r="AN116" s="361">
        <f>'03 Operational Assumptions'!AN87</f>
        <v/>
      </c>
      <c r="AO116" s="361">
        <f>'03 Operational Assumptions'!AO87</f>
        <v/>
      </c>
      <c r="AP116" s="361">
        <f>'03 Operational Assumptions'!AP87</f>
        <v/>
      </c>
      <c r="AQ116" s="361">
        <f>'03 Operational Assumptions'!AQ87</f>
        <v/>
      </c>
      <c r="AR116" s="361">
        <f>AVERAGE(AN116:AQ116)</f>
        <v/>
      </c>
    </row>
    <row r="117" ht="13.5" customHeight="1" s="290">
      <c r="A117" s="339" t="n"/>
      <c r="B117" s="373" t="inlineStr">
        <is>
          <t xml:space="preserve">  Attrition Count — Rainmaker</t>
        </is>
      </c>
      <c r="C117" s="374" t="inlineStr">
        <is>
          <t>#/qtr</t>
        </is>
      </c>
      <c r="D117" s="375" t="inlineStr">
        <is>
          <t xml:space="preserve"> attrition rate × Beginning HC</t>
        </is>
      </c>
      <c r="E117" s="376">
        <f>E116*E114</f>
        <v/>
      </c>
      <c r="F117" s="376">
        <f>F116*F114</f>
        <v/>
      </c>
      <c r="G117" s="376">
        <f>G116*G114</f>
        <v/>
      </c>
      <c r="H117" s="376">
        <f>H116*H114</f>
        <v/>
      </c>
      <c r="I117" s="344">
        <f>SUM(E117:H117)</f>
        <v/>
      </c>
      <c r="J117" s="376">
        <f>J116*J114</f>
        <v/>
      </c>
      <c r="K117" s="376">
        <f>K116*K114</f>
        <v/>
      </c>
      <c r="L117" s="376">
        <f>L116*L114</f>
        <v/>
      </c>
      <c r="M117" s="376">
        <f>M116*M114</f>
        <v/>
      </c>
      <c r="N117" s="344">
        <f>SUM(J117:M117)</f>
        <v/>
      </c>
      <c r="O117" s="376">
        <f>O116*O114</f>
        <v/>
      </c>
      <c r="P117" s="376">
        <f>P116*P114</f>
        <v/>
      </c>
      <c r="Q117" s="376">
        <f>Q116*Q114</f>
        <v/>
      </c>
      <c r="R117" s="376">
        <f>R116*R114</f>
        <v/>
      </c>
      <c r="S117" s="344">
        <f>SUM(O117:R117)</f>
        <v/>
      </c>
      <c r="T117" s="376">
        <f>T116*T114</f>
        <v/>
      </c>
      <c r="U117" s="376">
        <f>U116*U114</f>
        <v/>
      </c>
      <c r="V117" s="376">
        <f>V116*V114</f>
        <v/>
      </c>
      <c r="W117" s="376">
        <f>W116*W114</f>
        <v/>
      </c>
      <c r="X117" s="344">
        <f>SUM(T117:W117)</f>
        <v/>
      </c>
      <c r="Y117" s="376">
        <f>Y116*Y114</f>
        <v/>
      </c>
      <c r="Z117" s="376">
        <f>Z116*Z114</f>
        <v/>
      </c>
      <c r="AA117" s="376">
        <f>AA116*AA114</f>
        <v/>
      </c>
      <c r="AB117" s="376">
        <f>AB116*AB114</f>
        <v/>
      </c>
      <c r="AC117" s="344">
        <f>SUM(Y117:AB117)</f>
        <v/>
      </c>
      <c r="AD117" s="376">
        <f>AD116*AD114</f>
        <v/>
      </c>
      <c r="AE117" s="376">
        <f>AE116*AE114</f>
        <v/>
      </c>
      <c r="AF117" s="376">
        <f>AF116*AF114</f>
        <v/>
      </c>
      <c r="AG117" s="376">
        <f>AG116*AG114</f>
        <v/>
      </c>
      <c r="AH117" s="344">
        <f>SUM(AD117:AG117)</f>
        <v/>
      </c>
      <c r="AI117" s="376">
        <f>AI116*AI114</f>
        <v/>
      </c>
      <c r="AJ117" s="376">
        <f>AJ116*AJ114</f>
        <v/>
      </c>
      <c r="AK117" s="376">
        <f>AK116*AK114</f>
        <v/>
      </c>
      <c r="AL117" s="376">
        <f>AL116*AL114</f>
        <v/>
      </c>
      <c r="AM117" s="344">
        <f>SUM(AI117:AL117)</f>
        <v/>
      </c>
      <c r="AN117" s="376">
        <f>AN116*AN114</f>
        <v/>
      </c>
      <c r="AO117" s="376">
        <f>AO116*AO114</f>
        <v/>
      </c>
      <c r="AP117" s="376">
        <f>AP116*AP114</f>
        <v/>
      </c>
      <c r="AQ117" s="376">
        <f>AQ116*AQ114</f>
        <v/>
      </c>
      <c r="AR117" s="344">
        <f>SUM(AN117:AQ117)</f>
        <v/>
      </c>
    </row>
    <row r="118" ht="13.5" customHeight="1" s="290">
      <c r="A118" s="339" t="n"/>
      <c r="B118" s="370" t="inlineStr">
        <is>
          <t xml:space="preserve">  Ramp Factor Yr1 — Rainmaker</t>
        </is>
      </c>
      <c r="C118" s="371" t="inlineStr">
        <is>
          <t>% of mature</t>
        </is>
      </c>
      <c r="D118" s="372" t="inlineStr">
        <is>
          <t>← '03 Operational Assumptions' row 153 col E (Yr1 ramp)</t>
        </is>
      </c>
      <c r="E118" s="361">
        <f>'03 Operational Assumptions'!E153</f>
        <v/>
      </c>
      <c r="F118" s="361">
        <f>'03 Operational Assumptions'!E153</f>
        <v/>
      </c>
      <c r="G118" s="361">
        <f>'03 Operational Assumptions'!E153</f>
        <v/>
      </c>
      <c r="H118" s="361">
        <f>'03 Operational Assumptions'!E153</f>
        <v/>
      </c>
      <c r="I118" s="361">
        <f>AVERAGE(E118:H118)</f>
        <v/>
      </c>
      <c r="J118" s="361">
        <f>'03 Operational Assumptions'!E153</f>
        <v/>
      </c>
      <c r="K118" s="361">
        <f>'03 Operational Assumptions'!E153</f>
        <v/>
      </c>
      <c r="L118" s="361">
        <f>'03 Operational Assumptions'!E153</f>
        <v/>
      </c>
      <c r="M118" s="361">
        <f>'03 Operational Assumptions'!E153</f>
        <v/>
      </c>
      <c r="N118" s="361">
        <f>AVERAGE(J118:M118)</f>
        <v/>
      </c>
      <c r="O118" s="361">
        <f>'03 Operational Assumptions'!E153</f>
        <v/>
      </c>
      <c r="P118" s="361">
        <f>'03 Operational Assumptions'!E153</f>
        <v/>
      </c>
      <c r="Q118" s="361">
        <f>'03 Operational Assumptions'!E153</f>
        <v/>
      </c>
      <c r="R118" s="361">
        <f>'03 Operational Assumptions'!E153</f>
        <v/>
      </c>
      <c r="S118" s="361">
        <f>AVERAGE(O118:R118)</f>
        <v/>
      </c>
      <c r="T118" s="361">
        <f>'03 Operational Assumptions'!E153</f>
        <v/>
      </c>
      <c r="U118" s="361">
        <f>'03 Operational Assumptions'!E153</f>
        <v/>
      </c>
      <c r="V118" s="361">
        <f>'03 Operational Assumptions'!E153</f>
        <v/>
      </c>
      <c r="W118" s="361">
        <f>'03 Operational Assumptions'!E153</f>
        <v/>
      </c>
      <c r="X118" s="361">
        <f>AVERAGE(T118:W118)</f>
        <v/>
      </c>
      <c r="Y118" s="361">
        <f>'03 Operational Assumptions'!E153</f>
        <v/>
      </c>
      <c r="Z118" s="361">
        <f>'03 Operational Assumptions'!E153</f>
        <v/>
      </c>
      <c r="AA118" s="361">
        <f>'03 Operational Assumptions'!E153</f>
        <v/>
      </c>
      <c r="AB118" s="361">
        <f>'03 Operational Assumptions'!E153</f>
        <v/>
      </c>
      <c r="AC118" s="361">
        <f>AVERAGE(Y118:AB118)</f>
        <v/>
      </c>
      <c r="AD118" s="361">
        <f>'03 Operational Assumptions'!E153</f>
        <v/>
      </c>
      <c r="AE118" s="361">
        <f>'03 Operational Assumptions'!E153</f>
        <v/>
      </c>
      <c r="AF118" s="361">
        <f>'03 Operational Assumptions'!E153</f>
        <v/>
      </c>
      <c r="AG118" s="361">
        <f>'03 Operational Assumptions'!E153</f>
        <v/>
      </c>
      <c r="AH118" s="361">
        <f>AVERAGE(AD118:AG118)</f>
        <v/>
      </c>
      <c r="AI118" s="361">
        <f>'03 Operational Assumptions'!E153</f>
        <v/>
      </c>
      <c r="AJ118" s="361">
        <f>'03 Operational Assumptions'!E153</f>
        <v/>
      </c>
      <c r="AK118" s="361">
        <f>'03 Operational Assumptions'!E153</f>
        <v/>
      </c>
      <c r="AL118" s="361">
        <f>'03 Operational Assumptions'!E153</f>
        <v/>
      </c>
      <c r="AM118" s="361">
        <f>AVERAGE(AI118:AL118)</f>
        <v/>
      </c>
      <c r="AN118" s="361">
        <f>'03 Operational Assumptions'!E153</f>
        <v/>
      </c>
      <c r="AO118" s="361">
        <f>'03 Operational Assumptions'!E153</f>
        <v/>
      </c>
      <c r="AP118" s="361">
        <f>'03 Operational Assumptions'!E153</f>
        <v/>
      </c>
      <c r="AQ118" s="361">
        <f>'03 Operational Assumptions'!E153</f>
        <v/>
      </c>
      <c r="AR118" s="361">
        <f>AVERAGE(AN118:AQ118)</f>
        <v/>
      </c>
    </row>
    <row r="119" ht="13.5" customHeight="1" s="290">
      <c r="A119" s="339" t="n"/>
      <c r="B119" s="377" t="inlineStr">
        <is>
          <t xml:space="preserve">  ★ EPE — Rainmaker</t>
        </is>
      </c>
      <c r="C119" s="378" t="inlineStr">
        <is>
          <t>EPE</t>
        </is>
      </c>
      <c r="D119" s="375" t="inlineStr">
        <is>
          <t xml:space="preserve"> MAX(0, beg hc + (hires × Ramp) − Attrition)))</t>
        </is>
      </c>
      <c r="E119" s="379">
        <f>MAX(0,E114+(E115*E118)-E117)</f>
        <v/>
      </c>
      <c r="F119" s="379">
        <f>MAX(0,F114+(F115*F118)-F117)</f>
        <v/>
      </c>
      <c r="G119" s="379">
        <f>MAX(0,G114+(G115*G118)-G117)</f>
        <v/>
      </c>
      <c r="H119" s="379">
        <f>MAX(0,H114+(H115*H118)-H117)</f>
        <v/>
      </c>
      <c r="I119" s="379">
        <f>AVERAGE(E119:H119)</f>
        <v/>
      </c>
      <c r="J119" s="379">
        <f>MAX(0,J114+(J115*J118)-J117)</f>
        <v/>
      </c>
      <c r="K119" s="379">
        <f>MAX(0,K114+(K115*K118)-K117)</f>
        <v/>
      </c>
      <c r="L119" s="379">
        <f>MAX(0,L114+(L115*L118)-L117)</f>
        <v/>
      </c>
      <c r="M119" s="379">
        <f>MAX(0,M114+(M115*M118)-M117)</f>
        <v/>
      </c>
      <c r="N119" s="379">
        <f>AVERAGE(J119:M119)</f>
        <v/>
      </c>
      <c r="O119" s="379">
        <f>MAX(0,O114+(O115*O118)-O117)</f>
        <v/>
      </c>
      <c r="P119" s="379">
        <f>MAX(0,P114+(P115*P118)-P117)</f>
        <v/>
      </c>
      <c r="Q119" s="379">
        <f>MAX(0,Q114+(Q115*Q118)-Q117)</f>
        <v/>
      </c>
      <c r="R119" s="379">
        <f>MAX(0,R114+(R115*R118)-R117)</f>
        <v/>
      </c>
      <c r="S119" s="379">
        <f>AVERAGE(O119:R119)</f>
        <v/>
      </c>
      <c r="T119" s="379">
        <f>MAX(0,T114+(T115*T118)-T117)</f>
        <v/>
      </c>
      <c r="U119" s="379">
        <f>MAX(0,U114+(U115*U118)-U117)</f>
        <v/>
      </c>
      <c r="V119" s="379">
        <f>MAX(0,V114+(V115*V118)-V117)</f>
        <v/>
      </c>
      <c r="W119" s="379">
        <f>MAX(0,W114+(W115*W118)-W117)</f>
        <v/>
      </c>
      <c r="X119" s="379">
        <f>AVERAGE(T119:W119)</f>
        <v/>
      </c>
      <c r="Y119" s="379">
        <f>MAX(0,Y114+(Y115*Y118)-Y117)</f>
        <v/>
      </c>
      <c r="Z119" s="379">
        <f>MAX(0,Z114+(Z115*Z118)-Z117)</f>
        <v/>
      </c>
      <c r="AA119" s="379">
        <f>MAX(0,AA114+(AA115*AA118)-AA117)</f>
        <v/>
      </c>
      <c r="AB119" s="379">
        <f>MAX(0,AB114+(AB115*AB118)-AB117)</f>
        <v/>
      </c>
      <c r="AC119" s="379">
        <f>AVERAGE(Y119:AB119)</f>
        <v/>
      </c>
      <c r="AD119" s="379">
        <f>MAX(0,AD114+(AD115*AD118)-AD117)</f>
        <v/>
      </c>
      <c r="AE119" s="379">
        <f>MAX(0,AE114+(AE115*AE118)-AE117)</f>
        <v/>
      </c>
      <c r="AF119" s="379">
        <f>MAX(0,AF114+(AF115*AF118)-AF117)</f>
        <v/>
      </c>
      <c r="AG119" s="379">
        <f>MAX(0,AG114+(AG115*AG118)-AG117)</f>
        <v/>
      </c>
      <c r="AH119" s="379">
        <f>AVERAGE(AD119:AG119)</f>
        <v/>
      </c>
      <c r="AI119" s="379">
        <f>MAX(0,AI114+(AI115*AI118)-AI117)</f>
        <v/>
      </c>
      <c r="AJ119" s="379">
        <f>MAX(0,AJ114+(AJ115*AJ118)-AJ117)</f>
        <v/>
      </c>
      <c r="AK119" s="379">
        <f>MAX(0,AK114+(AK115*AK118)-AK117)</f>
        <v/>
      </c>
      <c r="AL119" s="379">
        <f>MAX(0,AL114+(AL115*AL118)-AL117)</f>
        <v/>
      </c>
      <c r="AM119" s="379">
        <f>AVERAGE(AI119:AL119)</f>
        <v/>
      </c>
      <c r="AN119" s="379">
        <f>MAX(0,AN114+(AN115*AN118)-AN117)</f>
        <v/>
      </c>
      <c r="AO119" s="379">
        <f>MAX(0,AO114+(AO115*AO118)-AO117)</f>
        <v/>
      </c>
      <c r="AP119" s="379">
        <f>MAX(0,AP114+(AP115*AP118)-AP117)</f>
        <v/>
      </c>
      <c r="AQ119" s="379">
        <f>MAX(0,AQ114+(AQ115*AQ118)-AQ117)</f>
        <v/>
      </c>
      <c r="AR119" s="379">
        <f>AVERAGE(AN119:AQ119)</f>
        <v/>
      </c>
    </row>
    <row r="120" ht="13.5" customHeight="1" s="290">
      <c r="A120" s="339" t="n"/>
      <c r="B120" s="373" t="inlineStr">
        <is>
          <t xml:space="preserve">  Ending HC — Rainmaker</t>
        </is>
      </c>
      <c r="C120" s="374" t="inlineStr">
        <is>
          <t>#</t>
        </is>
      </c>
      <c r="D120" s="375" t="inlineStr">
        <is>
          <t xml:space="preserve"> MAX(0, beg hc + hires − Attrition Count))</t>
        </is>
      </c>
      <c r="E120" s="376">
        <f>MAX(0,E114+E115-E117)</f>
        <v/>
      </c>
      <c r="F120" s="376">
        <f>MAX(0,F114+F115-F117)</f>
        <v/>
      </c>
      <c r="G120" s="376">
        <f>MAX(0,G114+G115-G117)</f>
        <v/>
      </c>
      <c r="H120" s="376">
        <f>MAX(0,H114+H115-H117)</f>
        <v/>
      </c>
      <c r="I120" s="344">
        <f>AVERAGE(E120:H120)</f>
        <v/>
      </c>
      <c r="J120" s="376">
        <f>MAX(0,J114+J115-J117)</f>
        <v/>
      </c>
      <c r="K120" s="376">
        <f>MAX(0,K114+K115-K117)</f>
        <v/>
      </c>
      <c r="L120" s="376">
        <f>MAX(0,L114+L115-L117)</f>
        <v/>
      </c>
      <c r="M120" s="376">
        <f>MAX(0,M114+M115-M117)</f>
        <v/>
      </c>
      <c r="N120" s="344">
        <f>AVERAGE(J120:M120)</f>
        <v/>
      </c>
      <c r="O120" s="376">
        <f>MAX(0,O114+O115-O117)</f>
        <v/>
      </c>
      <c r="P120" s="376">
        <f>MAX(0,P114+P115-P117)</f>
        <v/>
      </c>
      <c r="Q120" s="376">
        <f>MAX(0,Q114+Q115-Q117)</f>
        <v/>
      </c>
      <c r="R120" s="376">
        <f>MAX(0,R114+R115-R117)</f>
        <v/>
      </c>
      <c r="S120" s="344">
        <f>AVERAGE(O120:R120)</f>
        <v/>
      </c>
      <c r="T120" s="376">
        <f>MAX(0,T114+T115-T117)</f>
        <v/>
      </c>
      <c r="U120" s="376">
        <f>MAX(0,U114+U115-U117)</f>
        <v/>
      </c>
      <c r="V120" s="376">
        <f>MAX(0,V114+V115-V117)</f>
        <v/>
      </c>
      <c r="W120" s="376">
        <f>MAX(0,W114+W115-W117)</f>
        <v/>
      </c>
      <c r="X120" s="344">
        <f>AVERAGE(T120:W120)</f>
        <v/>
      </c>
      <c r="Y120" s="376">
        <f>MAX(0,Y114+Y115-Y117)</f>
        <v/>
      </c>
      <c r="Z120" s="376">
        <f>MAX(0,Z114+Z115-Z117)</f>
        <v/>
      </c>
      <c r="AA120" s="376">
        <f>MAX(0,AA114+AA115-AA117)</f>
        <v/>
      </c>
      <c r="AB120" s="376">
        <f>MAX(0,AB114+AB115-AB117)</f>
        <v/>
      </c>
      <c r="AC120" s="344">
        <f>AVERAGE(Y120:AB120)</f>
        <v/>
      </c>
      <c r="AD120" s="376">
        <f>MAX(0,AD114+AD115-AD117)</f>
        <v/>
      </c>
      <c r="AE120" s="376">
        <f>MAX(0,AE114+AE115-AE117)</f>
        <v/>
      </c>
      <c r="AF120" s="376">
        <f>MAX(0,AF114+AF115-AF117)</f>
        <v/>
      </c>
      <c r="AG120" s="376">
        <f>MAX(0,AG114+AG115-AG117)</f>
        <v/>
      </c>
      <c r="AH120" s="344">
        <f>AVERAGE(AD120:AG120)</f>
        <v/>
      </c>
      <c r="AI120" s="376">
        <f>MAX(0,AI114+AI115-AI117)</f>
        <v/>
      </c>
      <c r="AJ120" s="376">
        <f>MAX(0,AJ114+AJ115-AJ117)</f>
        <v/>
      </c>
      <c r="AK120" s="376">
        <f>MAX(0,AK114+AK115-AK117)</f>
        <v/>
      </c>
      <c r="AL120" s="376">
        <f>MAX(0,AL114+AL115-AL117)</f>
        <v/>
      </c>
      <c r="AM120" s="344">
        <f>AVERAGE(AI120:AL120)</f>
        <v/>
      </c>
      <c r="AN120" s="376">
        <f>MAX(0,AN114+AN115-AN117)</f>
        <v/>
      </c>
      <c r="AO120" s="376">
        <f>MAX(0,AO114+AO115-AO117)</f>
        <v/>
      </c>
      <c r="AP120" s="376">
        <f>MAX(0,AP114+AP115-AP117)</f>
        <v/>
      </c>
      <c r="AQ120" s="376">
        <f>MAX(0,AQ114+AQ115-AQ117)</f>
        <v/>
      </c>
      <c r="AR120" s="344">
        <f>AVERAGE(AN120:AQ120)</f>
        <v/>
      </c>
    </row>
    <row r="121" ht="13.5" customHeight="1" s="290">
      <c r="A121" s="339" t="n"/>
      <c r="B121" s="373" t="inlineStr">
        <is>
          <t xml:space="preserve">  Ramp Drag — Rainmaker</t>
        </is>
      </c>
      <c r="C121" s="374" t="inlineStr">
        <is>
          <t>#</t>
        </is>
      </c>
      <c r="D121" s="375" t="inlineStr">
        <is>
          <t xml:space="preserve"> ending hc − EPE  (un-ramped producer count)</t>
        </is>
      </c>
      <c r="E121" s="376">
        <f>MAX(0,E120-E119)</f>
        <v/>
      </c>
      <c r="F121" s="376">
        <f>MAX(0,F120-F119)</f>
        <v/>
      </c>
      <c r="G121" s="376">
        <f>MAX(0,G120-G119)</f>
        <v/>
      </c>
      <c r="H121" s="376">
        <f>MAX(0,H120-H119)</f>
        <v/>
      </c>
      <c r="I121" s="344">
        <f>SUM(E121:H121)</f>
        <v/>
      </c>
      <c r="J121" s="376">
        <f>MAX(0,J120-J119)</f>
        <v/>
      </c>
      <c r="K121" s="376">
        <f>MAX(0,K120-K119)</f>
        <v/>
      </c>
      <c r="L121" s="376">
        <f>MAX(0,L120-L119)</f>
        <v/>
      </c>
      <c r="M121" s="376">
        <f>MAX(0,M120-M119)</f>
        <v/>
      </c>
      <c r="N121" s="344">
        <f>SUM(J121:M121)</f>
        <v/>
      </c>
      <c r="O121" s="376">
        <f>MAX(0,O120-O119)</f>
        <v/>
      </c>
      <c r="P121" s="376">
        <f>MAX(0,P120-P119)</f>
        <v/>
      </c>
      <c r="Q121" s="376">
        <f>MAX(0,Q120-Q119)</f>
        <v/>
      </c>
      <c r="R121" s="376">
        <f>MAX(0,R120-R119)</f>
        <v/>
      </c>
      <c r="S121" s="344">
        <f>SUM(O121:R121)</f>
        <v/>
      </c>
      <c r="T121" s="376">
        <f>MAX(0,T120-T119)</f>
        <v/>
      </c>
      <c r="U121" s="376">
        <f>MAX(0,U120-U119)</f>
        <v/>
      </c>
      <c r="V121" s="376">
        <f>MAX(0,V120-V119)</f>
        <v/>
      </c>
      <c r="W121" s="376">
        <f>MAX(0,W120-W119)</f>
        <v/>
      </c>
      <c r="X121" s="344">
        <f>SUM(T121:W121)</f>
        <v/>
      </c>
      <c r="Y121" s="376">
        <f>MAX(0,Y120-Y119)</f>
        <v/>
      </c>
      <c r="Z121" s="376">
        <f>MAX(0,Z120-Z119)</f>
        <v/>
      </c>
      <c r="AA121" s="376">
        <f>MAX(0,AA120-AA119)</f>
        <v/>
      </c>
      <c r="AB121" s="376">
        <f>MAX(0,AB120-AB119)</f>
        <v/>
      </c>
      <c r="AC121" s="344">
        <f>SUM(Y121:AB121)</f>
        <v/>
      </c>
      <c r="AD121" s="376">
        <f>MAX(0,AD120-AD119)</f>
        <v/>
      </c>
      <c r="AE121" s="376">
        <f>MAX(0,AE120-AE119)</f>
        <v/>
      </c>
      <c r="AF121" s="376">
        <f>MAX(0,AF120-AF119)</f>
        <v/>
      </c>
      <c r="AG121" s="376">
        <f>MAX(0,AG120-AG119)</f>
        <v/>
      </c>
      <c r="AH121" s="344">
        <f>SUM(AD121:AG121)</f>
        <v/>
      </c>
      <c r="AI121" s="376">
        <f>MAX(0,AI120-AI119)</f>
        <v/>
      </c>
      <c r="AJ121" s="376">
        <f>MAX(0,AJ120-AJ119)</f>
        <v/>
      </c>
      <c r="AK121" s="376">
        <f>MAX(0,AK120-AK119)</f>
        <v/>
      </c>
      <c r="AL121" s="376">
        <f>MAX(0,AL120-AL119)</f>
        <v/>
      </c>
      <c r="AM121" s="344">
        <f>SUM(AI121:AL121)</f>
        <v/>
      </c>
      <c r="AN121" s="376">
        <f>MAX(0,AN120-AN119)</f>
        <v/>
      </c>
      <c r="AO121" s="376">
        <f>MAX(0,AO120-AO119)</f>
        <v/>
      </c>
      <c r="AP121" s="376">
        <f>MAX(0,AP120-AP119)</f>
        <v/>
      </c>
      <c r="AQ121" s="376">
        <f>MAX(0,AQ120-AQ119)</f>
        <v/>
      </c>
      <c r="AR121" s="344">
        <f>SUM(AN121:AQ121)</f>
        <v/>
      </c>
    </row>
    <row r="122" ht="13.5" customHeight="1" s="290">
      <c r="A122" s="339" t="n"/>
      <c r="B122" s="370" t="inlineStr">
        <is>
          <t xml:space="preserve">  Book Loss Factor — Rainmaker</t>
        </is>
      </c>
      <c r="C122" s="371" t="inlineStr">
        <is>
          <t>%</t>
        </is>
      </c>
      <c r="D122" s="372" t="inlineStr">
        <is>
          <t>← '03 Operational Assumptions' row 164 col E</t>
        </is>
      </c>
      <c r="E122" s="361">
        <f>'03 Operational Assumptions'!E164</f>
        <v/>
      </c>
      <c r="F122" s="361">
        <f>'03 Operational Assumptions'!E164</f>
        <v/>
      </c>
      <c r="G122" s="361">
        <f>'03 Operational Assumptions'!E164</f>
        <v/>
      </c>
      <c r="H122" s="361">
        <f>'03 Operational Assumptions'!E164</f>
        <v/>
      </c>
      <c r="I122" s="361">
        <f>AVERAGE(E122:H122)</f>
        <v/>
      </c>
      <c r="J122" s="361">
        <f>'03 Operational Assumptions'!E164</f>
        <v/>
      </c>
      <c r="K122" s="361">
        <f>'03 Operational Assumptions'!E164</f>
        <v/>
      </c>
      <c r="L122" s="361">
        <f>'03 Operational Assumptions'!E164</f>
        <v/>
      </c>
      <c r="M122" s="361">
        <f>'03 Operational Assumptions'!E164</f>
        <v/>
      </c>
      <c r="N122" s="361">
        <f>AVERAGE(J122:M122)</f>
        <v/>
      </c>
      <c r="O122" s="361">
        <f>'03 Operational Assumptions'!E164</f>
        <v/>
      </c>
      <c r="P122" s="361">
        <f>'03 Operational Assumptions'!E164</f>
        <v/>
      </c>
      <c r="Q122" s="361">
        <f>'03 Operational Assumptions'!E164</f>
        <v/>
      </c>
      <c r="R122" s="361">
        <f>'03 Operational Assumptions'!E164</f>
        <v/>
      </c>
      <c r="S122" s="361">
        <f>AVERAGE(O122:R122)</f>
        <v/>
      </c>
      <c r="T122" s="361">
        <f>'03 Operational Assumptions'!E164</f>
        <v/>
      </c>
      <c r="U122" s="361">
        <f>'03 Operational Assumptions'!E164</f>
        <v/>
      </c>
      <c r="V122" s="361">
        <f>'03 Operational Assumptions'!E164</f>
        <v/>
      </c>
      <c r="W122" s="361">
        <f>'03 Operational Assumptions'!E164</f>
        <v/>
      </c>
      <c r="X122" s="361">
        <f>AVERAGE(T122:W122)</f>
        <v/>
      </c>
      <c r="Y122" s="361">
        <f>'03 Operational Assumptions'!E164</f>
        <v/>
      </c>
      <c r="Z122" s="361">
        <f>'03 Operational Assumptions'!E164</f>
        <v/>
      </c>
      <c r="AA122" s="361">
        <f>'03 Operational Assumptions'!E164</f>
        <v/>
      </c>
      <c r="AB122" s="361">
        <f>'03 Operational Assumptions'!E164</f>
        <v/>
      </c>
      <c r="AC122" s="361">
        <f>AVERAGE(Y122:AB122)</f>
        <v/>
      </c>
      <c r="AD122" s="361">
        <f>'03 Operational Assumptions'!E164</f>
        <v/>
      </c>
      <c r="AE122" s="361">
        <f>'03 Operational Assumptions'!E164</f>
        <v/>
      </c>
      <c r="AF122" s="361">
        <f>'03 Operational Assumptions'!E164</f>
        <v/>
      </c>
      <c r="AG122" s="361">
        <f>'03 Operational Assumptions'!E164</f>
        <v/>
      </c>
      <c r="AH122" s="361">
        <f>AVERAGE(AD122:AG122)</f>
        <v/>
      </c>
      <c r="AI122" s="361">
        <f>'03 Operational Assumptions'!E164</f>
        <v/>
      </c>
      <c r="AJ122" s="361">
        <f>'03 Operational Assumptions'!E164</f>
        <v/>
      </c>
      <c r="AK122" s="361">
        <f>'03 Operational Assumptions'!E164</f>
        <v/>
      </c>
      <c r="AL122" s="361">
        <f>'03 Operational Assumptions'!E164</f>
        <v/>
      </c>
      <c r="AM122" s="361">
        <f>AVERAGE(AI122:AL122)</f>
        <v/>
      </c>
      <c r="AN122" s="361">
        <f>'03 Operational Assumptions'!E164</f>
        <v/>
      </c>
      <c r="AO122" s="361">
        <f>'03 Operational Assumptions'!E164</f>
        <v/>
      </c>
      <c r="AP122" s="361">
        <f>'03 Operational Assumptions'!E164</f>
        <v/>
      </c>
      <c r="AQ122" s="361">
        <f>'03 Operational Assumptions'!E164</f>
        <v/>
      </c>
      <c r="AR122" s="361">
        <f>AVERAGE(AN122:AQ122)</f>
        <v/>
      </c>
    </row>
    <row r="123" ht="13.5" customHeight="1" s="290">
      <c r="B123" s="380" t="inlineStr">
        <is>
          <t xml:space="preserve">  Mature GCI / EPE — Rainmaker  [Placeholder]</t>
        </is>
      </c>
      <c r="C123" s="381" t="inlineStr">
        <is>
          <t>$K/EPE</t>
        </is>
      </c>
      <c r="D123" s="382" t="inlineStr">
        <is>
          <t>V1 MANUAL INPUT: Enter annualized GCI/EPE ($K) for this tier after Tab 05 is run. Book-loss drag = 0 until populated. No circular reference risk — this is a one-way input.</t>
        </is>
      </c>
      <c r="E123" s="383" t="n">
        <v>0</v>
      </c>
      <c r="F123" s="383" t="n">
        <v>0</v>
      </c>
      <c r="G123" s="383" t="n">
        <v>0</v>
      </c>
      <c r="H123" s="383" t="n">
        <v>0</v>
      </c>
      <c r="I123" s="384">
        <f>AVERAGE(E123:H123)</f>
        <v/>
      </c>
      <c r="J123" s="383" t="n">
        <v>0</v>
      </c>
      <c r="K123" s="383" t="n">
        <v>0</v>
      </c>
      <c r="L123" s="383" t="n">
        <v>0</v>
      </c>
      <c r="M123" s="383" t="n">
        <v>0</v>
      </c>
      <c r="N123" s="384">
        <f>AVERAGE(J123:M123)</f>
        <v/>
      </c>
      <c r="O123" s="383" t="n">
        <v>0</v>
      </c>
      <c r="P123" s="383" t="n">
        <v>0</v>
      </c>
      <c r="Q123" s="383" t="n">
        <v>0</v>
      </c>
      <c r="R123" s="383" t="n">
        <v>0</v>
      </c>
      <c r="S123" s="384">
        <f>AVERAGE(O123:R123)</f>
        <v/>
      </c>
      <c r="T123" s="383" t="n">
        <v>0</v>
      </c>
      <c r="U123" s="383" t="n">
        <v>0</v>
      </c>
      <c r="V123" s="383" t="n">
        <v>0</v>
      </c>
      <c r="W123" s="383" t="n">
        <v>0</v>
      </c>
      <c r="X123" s="384">
        <f>AVERAGE(T123:W123)</f>
        <v/>
      </c>
      <c r="Y123" s="383" t="n">
        <v>0</v>
      </c>
      <c r="Z123" s="383" t="n">
        <v>0</v>
      </c>
      <c r="AA123" s="383" t="n">
        <v>0</v>
      </c>
      <c r="AB123" s="383" t="n">
        <v>0</v>
      </c>
      <c r="AC123" s="384">
        <f>AVERAGE(Y123:AB123)</f>
        <v/>
      </c>
      <c r="AD123" s="383" t="n">
        <v>0</v>
      </c>
      <c r="AE123" s="383" t="n">
        <v>0</v>
      </c>
      <c r="AF123" s="383" t="n">
        <v>0</v>
      </c>
      <c r="AG123" s="383" t="n">
        <v>0</v>
      </c>
      <c r="AH123" s="384">
        <f>AVERAGE(AD123:AG123)</f>
        <v/>
      </c>
      <c r="AI123" s="383" t="n">
        <v>0</v>
      </c>
      <c r="AJ123" s="383" t="n">
        <v>0</v>
      </c>
      <c r="AK123" s="383" t="n">
        <v>0</v>
      </c>
      <c r="AL123" s="383" t="n">
        <v>0</v>
      </c>
      <c r="AM123" s="384">
        <f>AVERAGE(AI123:AL123)</f>
        <v/>
      </c>
      <c r="AN123" s="383" t="n">
        <v>0</v>
      </c>
      <c r="AO123" s="383" t="n">
        <v>0</v>
      </c>
      <c r="AP123" s="383" t="n">
        <v>0</v>
      </c>
      <c r="AQ123" s="383" t="n">
        <v>0</v>
      </c>
      <c r="AR123" s="384">
        <f>AVERAGE(AN123:AQ123)</f>
        <v/>
      </c>
    </row>
    <row r="124" ht="13.5" customHeight="1" s="290">
      <c r="A124" s="339" t="n"/>
      <c r="B124" s="373" t="inlineStr">
        <is>
          <t xml:space="preserve">  Book Loss GCI Drag — Rainmaker</t>
        </is>
      </c>
      <c r="C124" s="374" t="inlineStr">
        <is>
          <t>$K</t>
        </is>
      </c>
      <c r="D124" s="375" t="inlineStr">
        <is>
          <t xml:space="preserve"> −(Attrition × Book Loss Factor × Mature GCI/EPE)</t>
        </is>
      </c>
      <c r="E124" s="376">
        <f>-MAX(0,E117*E122*E123)</f>
        <v/>
      </c>
      <c r="F124" s="376">
        <f>-MAX(0,F117*F122*F123)</f>
        <v/>
      </c>
      <c r="G124" s="376">
        <f>-MAX(0,G117*G122*G123)</f>
        <v/>
      </c>
      <c r="H124" s="376">
        <f>-MAX(0,H117*H122*H123)</f>
        <v/>
      </c>
      <c r="I124" s="344">
        <f>SUM(E124:H124)</f>
        <v/>
      </c>
      <c r="J124" s="376">
        <f>-MAX(0,J117*J122*J123)</f>
        <v/>
      </c>
      <c r="K124" s="376">
        <f>-MAX(0,K117*K122*K123)</f>
        <v/>
      </c>
      <c r="L124" s="376">
        <f>-MAX(0,L117*L122*L123)</f>
        <v/>
      </c>
      <c r="M124" s="376">
        <f>-MAX(0,M117*M122*M123)</f>
        <v/>
      </c>
      <c r="N124" s="344">
        <f>SUM(J124:M124)</f>
        <v/>
      </c>
      <c r="O124" s="376">
        <f>-MAX(0,O117*O122*O123)</f>
        <v/>
      </c>
      <c r="P124" s="376">
        <f>-MAX(0,P117*P122*P123)</f>
        <v/>
      </c>
      <c r="Q124" s="376">
        <f>-MAX(0,Q117*Q122*Q123)</f>
        <v/>
      </c>
      <c r="R124" s="376">
        <f>-MAX(0,R117*R122*R123)</f>
        <v/>
      </c>
      <c r="S124" s="344">
        <f>SUM(O124:R124)</f>
        <v/>
      </c>
      <c r="T124" s="376">
        <f>-MAX(0,T117*T122*T123)</f>
        <v/>
      </c>
      <c r="U124" s="376">
        <f>-MAX(0,U117*U122*U123)</f>
        <v/>
      </c>
      <c r="V124" s="376">
        <f>-MAX(0,V117*V122*V123)</f>
        <v/>
      </c>
      <c r="W124" s="376">
        <f>-MAX(0,W117*W122*W123)</f>
        <v/>
      </c>
      <c r="X124" s="344">
        <f>SUM(T124:W124)</f>
        <v/>
      </c>
      <c r="Y124" s="376">
        <f>-MAX(0,Y117*Y122*Y123)</f>
        <v/>
      </c>
      <c r="Z124" s="376">
        <f>-MAX(0,Z117*Z122*Z123)</f>
        <v/>
      </c>
      <c r="AA124" s="376">
        <f>-MAX(0,AA117*AA122*AA123)</f>
        <v/>
      </c>
      <c r="AB124" s="376">
        <f>-MAX(0,AB117*AB122*AB123)</f>
        <v/>
      </c>
      <c r="AC124" s="344">
        <f>SUM(Y124:AB124)</f>
        <v/>
      </c>
      <c r="AD124" s="376">
        <f>-MAX(0,AD117*AD122*AD123)</f>
        <v/>
      </c>
      <c r="AE124" s="376">
        <f>-MAX(0,AE117*AE122*AE123)</f>
        <v/>
      </c>
      <c r="AF124" s="376">
        <f>-MAX(0,AF117*AF122*AF123)</f>
        <v/>
      </c>
      <c r="AG124" s="376">
        <f>-MAX(0,AG117*AG122*AG123)</f>
        <v/>
      </c>
      <c r="AH124" s="344">
        <f>SUM(AD124:AG124)</f>
        <v/>
      </c>
      <c r="AI124" s="376">
        <f>-MAX(0,AI117*AI122*AI123)</f>
        <v/>
      </c>
      <c r="AJ124" s="376">
        <f>-MAX(0,AJ117*AJ122*AJ123)</f>
        <v/>
      </c>
      <c r="AK124" s="376">
        <f>-MAX(0,AK117*AK122*AK123)</f>
        <v/>
      </c>
      <c r="AL124" s="376">
        <f>-MAX(0,AL117*AL122*AL123)</f>
        <v/>
      </c>
      <c r="AM124" s="344">
        <f>SUM(AI124:AL124)</f>
        <v/>
      </c>
      <c r="AN124" s="376">
        <f>-MAX(0,AN117*AN122*AN123)</f>
        <v/>
      </c>
      <c r="AO124" s="376">
        <f>-MAX(0,AO117*AO122*AO123)</f>
        <v/>
      </c>
      <c r="AP124" s="376">
        <f>-MAX(0,AP117*AP122*AP123)</f>
        <v/>
      </c>
      <c r="AQ124" s="376">
        <f>-MAX(0,AQ117*AQ122*AQ123)</f>
        <v/>
      </c>
      <c r="AR124" s="344">
        <f>SUM(AN124:AQ124)</f>
        <v/>
      </c>
    </row>
    <row r="125" ht="4.5" customHeight="1" s="290"/>
    <row r="126" ht="13.5" customHeight="1" s="290">
      <c r="A126" s="369" t="inlineStr">
        <is>
          <t xml:space="preserve">    ── Core ──</t>
        </is>
      </c>
    </row>
    <row r="127" ht="13.5" customHeight="1" s="290">
      <c r="A127" s="339" t="n"/>
      <c r="B127" s="370" t="inlineStr">
        <is>
          <t xml:space="preserve">  Beginning HC — Core</t>
        </is>
      </c>
      <c r="C127" s="371" t="inlineStr">
        <is>
          <t>#</t>
        </is>
      </c>
      <c r="D127" s="372" t="inlineStr">
        <is>
          <t>← '03 Operational Assumptions' row 89</t>
        </is>
      </c>
      <c r="E127" s="361">
        <f>'03 Operational Assumptions'!E89</f>
        <v/>
      </c>
      <c r="F127" s="361">
        <f>E133</f>
        <v/>
      </c>
      <c r="G127" s="361">
        <f>F133</f>
        <v/>
      </c>
      <c r="H127" s="361">
        <f>G133</f>
        <v/>
      </c>
      <c r="I127" s="361">
        <f>AVERAGE(E127:H127)</f>
        <v/>
      </c>
      <c r="J127" s="361">
        <f>H133</f>
        <v/>
      </c>
      <c r="K127" s="361">
        <f>J133</f>
        <v/>
      </c>
      <c r="L127" s="361">
        <f>K133</f>
        <v/>
      </c>
      <c r="M127" s="361">
        <f>L133</f>
        <v/>
      </c>
      <c r="N127" s="361">
        <f>AVERAGE(J127:M127)</f>
        <v/>
      </c>
      <c r="O127" s="361">
        <f>M133</f>
        <v/>
      </c>
      <c r="P127" s="361">
        <f>O133</f>
        <v/>
      </c>
      <c r="Q127" s="361">
        <f>P133</f>
        <v/>
      </c>
      <c r="R127" s="361">
        <f>Q133</f>
        <v/>
      </c>
      <c r="S127" s="361">
        <f>AVERAGE(O127:R127)</f>
        <v/>
      </c>
      <c r="T127" s="361">
        <f>R133</f>
        <v/>
      </c>
      <c r="U127" s="361">
        <f>T133</f>
        <v/>
      </c>
      <c r="V127" s="361">
        <f>U133</f>
        <v/>
      </c>
      <c r="W127" s="361">
        <f>V133</f>
        <v/>
      </c>
      <c r="X127" s="361">
        <f>AVERAGE(T127:W127)</f>
        <v/>
      </c>
      <c r="Y127" s="361">
        <f>W133</f>
        <v/>
      </c>
      <c r="Z127" s="361">
        <f>Y133</f>
        <v/>
      </c>
      <c r="AA127" s="361">
        <f>Z133</f>
        <v/>
      </c>
      <c r="AB127" s="361">
        <f>AA133</f>
        <v/>
      </c>
      <c r="AC127" s="361">
        <f>AVERAGE(Y127:AB127)</f>
        <v/>
      </c>
      <c r="AD127" s="361">
        <f>AB133</f>
        <v/>
      </c>
      <c r="AE127" s="361">
        <f>AD133</f>
        <v/>
      </c>
      <c r="AF127" s="361">
        <f>AE133</f>
        <v/>
      </c>
      <c r="AG127" s="361">
        <f>AF133</f>
        <v/>
      </c>
      <c r="AH127" s="361">
        <f>AVERAGE(AD127:AG127)</f>
        <v/>
      </c>
      <c r="AI127" s="361">
        <f>AG133</f>
        <v/>
      </c>
      <c r="AJ127" s="361">
        <f>AI133</f>
        <v/>
      </c>
      <c r="AK127" s="361">
        <f>AJ133</f>
        <v/>
      </c>
      <c r="AL127" s="361">
        <f>AK133</f>
        <v/>
      </c>
      <c r="AM127" s="361">
        <f>AVERAGE(AI127:AL127)</f>
        <v/>
      </c>
      <c r="AN127" s="361">
        <f>AL133</f>
        <v/>
      </c>
      <c r="AO127" s="361">
        <f>AN133</f>
        <v/>
      </c>
      <c r="AP127" s="361">
        <f>AO133</f>
        <v/>
      </c>
      <c r="AQ127" s="361">
        <f>AP133</f>
        <v/>
      </c>
      <c r="AR127" s="361">
        <f>AVERAGE(AN127:AQ127)</f>
        <v/>
      </c>
    </row>
    <row r="128" ht="13.5" customHeight="1" s="290">
      <c r="A128" s="339" t="n"/>
      <c r="B128" s="370" t="inlineStr">
        <is>
          <t xml:space="preserve">  Gross Hires / Qtr — Core</t>
        </is>
      </c>
      <c r="C128" s="371" t="inlineStr">
        <is>
          <t>#/qtr</t>
        </is>
      </c>
      <c r="D128" s="372" t="inlineStr">
        <is>
          <t>← '03 Operational Assumptions' row 93 (Active)</t>
        </is>
      </c>
      <c r="E128" s="361">
        <f>'03 Operational Assumptions'!E93</f>
        <v/>
      </c>
      <c r="F128" s="361">
        <f>'03 Operational Assumptions'!F93</f>
        <v/>
      </c>
      <c r="G128" s="361">
        <f>'03 Operational Assumptions'!G93</f>
        <v/>
      </c>
      <c r="H128" s="361">
        <f>'03 Operational Assumptions'!H93</f>
        <v/>
      </c>
      <c r="I128" s="361">
        <f>SUM(E128:H128)</f>
        <v/>
      </c>
      <c r="J128" s="361">
        <f>'03 Operational Assumptions'!J93</f>
        <v/>
      </c>
      <c r="K128" s="361">
        <f>'03 Operational Assumptions'!K93</f>
        <v/>
      </c>
      <c r="L128" s="361">
        <f>'03 Operational Assumptions'!L93</f>
        <v/>
      </c>
      <c r="M128" s="361">
        <f>'03 Operational Assumptions'!M93</f>
        <v/>
      </c>
      <c r="N128" s="361">
        <f>SUM(J128:M128)</f>
        <v/>
      </c>
      <c r="O128" s="361">
        <f>'03 Operational Assumptions'!O93</f>
        <v/>
      </c>
      <c r="P128" s="361">
        <f>'03 Operational Assumptions'!P93</f>
        <v/>
      </c>
      <c r="Q128" s="361">
        <f>'03 Operational Assumptions'!Q93</f>
        <v/>
      </c>
      <c r="R128" s="361">
        <f>'03 Operational Assumptions'!R93</f>
        <v/>
      </c>
      <c r="S128" s="361">
        <f>SUM(O128:R128)</f>
        <v/>
      </c>
      <c r="T128" s="361">
        <f>'03 Operational Assumptions'!T93</f>
        <v/>
      </c>
      <c r="U128" s="361">
        <f>'03 Operational Assumptions'!U93</f>
        <v/>
      </c>
      <c r="V128" s="361">
        <f>'03 Operational Assumptions'!V93</f>
        <v/>
      </c>
      <c r="W128" s="361">
        <f>'03 Operational Assumptions'!W93</f>
        <v/>
      </c>
      <c r="X128" s="361">
        <f>SUM(T128:W128)</f>
        <v/>
      </c>
      <c r="Y128" s="361">
        <f>'03 Operational Assumptions'!Y93</f>
        <v/>
      </c>
      <c r="Z128" s="361">
        <f>'03 Operational Assumptions'!Z93</f>
        <v/>
      </c>
      <c r="AA128" s="361">
        <f>'03 Operational Assumptions'!AA93</f>
        <v/>
      </c>
      <c r="AB128" s="361">
        <f>'03 Operational Assumptions'!AB93</f>
        <v/>
      </c>
      <c r="AC128" s="361">
        <f>SUM(Y128:AB128)</f>
        <v/>
      </c>
      <c r="AD128" s="361">
        <f>'03 Operational Assumptions'!AD93</f>
        <v/>
      </c>
      <c r="AE128" s="361">
        <f>'03 Operational Assumptions'!AE93</f>
        <v/>
      </c>
      <c r="AF128" s="361">
        <f>'03 Operational Assumptions'!AF93</f>
        <v/>
      </c>
      <c r="AG128" s="361">
        <f>'03 Operational Assumptions'!AG93</f>
        <v/>
      </c>
      <c r="AH128" s="361">
        <f>SUM(AD128:AG128)</f>
        <v/>
      </c>
      <c r="AI128" s="361">
        <f>'03 Operational Assumptions'!AI93</f>
        <v/>
      </c>
      <c r="AJ128" s="361">
        <f>'03 Operational Assumptions'!AJ93</f>
        <v/>
      </c>
      <c r="AK128" s="361">
        <f>'03 Operational Assumptions'!AK93</f>
        <v/>
      </c>
      <c r="AL128" s="361">
        <f>'03 Operational Assumptions'!AL93</f>
        <v/>
      </c>
      <c r="AM128" s="361">
        <f>SUM(AI128:AL128)</f>
        <v/>
      </c>
      <c r="AN128" s="361">
        <f>'03 Operational Assumptions'!AN93</f>
        <v/>
      </c>
      <c r="AO128" s="361">
        <f>'03 Operational Assumptions'!AO93</f>
        <v/>
      </c>
      <c r="AP128" s="361">
        <f>'03 Operational Assumptions'!AP93</f>
        <v/>
      </c>
      <c r="AQ128" s="361">
        <f>'03 Operational Assumptions'!AQ93</f>
        <v/>
      </c>
      <c r="AR128" s="361">
        <f>SUM(AN128:AQ128)</f>
        <v/>
      </c>
    </row>
    <row r="129" ht="13.5" customHeight="1" s="290">
      <c r="A129" s="339" t="n"/>
      <c r="B129" s="370" t="inlineStr">
        <is>
          <t xml:space="preserve">  Attrition Rate — Core</t>
        </is>
      </c>
      <c r="C129" s="371" t="inlineStr">
        <is>
          <t>%/qtr</t>
        </is>
      </c>
      <c r="D129" s="372" t="inlineStr">
        <is>
          <t>← '03 Operational Assumptions' row 97 (Active)</t>
        </is>
      </c>
      <c r="E129" s="361">
        <f>'03 Operational Assumptions'!E97</f>
        <v/>
      </c>
      <c r="F129" s="361">
        <f>'03 Operational Assumptions'!F97</f>
        <v/>
      </c>
      <c r="G129" s="361">
        <f>'03 Operational Assumptions'!G97</f>
        <v/>
      </c>
      <c r="H129" s="361">
        <f>'03 Operational Assumptions'!H97</f>
        <v/>
      </c>
      <c r="I129" s="361">
        <f>AVERAGE(E129:H129)</f>
        <v/>
      </c>
      <c r="J129" s="361">
        <f>'03 Operational Assumptions'!J97</f>
        <v/>
      </c>
      <c r="K129" s="361">
        <f>'03 Operational Assumptions'!K97</f>
        <v/>
      </c>
      <c r="L129" s="361">
        <f>'03 Operational Assumptions'!L97</f>
        <v/>
      </c>
      <c r="M129" s="361">
        <f>'03 Operational Assumptions'!M97</f>
        <v/>
      </c>
      <c r="N129" s="361">
        <f>AVERAGE(J129:M129)</f>
        <v/>
      </c>
      <c r="O129" s="361">
        <f>'03 Operational Assumptions'!O97</f>
        <v/>
      </c>
      <c r="P129" s="361">
        <f>'03 Operational Assumptions'!P97</f>
        <v/>
      </c>
      <c r="Q129" s="361">
        <f>'03 Operational Assumptions'!Q97</f>
        <v/>
      </c>
      <c r="R129" s="361">
        <f>'03 Operational Assumptions'!R97</f>
        <v/>
      </c>
      <c r="S129" s="361">
        <f>AVERAGE(O129:R129)</f>
        <v/>
      </c>
      <c r="T129" s="361">
        <f>'03 Operational Assumptions'!T97</f>
        <v/>
      </c>
      <c r="U129" s="361">
        <f>'03 Operational Assumptions'!U97</f>
        <v/>
      </c>
      <c r="V129" s="361">
        <f>'03 Operational Assumptions'!V97</f>
        <v/>
      </c>
      <c r="W129" s="361">
        <f>'03 Operational Assumptions'!W97</f>
        <v/>
      </c>
      <c r="X129" s="361">
        <f>AVERAGE(T129:W129)</f>
        <v/>
      </c>
      <c r="Y129" s="361">
        <f>'03 Operational Assumptions'!Y97</f>
        <v/>
      </c>
      <c r="Z129" s="361">
        <f>'03 Operational Assumptions'!Z97</f>
        <v/>
      </c>
      <c r="AA129" s="361">
        <f>'03 Operational Assumptions'!AA97</f>
        <v/>
      </c>
      <c r="AB129" s="361">
        <f>'03 Operational Assumptions'!AB97</f>
        <v/>
      </c>
      <c r="AC129" s="361">
        <f>AVERAGE(Y129:AB129)</f>
        <v/>
      </c>
      <c r="AD129" s="361">
        <f>'03 Operational Assumptions'!AD97</f>
        <v/>
      </c>
      <c r="AE129" s="361">
        <f>'03 Operational Assumptions'!AE97</f>
        <v/>
      </c>
      <c r="AF129" s="361">
        <f>'03 Operational Assumptions'!AF97</f>
        <v/>
      </c>
      <c r="AG129" s="361">
        <f>'03 Operational Assumptions'!AG97</f>
        <v/>
      </c>
      <c r="AH129" s="361">
        <f>AVERAGE(AD129:AG129)</f>
        <v/>
      </c>
      <c r="AI129" s="361">
        <f>'03 Operational Assumptions'!AI97</f>
        <v/>
      </c>
      <c r="AJ129" s="361">
        <f>'03 Operational Assumptions'!AJ97</f>
        <v/>
      </c>
      <c r="AK129" s="361">
        <f>'03 Operational Assumptions'!AK97</f>
        <v/>
      </c>
      <c r="AL129" s="361">
        <f>'03 Operational Assumptions'!AL97</f>
        <v/>
      </c>
      <c r="AM129" s="361">
        <f>AVERAGE(AI129:AL129)</f>
        <v/>
      </c>
      <c r="AN129" s="361">
        <f>'03 Operational Assumptions'!AN97</f>
        <v/>
      </c>
      <c r="AO129" s="361">
        <f>'03 Operational Assumptions'!AO97</f>
        <v/>
      </c>
      <c r="AP129" s="361">
        <f>'03 Operational Assumptions'!AP97</f>
        <v/>
      </c>
      <c r="AQ129" s="361">
        <f>'03 Operational Assumptions'!AQ97</f>
        <v/>
      </c>
      <c r="AR129" s="361">
        <f>AVERAGE(AN129:AQ129)</f>
        <v/>
      </c>
    </row>
    <row r="130" ht="13.5" customHeight="1" s="290">
      <c r="A130" s="339" t="n"/>
      <c r="B130" s="373" t="inlineStr">
        <is>
          <t xml:space="preserve">  Attrition Count — Core</t>
        </is>
      </c>
      <c r="C130" s="374" t="inlineStr">
        <is>
          <t>#/qtr</t>
        </is>
      </c>
      <c r="D130" s="375" t="inlineStr">
        <is>
          <t xml:space="preserve"> attrition rate × Beginning HC</t>
        </is>
      </c>
      <c r="E130" s="376">
        <f>E129*E127</f>
        <v/>
      </c>
      <c r="F130" s="376">
        <f>F129*F127</f>
        <v/>
      </c>
      <c r="G130" s="376">
        <f>G129*G127</f>
        <v/>
      </c>
      <c r="H130" s="376">
        <f>H129*H127</f>
        <v/>
      </c>
      <c r="I130" s="344">
        <f>SUM(E130:H130)</f>
        <v/>
      </c>
      <c r="J130" s="376">
        <f>J129*J127</f>
        <v/>
      </c>
      <c r="K130" s="376">
        <f>K129*K127</f>
        <v/>
      </c>
      <c r="L130" s="376">
        <f>L129*L127</f>
        <v/>
      </c>
      <c r="M130" s="376">
        <f>M129*M127</f>
        <v/>
      </c>
      <c r="N130" s="344">
        <f>SUM(J130:M130)</f>
        <v/>
      </c>
      <c r="O130" s="376">
        <f>O129*O127</f>
        <v/>
      </c>
      <c r="P130" s="376">
        <f>P129*P127</f>
        <v/>
      </c>
      <c r="Q130" s="376">
        <f>Q129*Q127</f>
        <v/>
      </c>
      <c r="R130" s="376">
        <f>R129*R127</f>
        <v/>
      </c>
      <c r="S130" s="344">
        <f>SUM(O130:R130)</f>
        <v/>
      </c>
      <c r="T130" s="376">
        <f>T129*T127</f>
        <v/>
      </c>
      <c r="U130" s="376">
        <f>U129*U127</f>
        <v/>
      </c>
      <c r="V130" s="376">
        <f>V129*V127</f>
        <v/>
      </c>
      <c r="W130" s="376">
        <f>W129*W127</f>
        <v/>
      </c>
      <c r="X130" s="344">
        <f>SUM(T130:W130)</f>
        <v/>
      </c>
      <c r="Y130" s="376">
        <f>Y129*Y127</f>
        <v/>
      </c>
      <c r="Z130" s="376">
        <f>Z129*Z127</f>
        <v/>
      </c>
      <c r="AA130" s="376">
        <f>AA129*AA127</f>
        <v/>
      </c>
      <c r="AB130" s="376">
        <f>AB129*AB127</f>
        <v/>
      </c>
      <c r="AC130" s="344">
        <f>SUM(Y130:AB130)</f>
        <v/>
      </c>
      <c r="AD130" s="376">
        <f>AD129*AD127</f>
        <v/>
      </c>
      <c r="AE130" s="376">
        <f>AE129*AE127</f>
        <v/>
      </c>
      <c r="AF130" s="376">
        <f>AF129*AF127</f>
        <v/>
      </c>
      <c r="AG130" s="376">
        <f>AG129*AG127</f>
        <v/>
      </c>
      <c r="AH130" s="344">
        <f>SUM(AD130:AG130)</f>
        <v/>
      </c>
      <c r="AI130" s="376">
        <f>AI129*AI127</f>
        <v/>
      </c>
      <c r="AJ130" s="376">
        <f>AJ129*AJ127</f>
        <v/>
      </c>
      <c r="AK130" s="376">
        <f>AK129*AK127</f>
        <v/>
      </c>
      <c r="AL130" s="376">
        <f>AL129*AL127</f>
        <v/>
      </c>
      <c r="AM130" s="344">
        <f>SUM(AI130:AL130)</f>
        <v/>
      </c>
      <c r="AN130" s="376">
        <f>AN129*AN127</f>
        <v/>
      </c>
      <c r="AO130" s="376">
        <f>AO129*AO127</f>
        <v/>
      </c>
      <c r="AP130" s="376">
        <f>AP129*AP127</f>
        <v/>
      </c>
      <c r="AQ130" s="376">
        <f>AQ129*AQ127</f>
        <v/>
      </c>
      <c r="AR130" s="344">
        <f>SUM(AN130:AQ130)</f>
        <v/>
      </c>
    </row>
    <row r="131" ht="13.5" customHeight="1" s="290">
      <c r="A131" s="339" t="n"/>
      <c r="B131" s="370" t="inlineStr">
        <is>
          <t xml:space="preserve">  Ramp Factor Yr1 — Core</t>
        </is>
      </c>
      <c r="C131" s="371" t="inlineStr">
        <is>
          <t>% of mature</t>
        </is>
      </c>
      <c r="D131" s="372" t="inlineStr">
        <is>
          <t>← '03 Operational Assumptions' row 153 col F (Yr1 ramp)</t>
        </is>
      </c>
      <c r="E131" s="361">
        <f>'03 Operational Assumptions'!F153</f>
        <v/>
      </c>
      <c r="F131" s="361">
        <f>'03 Operational Assumptions'!F153</f>
        <v/>
      </c>
      <c r="G131" s="361">
        <f>'03 Operational Assumptions'!F153</f>
        <v/>
      </c>
      <c r="H131" s="361">
        <f>'03 Operational Assumptions'!F153</f>
        <v/>
      </c>
      <c r="I131" s="361">
        <f>AVERAGE(E131:H131)</f>
        <v/>
      </c>
      <c r="J131" s="361">
        <f>'03 Operational Assumptions'!F153</f>
        <v/>
      </c>
      <c r="K131" s="361">
        <f>'03 Operational Assumptions'!F153</f>
        <v/>
      </c>
      <c r="L131" s="361">
        <f>'03 Operational Assumptions'!F153</f>
        <v/>
      </c>
      <c r="M131" s="361">
        <f>'03 Operational Assumptions'!F153</f>
        <v/>
      </c>
      <c r="N131" s="361">
        <f>AVERAGE(J131:M131)</f>
        <v/>
      </c>
      <c r="O131" s="361">
        <f>'03 Operational Assumptions'!F153</f>
        <v/>
      </c>
      <c r="P131" s="361">
        <f>'03 Operational Assumptions'!F153</f>
        <v/>
      </c>
      <c r="Q131" s="361">
        <f>'03 Operational Assumptions'!F153</f>
        <v/>
      </c>
      <c r="R131" s="361">
        <f>'03 Operational Assumptions'!F153</f>
        <v/>
      </c>
      <c r="S131" s="361">
        <f>AVERAGE(O131:R131)</f>
        <v/>
      </c>
      <c r="T131" s="361">
        <f>'03 Operational Assumptions'!F153</f>
        <v/>
      </c>
      <c r="U131" s="361">
        <f>'03 Operational Assumptions'!F153</f>
        <v/>
      </c>
      <c r="V131" s="361">
        <f>'03 Operational Assumptions'!F153</f>
        <v/>
      </c>
      <c r="W131" s="361">
        <f>'03 Operational Assumptions'!F153</f>
        <v/>
      </c>
      <c r="X131" s="361">
        <f>AVERAGE(T131:W131)</f>
        <v/>
      </c>
      <c r="Y131" s="361">
        <f>'03 Operational Assumptions'!F153</f>
        <v/>
      </c>
      <c r="Z131" s="361">
        <f>'03 Operational Assumptions'!F153</f>
        <v/>
      </c>
      <c r="AA131" s="361">
        <f>'03 Operational Assumptions'!F153</f>
        <v/>
      </c>
      <c r="AB131" s="361">
        <f>'03 Operational Assumptions'!F153</f>
        <v/>
      </c>
      <c r="AC131" s="361">
        <f>AVERAGE(Y131:AB131)</f>
        <v/>
      </c>
      <c r="AD131" s="361">
        <f>'03 Operational Assumptions'!F153</f>
        <v/>
      </c>
      <c r="AE131" s="361">
        <f>'03 Operational Assumptions'!F153</f>
        <v/>
      </c>
      <c r="AF131" s="361">
        <f>'03 Operational Assumptions'!F153</f>
        <v/>
      </c>
      <c r="AG131" s="361">
        <f>'03 Operational Assumptions'!F153</f>
        <v/>
      </c>
      <c r="AH131" s="361">
        <f>AVERAGE(AD131:AG131)</f>
        <v/>
      </c>
      <c r="AI131" s="361">
        <f>'03 Operational Assumptions'!F153</f>
        <v/>
      </c>
      <c r="AJ131" s="361">
        <f>'03 Operational Assumptions'!F153</f>
        <v/>
      </c>
      <c r="AK131" s="361">
        <f>'03 Operational Assumptions'!F153</f>
        <v/>
      </c>
      <c r="AL131" s="361">
        <f>'03 Operational Assumptions'!F153</f>
        <v/>
      </c>
      <c r="AM131" s="361">
        <f>AVERAGE(AI131:AL131)</f>
        <v/>
      </c>
      <c r="AN131" s="361">
        <f>'03 Operational Assumptions'!F153</f>
        <v/>
      </c>
      <c r="AO131" s="361">
        <f>'03 Operational Assumptions'!F153</f>
        <v/>
      </c>
      <c r="AP131" s="361">
        <f>'03 Operational Assumptions'!F153</f>
        <v/>
      </c>
      <c r="AQ131" s="361">
        <f>'03 Operational Assumptions'!F153</f>
        <v/>
      </c>
      <c r="AR131" s="361">
        <f>AVERAGE(AN131:AQ131)</f>
        <v/>
      </c>
    </row>
    <row r="132" ht="13.5" customHeight="1" s="290">
      <c r="A132" s="339" t="n"/>
      <c r="B132" s="377" t="inlineStr">
        <is>
          <t xml:space="preserve">  ★ EPE — Core</t>
        </is>
      </c>
      <c r="C132" s="378" t="inlineStr">
        <is>
          <t>EPE</t>
        </is>
      </c>
      <c r="D132" s="375" t="inlineStr">
        <is>
          <t xml:space="preserve"> MAX(0, beg hc + (hires × Ramp) − Attrition)))</t>
        </is>
      </c>
      <c r="E132" s="379">
        <f>MAX(0,E127+(E128*E131)-E130)</f>
        <v/>
      </c>
      <c r="F132" s="379">
        <f>MAX(0,F127+(F128*F131)-F130)</f>
        <v/>
      </c>
      <c r="G132" s="379">
        <f>MAX(0,G127+(G128*G131)-G130)</f>
        <v/>
      </c>
      <c r="H132" s="379">
        <f>MAX(0,H127+(H128*H131)-H130)</f>
        <v/>
      </c>
      <c r="I132" s="379">
        <f>AVERAGE(E132:H132)</f>
        <v/>
      </c>
      <c r="J132" s="379">
        <f>MAX(0,J127+(J128*J131)-J130)</f>
        <v/>
      </c>
      <c r="K132" s="379">
        <f>MAX(0,K127+(K128*K131)-K130)</f>
        <v/>
      </c>
      <c r="L132" s="379">
        <f>MAX(0,L127+(L128*L131)-L130)</f>
        <v/>
      </c>
      <c r="M132" s="379">
        <f>MAX(0,M127+(M128*M131)-M130)</f>
        <v/>
      </c>
      <c r="N132" s="379">
        <f>AVERAGE(J132:M132)</f>
        <v/>
      </c>
      <c r="O132" s="379">
        <f>MAX(0,O127+(O128*O131)-O130)</f>
        <v/>
      </c>
      <c r="P132" s="379">
        <f>MAX(0,P127+(P128*P131)-P130)</f>
        <v/>
      </c>
      <c r="Q132" s="379">
        <f>MAX(0,Q127+(Q128*Q131)-Q130)</f>
        <v/>
      </c>
      <c r="R132" s="379">
        <f>MAX(0,R127+(R128*R131)-R130)</f>
        <v/>
      </c>
      <c r="S132" s="379">
        <f>AVERAGE(O132:R132)</f>
        <v/>
      </c>
      <c r="T132" s="379">
        <f>MAX(0,T127+(T128*T131)-T130)</f>
        <v/>
      </c>
      <c r="U132" s="379">
        <f>MAX(0,U127+(U128*U131)-U130)</f>
        <v/>
      </c>
      <c r="V132" s="379">
        <f>MAX(0,V127+(V128*V131)-V130)</f>
        <v/>
      </c>
      <c r="W132" s="379">
        <f>MAX(0,W127+(W128*W131)-W130)</f>
        <v/>
      </c>
      <c r="X132" s="379">
        <f>AVERAGE(T132:W132)</f>
        <v/>
      </c>
      <c r="Y132" s="379">
        <f>MAX(0,Y127+(Y128*Y131)-Y130)</f>
        <v/>
      </c>
      <c r="Z132" s="379">
        <f>MAX(0,Z127+(Z128*Z131)-Z130)</f>
        <v/>
      </c>
      <c r="AA132" s="379">
        <f>MAX(0,AA127+(AA128*AA131)-AA130)</f>
        <v/>
      </c>
      <c r="AB132" s="379">
        <f>MAX(0,AB127+(AB128*AB131)-AB130)</f>
        <v/>
      </c>
      <c r="AC132" s="379">
        <f>AVERAGE(Y132:AB132)</f>
        <v/>
      </c>
      <c r="AD132" s="379">
        <f>MAX(0,AD127+(AD128*AD131)-AD130)</f>
        <v/>
      </c>
      <c r="AE132" s="379">
        <f>MAX(0,AE127+(AE128*AE131)-AE130)</f>
        <v/>
      </c>
      <c r="AF132" s="379">
        <f>MAX(0,AF127+(AF128*AF131)-AF130)</f>
        <v/>
      </c>
      <c r="AG132" s="379">
        <f>MAX(0,AG127+(AG128*AG131)-AG130)</f>
        <v/>
      </c>
      <c r="AH132" s="379">
        <f>AVERAGE(AD132:AG132)</f>
        <v/>
      </c>
      <c r="AI132" s="379">
        <f>MAX(0,AI127+(AI128*AI131)-AI130)</f>
        <v/>
      </c>
      <c r="AJ132" s="379">
        <f>MAX(0,AJ127+(AJ128*AJ131)-AJ130)</f>
        <v/>
      </c>
      <c r="AK132" s="379">
        <f>MAX(0,AK127+(AK128*AK131)-AK130)</f>
        <v/>
      </c>
      <c r="AL132" s="379">
        <f>MAX(0,AL127+(AL128*AL131)-AL130)</f>
        <v/>
      </c>
      <c r="AM132" s="379">
        <f>AVERAGE(AI132:AL132)</f>
        <v/>
      </c>
      <c r="AN132" s="379">
        <f>MAX(0,AN127+(AN128*AN131)-AN130)</f>
        <v/>
      </c>
      <c r="AO132" s="379">
        <f>MAX(0,AO127+(AO128*AO131)-AO130)</f>
        <v/>
      </c>
      <c r="AP132" s="379">
        <f>MAX(0,AP127+(AP128*AP131)-AP130)</f>
        <v/>
      </c>
      <c r="AQ132" s="379">
        <f>MAX(0,AQ127+(AQ128*AQ131)-AQ130)</f>
        <v/>
      </c>
      <c r="AR132" s="379">
        <f>AVERAGE(AN132:AQ132)</f>
        <v/>
      </c>
    </row>
    <row r="133" ht="13.5" customHeight="1" s="290">
      <c r="A133" s="339" t="n"/>
      <c r="B133" s="373" t="inlineStr">
        <is>
          <t xml:space="preserve">  Ending HC — Core</t>
        </is>
      </c>
      <c r="C133" s="374" t="inlineStr">
        <is>
          <t>#</t>
        </is>
      </c>
      <c r="D133" s="375" t="inlineStr">
        <is>
          <t xml:space="preserve"> MAX(0, beg hc + hires − Attrition Count))</t>
        </is>
      </c>
      <c r="E133" s="376">
        <f>MAX(0,E127+E128-E130)</f>
        <v/>
      </c>
      <c r="F133" s="376">
        <f>MAX(0,F127+F128-F130)</f>
        <v/>
      </c>
      <c r="G133" s="376">
        <f>MAX(0,G127+G128-G130)</f>
        <v/>
      </c>
      <c r="H133" s="376">
        <f>MAX(0,H127+H128-H130)</f>
        <v/>
      </c>
      <c r="I133" s="344">
        <f>AVERAGE(E133:H133)</f>
        <v/>
      </c>
      <c r="J133" s="376">
        <f>MAX(0,J127+J128-J130)</f>
        <v/>
      </c>
      <c r="K133" s="376">
        <f>MAX(0,K127+K128-K130)</f>
        <v/>
      </c>
      <c r="L133" s="376">
        <f>MAX(0,L127+L128-L130)</f>
        <v/>
      </c>
      <c r="M133" s="376">
        <f>MAX(0,M127+M128-M130)</f>
        <v/>
      </c>
      <c r="N133" s="344">
        <f>AVERAGE(J133:M133)</f>
        <v/>
      </c>
      <c r="O133" s="376">
        <f>MAX(0,O127+O128-O130)</f>
        <v/>
      </c>
      <c r="P133" s="376">
        <f>MAX(0,P127+P128-P130)</f>
        <v/>
      </c>
      <c r="Q133" s="376">
        <f>MAX(0,Q127+Q128-Q130)</f>
        <v/>
      </c>
      <c r="R133" s="376">
        <f>MAX(0,R127+R128-R130)</f>
        <v/>
      </c>
      <c r="S133" s="344">
        <f>AVERAGE(O133:R133)</f>
        <v/>
      </c>
      <c r="T133" s="376">
        <f>MAX(0,T127+T128-T130)</f>
        <v/>
      </c>
      <c r="U133" s="376">
        <f>MAX(0,U127+U128-U130)</f>
        <v/>
      </c>
      <c r="V133" s="376">
        <f>MAX(0,V127+V128-V130)</f>
        <v/>
      </c>
      <c r="W133" s="376">
        <f>MAX(0,W127+W128-W130)</f>
        <v/>
      </c>
      <c r="X133" s="344">
        <f>AVERAGE(T133:W133)</f>
        <v/>
      </c>
      <c r="Y133" s="376">
        <f>MAX(0,Y127+Y128-Y130)</f>
        <v/>
      </c>
      <c r="Z133" s="376">
        <f>MAX(0,Z127+Z128-Z130)</f>
        <v/>
      </c>
      <c r="AA133" s="376">
        <f>MAX(0,AA127+AA128-AA130)</f>
        <v/>
      </c>
      <c r="AB133" s="376">
        <f>MAX(0,AB127+AB128-AB130)</f>
        <v/>
      </c>
      <c r="AC133" s="344">
        <f>AVERAGE(Y133:AB133)</f>
        <v/>
      </c>
      <c r="AD133" s="376">
        <f>MAX(0,AD127+AD128-AD130)</f>
        <v/>
      </c>
      <c r="AE133" s="376">
        <f>MAX(0,AE127+AE128-AE130)</f>
        <v/>
      </c>
      <c r="AF133" s="376">
        <f>MAX(0,AF127+AF128-AF130)</f>
        <v/>
      </c>
      <c r="AG133" s="376">
        <f>MAX(0,AG127+AG128-AG130)</f>
        <v/>
      </c>
      <c r="AH133" s="344">
        <f>AVERAGE(AD133:AG133)</f>
        <v/>
      </c>
      <c r="AI133" s="376">
        <f>MAX(0,AI127+AI128-AI130)</f>
        <v/>
      </c>
      <c r="AJ133" s="376">
        <f>MAX(0,AJ127+AJ128-AJ130)</f>
        <v/>
      </c>
      <c r="AK133" s="376">
        <f>MAX(0,AK127+AK128-AK130)</f>
        <v/>
      </c>
      <c r="AL133" s="376">
        <f>MAX(0,AL127+AL128-AL130)</f>
        <v/>
      </c>
      <c r="AM133" s="344">
        <f>AVERAGE(AI133:AL133)</f>
        <v/>
      </c>
      <c r="AN133" s="376">
        <f>MAX(0,AN127+AN128-AN130)</f>
        <v/>
      </c>
      <c r="AO133" s="376">
        <f>MAX(0,AO127+AO128-AO130)</f>
        <v/>
      </c>
      <c r="AP133" s="376">
        <f>MAX(0,AP127+AP128-AP130)</f>
        <v/>
      </c>
      <c r="AQ133" s="376">
        <f>MAX(0,AQ127+AQ128-AQ130)</f>
        <v/>
      </c>
      <c r="AR133" s="344">
        <f>AVERAGE(AN133:AQ133)</f>
        <v/>
      </c>
    </row>
    <row r="134" ht="13.5" customHeight="1" s="290">
      <c r="A134" s="339" t="n"/>
      <c r="B134" s="373" t="inlineStr">
        <is>
          <t xml:space="preserve">  Ramp Drag — Core</t>
        </is>
      </c>
      <c r="C134" s="374" t="inlineStr">
        <is>
          <t>#</t>
        </is>
      </c>
      <c r="D134" s="375" t="inlineStr">
        <is>
          <t xml:space="preserve"> ending hc − EPE  (un-ramped producer count)</t>
        </is>
      </c>
      <c r="E134" s="376">
        <f>MAX(0,E133-E132)</f>
        <v/>
      </c>
      <c r="F134" s="376">
        <f>MAX(0,F133-F132)</f>
        <v/>
      </c>
      <c r="G134" s="376">
        <f>MAX(0,G133-G132)</f>
        <v/>
      </c>
      <c r="H134" s="376">
        <f>MAX(0,H133-H132)</f>
        <v/>
      </c>
      <c r="I134" s="344">
        <f>SUM(E134:H134)</f>
        <v/>
      </c>
      <c r="J134" s="376">
        <f>MAX(0,J133-J132)</f>
        <v/>
      </c>
      <c r="K134" s="376">
        <f>MAX(0,K133-K132)</f>
        <v/>
      </c>
      <c r="L134" s="376">
        <f>MAX(0,L133-L132)</f>
        <v/>
      </c>
      <c r="M134" s="376">
        <f>MAX(0,M133-M132)</f>
        <v/>
      </c>
      <c r="N134" s="344">
        <f>SUM(J134:M134)</f>
        <v/>
      </c>
      <c r="O134" s="376">
        <f>MAX(0,O133-O132)</f>
        <v/>
      </c>
      <c r="P134" s="376">
        <f>MAX(0,P133-P132)</f>
        <v/>
      </c>
      <c r="Q134" s="376">
        <f>MAX(0,Q133-Q132)</f>
        <v/>
      </c>
      <c r="R134" s="376">
        <f>MAX(0,R133-R132)</f>
        <v/>
      </c>
      <c r="S134" s="344">
        <f>SUM(O134:R134)</f>
        <v/>
      </c>
      <c r="T134" s="376">
        <f>MAX(0,T133-T132)</f>
        <v/>
      </c>
      <c r="U134" s="376">
        <f>MAX(0,U133-U132)</f>
        <v/>
      </c>
      <c r="V134" s="376">
        <f>MAX(0,V133-V132)</f>
        <v/>
      </c>
      <c r="W134" s="376">
        <f>MAX(0,W133-W132)</f>
        <v/>
      </c>
      <c r="X134" s="344">
        <f>SUM(T134:W134)</f>
        <v/>
      </c>
      <c r="Y134" s="376">
        <f>MAX(0,Y133-Y132)</f>
        <v/>
      </c>
      <c r="Z134" s="376">
        <f>MAX(0,Z133-Z132)</f>
        <v/>
      </c>
      <c r="AA134" s="376">
        <f>MAX(0,AA133-AA132)</f>
        <v/>
      </c>
      <c r="AB134" s="376">
        <f>MAX(0,AB133-AB132)</f>
        <v/>
      </c>
      <c r="AC134" s="344">
        <f>SUM(Y134:AB134)</f>
        <v/>
      </c>
      <c r="AD134" s="376">
        <f>MAX(0,AD133-AD132)</f>
        <v/>
      </c>
      <c r="AE134" s="376">
        <f>MAX(0,AE133-AE132)</f>
        <v/>
      </c>
      <c r="AF134" s="376">
        <f>MAX(0,AF133-AF132)</f>
        <v/>
      </c>
      <c r="AG134" s="376">
        <f>MAX(0,AG133-AG132)</f>
        <v/>
      </c>
      <c r="AH134" s="344">
        <f>SUM(AD134:AG134)</f>
        <v/>
      </c>
      <c r="AI134" s="376">
        <f>MAX(0,AI133-AI132)</f>
        <v/>
      </c>
      <c r="AJ134" s="376">
        <f>MAX(0,AJ133-AJ132)</f>
        <v/>
      </c>
      <c r="AK134" s="376">
        <f>MAX(0,AK133-AK132)</f>
        <v/>
      </c>
      <c r="AL134" s="376">
        <f>MAX(0,AL133-AL132)</f>
        <v/>
      </c>
      <c r="AM134" s="344">
        <f>SUM(AI134:AL134)</f>
        <v/>
      </c>
      <c r="AN134" s="376">
        <f>MAX(0,AN133-AN132)</f>
        <v/>
      </c>
      <c r="AO134" s="376">
        <f>MAX(0,AO133-AO132)</f>
        <v/>
      </c>
      <c r="AP134" s="376">
        <f>MAX(0,AP133-AP132)</f>
        <v/>
      </c>
      <c r="AQ134" s="376">
        <f>MAX(0,AQ133-AQ132)</f>
        <v/>
      </c>
      <c r="AR134" s="344">
        <f>SUM(AN134:AQ134)</f>
        <v/>
      </c>
    </row>
    <row r="135" ht="13.5" customHeight="1" s="290">
      <c r="A135" s="339" t="n"/>
      <c r="B135" s="370" t="inlineStr">
        <is>
          <t xml:space="preserve">  Book Loss Factor — Core</t>
        </is>
      </c>
      <c r="C135" s="371" t="inlineStr">
        <is>
          <t>%</t>
        </is>
      </c>
      <c r="D135" s="372" t="inlineStr">
        <is>
          <t>← '03 Operational Assumptions' row 164 col F</t>
        </is>
      </c>
      <c r="E135" s="361">
        <f>'03 Operational Assumptions'!F164</f>
        <v/>
      </c>
      <c r="F135" s="361">
        <f>'03 Operational Assumptions'!F164</f>
        <v/>
      </c>
      <c r="G135" s="361">
        <f>'03 Operational Assumptions'!F164</f>
        <v/>
      </c>
      <c r="H135" s="361">
        <f>'03 Operational Assumptions'!F164</f>
        <v/>
      </c>
      <c r="I135" s="361">
        <f>AVERAGE(E135:H135)</f>
        <v/>
      </c>
      <c r="J135" s="361">
        <f>'03 Operational Assumptions'!F164</f>
        <v/>
      </c>
      <c r="K135" s="361">
        <f>'03 Operational Assumptions'!F164</f>
        <v/>
      </c>
      <c r="L135" s="361">
        <f>'03 Operational Assumptions'!F164</f>
        <v/>
      </c>
      <c r="M135" s="361">
        <f>'03 Operational Assumptions'!F164</f>
        <v/>
      </c>
      <c r="N135" s="361">
        <f>AVERAGE(J135:M135)</f>
        <v/>
      </c>
      <c r="O135" s="361">
        <f>'03 Operational Assumptions'!F164</f>
        <v/>
      </c>
      <c r="P135" s="361">
        <f>'03 Operational Assumptions'!F164</f>
        <v/>
      </c>
      <c r="Q135" s="361">
        <f>'03 Operational Assumptions'!F164</f>
        <v/>
      </c>
      <c r="R135" s="361">
        <f>'03 Operational Assumptions'!F164</f>
        <v/>
      </c>
      <c r="S135" s="361">
        <f>AVERAGE(O135:R135)</f>
        <v/>
      </c>
      <c r="T135" s="361">
        <f>'03 Operational Assumptions'!F164</f>
        <v/>
      </c>
      <c r="U135" s="361">
        <f>'03 Operational Assumptions'!F164</f>
        <v/>
      </c>
      <c r="V135" s="361">
        <f>'03 Operational Assumptions'!F164</f>
        <v/>
      </c>
      <c r="W135" s="361">
        <f>'03 Operational Assumptions'!F164</f>
        <v/>
      </c>
      <c r="X135" s="361">
        <f>AVERAGE(T135:W135)</f>
        <v/>
      </c>
      <c r="Y135" s="361">
        <f>'03 Operational Assumptions'!F164</f>
        <v/>
      </c>
      <c r="Z135" s="361">
        <f>'03 Operational Assumptions'!F164</f>
        <v/>
      </c>
      <c r="AA135" s="361">
        <f>'03 Operational Assumptions'!F164</f>
        <v/>
      </c>
      <c r="AB135" s="361">
        <f>'03 Operational Assumptions'!F164</f>
        <v/>
      </c>
      <c r="AC135" s="361">
        <f>AVERAGE(Y135:AB135)</f>
        <v/>
      </c>
      <c r="AD135" s="361">
        <f>'03 Operational Assumptions'!F164</f>
        <v/>
      </c>
      <c r="AE135" s="361">
        <f>'03 Operational Assumptions'!F164</f>
        <v/>
      </c>
      <c r="AF135" s="361">
        <f>'03 Operational Assumptions'!F164</f>
        <v/>
      </c>
      <c r="AG135" s="361">
        <f>'03 Operational Assumptions'!F164</f>
        <v/>
      </c>
      <c r="AH135" s="361">
        <f>AVERAGE(AD135:AG135)</f>
        <v/>
      </c>
      <c r="AI135" s="361">
        <f>'03 Operational Assumptions'!F164</f>
        <v/>
      </c>
      <c r="AJ135" s="361">
        <f>'03 Operational Assumptions'!F164</f>
        <v/>
      </c>
      <c r="AK135" s="361">
        <f>'03 Operational Assumptions'!F164</f>
        <v/>
      </c>
      <c r="AL135" s="361">
        <f>'03 Operational Assumptions'!F164</f>
        <v/>
      </c>
      <c r="AM135" s="361">
        <f>AVERAGE(AI135:AL135)</f>
        <v/>
      </c>
      <c r="AN135" s="361">
        <f>'03 Operational Assumptions'!F164</f>
        <v/>
      </c>
      <c r="AO135" s="361">
        <f>'03 Operational Assumptions'!F164</f>
        <v/>
      </c>
      <c r="AP135" s="361">
        <f>'03 Operational Assumptions'!F164</f>
        <v/>
      </c>
      <c r="AQ135" s="361">
        <f>'03 Operational Assumptions'!F164</f>
        <v/>
      </c>
      <c r="AR135" s="361">
        <f>AVERAGE(AN135:AQ135)</f>
        <v/>
      </c>
    </row>
    <row r="136" ht="13.5" customHeight="1" s="290">
      <c r="B136" s="380" t="inlineStr">
        <is>
          <t xml:space="preserve">  Mature GCI / EPE — Core  [Placeholder]</t>
        </is>
      </c>
      <c r="C136" s="381" t="inlineStr">
        <is>
          <t>$K/EPE</t>
        </is>
      </c>
      <c r="D136" s="382" t="inlineStr">
        <is>
          <t>V1 MANUAL INPUT: Enter annualized GCI/EPE ($K) for this tier after Tab 05 is run. Book-loss drag = 0 until populated. No circular reference risk — this is a one-way input.</t>
        </is>
      </c>
      <c r="E136" s="383" t="n">
        <v>0</v>
      </c>
      <c r="F136" s="383" t="n">
        <v>0</v>
      </c>
      <c r="G136" s="383" t="n">
        <v>0</v>
      </c>
      <c r="H136" s="383" t="n">
        <v>0</v>
      </c>
      <c r="I136" s="384">
        <f>AVERAGE(E136:H136)</f>
        <v/>
      </c>
      <c r="J136" s="383" t="n">
        <v>0</v>
      </c>
      <c r="K136" s="383" t="n">
        <v>0</v>
      </c>
      <c r="L136" s="383" t="n">
        <v>0</v>
      </c>
      <c r="M136" s="383" t="n">
        <v>0</v>
      </c>
      <c r="N136" s="384">
        <f>AVERAGE(J136:M136)</f>
        <v/>
      </c>
      <c r="O136" s="383" t="n">
        <v>0</v>
      </c>
      <c r="P136" s="383" t="n">
        <v>0</v>
      </c>
      <c r="Q136" s="383" t="n">
        <v>0</v>
      </c>
      <c r="R136" s="383" t="n">
        <v>0</v>
      </c>
      <c r="S136" s="384">
        <f>AVERAGE(O136:R136)</f>
        <v/>
      </c>
      <c r="T136" s="383" t="n">
        <v>0</v>
      </c>
      <c r="U136" s="383" t="n">
        <v>0</v>
      </c>
      <c r="V136" s="383" t="n">
        <v>0</v>
      </c>
      <c r="W136" s="383" t="n">
        <v>0</v>
      </c>
      <c r="X136" s="384">
        <f>AVERAGE(T136:W136)</f>
        <v/>
      </c>
      <c r="Y136" s="383" t="n">
        <v>0</v>
      </c>
      <c r="Z136" s="383" t="n">
        <v>0</v>
      </c>
      <c r="AA136" s="383" t="n">
        <v>0</v>
      </c>
      <c r="AB136" s="383" t="n">
        <v>0</v>
      </c>
      <c r="AC136" s="384">
        <f>AVERAGE(Y136:AB136)</f>
        <v/>
      </c>
      <c r="AD136" s="383" t="n">
        <v>0</v>
      </c>
      <c r="AE136" s="383" t="n">
        <v>0</v>
      </c>
      <c r="AF136" s="383" t="n">
        <v>0</v>
      </c>
      <c r="AG136" s="383" t="n">
        <v>0</v>
      </c>
      <c r="AH136" s="384">
        <f>AVERAGE(AD136:AG136)</f>
        <v/>
      </c>
      <c r="AI136" s="383" t="n">
        <v>0</v>
      </c>
      <c r="AJ136" s="383" t="n">
        <v>0</v>
      </c>
      <c r="AK136" s="383" t="n">
        <v>0</v>
      </c>
      <c r="AL136" s="383" t="n">
        <v>0</v>
      </c>
      <c r="AM136" s="384">
        <f>AVERAGE(AI136:AL136)</f>
        <v/>
      </c>
      <c r="AN136" s="383" t="n">
        <v>0</v>
      </c>
      <c r="AO136" s="383" t="n">
        <v>0</v>
      </c>
      <c r="AP136" s="383" t="n">
        <v>0</v>
      </c>
      <c r="AQ136" s="383" t="n">
        <v>0</v>
      </c>
      <c r="AR136" s="384">
        <f>AVERAGE(AN136:AQ136)</f>
        <v/>
      </c>
    </row>
    <row r="137" ht="13.5" customHeight="1" s="290">
      <c r="A137" s="339" t="n"/>
      <c r="B137" s="373" t="inlineStr">
        <is>
          <t xml:space="preserve">  Book Loss GCI Drag — Core</t>
        </is>
      </c>
      <c r="C137" s="374" t="inlineStr">
        <is>
          <t>$K</t>
        </is>
      </c>
      <c r="D137" s="375" t="inlineStr">
        <is>
          <t xml:space="preserve"> −(Attrition × Book Loss Factor × Mature GCI/EPE)</t>
        </is>
      </c>
      <c r="E137" s="376">
        <f>-MAX(0,E130*E135*E136)</f>
        <v/>
      </c>
      <c r="F137" s="376">
        <f>-MAX(0,F130*F135*F136)</f>
        <v/>
      </c>
      <c r="G137" s="376">
        <f>-MAX(0,G130*G135*G136)</f>
        <v/>
      </c>
      <c r="H137" s="376">
        <f>-MAX(0,H130*H135*H136)</f>
        <v/>
      </c>
      <c r="I137" s="344">
        <f>SUM(E137:H137)</f>
        <v/>
      </c>
      <c r="J137" s="376">
        <f>-MAX(0,J130*J135*J136)</f>
        <v/>
      </c>
      <c r="K137" s="376">
        <f>-MAX(0,K130*K135*K136)</f>
        <v/>
      </c>
      <c r="L137" s="376">
        <f>-MAX(0,L130*L135*L136)</f>
        <v/>
      </c>
      <c r="M137" s="376">
        <f>-MAX(0,M130*M135*M136)</f>
        <v/>
      </c>
      <c r="N137" s="344">
        <f>SUM(J137:M137)</f>
        <v/>
      </c>
      <c r="O137" s="376">
        <f>-MAX(0,O130*O135*O136)</f>
        <v/>
      </c>
      <c r="P137" s="376">
        <f>-MAX(0,P130*P135*P136)</f>
        <v/>
      </c>
      <c r="Q137" s="376">
        <f>-MAX(0,Q130*Q135*Q136)</f>
        <v/>
      </c>
      <c r="R137" s="376">
        <f>-MAX(0,R130*R135*R136)</f>
        <v/>
      </c>
      <c r="S137" s="344">
        <f>SUM(O137:R137)</f>
        <v/>
      </c>
      <c r="T137" s="376">
        <f>-MAX(0,T130*T135*T136)</f>
        <v/>
      </c>
      <c r="U137" s="376">
        <f>-MAX(0,U130*U135*U136)</f>
        <v/>
      </c>
      <c r="V137" s="376">
        <f>-MAX(0,V130*V135*V136)</f>
        <v/>
      </c>
      <c r="W137" s="376">
        <f>-MAX(0,W130*W135*W136)</f>
        <v/>
      </c>
      <c r="X137" s="344">
        <f>SUM(T137:W137)</f>
        <v/>
      </c>
      <c r="Y137" s="376">
        <f>-MAX(0,Y130*Y135*Y136)</f>
        <v/>
      </c>
      <c r="Z137" s="376">
        <f>-MAX(0,Z130*Z135*Z136)</f>
        <v/>
      </c>
      <c r="AA137" s="376">
        <f>-MAX(0,AA130*AA135*AA136)</f>
        <v/>
      </c>
      <c r="AB137" s="376">
        <f>-MAX(0,AB130*AB135*AB136)</f>
        <v/>
      </c>
      <c r="AC137" s="344">
        <f>SUM(Y137:AB137)</f>
        <v/>
      </c>
      <c r="AD137" s="376">
        <f>-MAX(0,AD130*AD135*AD136)</f>
        <v/>
      </c>
      <c r="AE137" s="376">
        <f>-MAX(0,AE130*AE135*AE136)</f>
        <v/>
      </c>
      <c r="AF137" s="376">
        <f>-MAX(0,AF130*AF135*AF136)</f>
        <v/>
      </c>
      <c r="AG137" s="376">
        <f>-MAX(0,AG130*AG135*AG136)</f>
        <v/>
      </c>
      <c r="AH137" s="344">
        <f>SUM(AD137:AG137)</f>
        <v/>
      </c>
      <c r="AI137" s="376">
        <f>-MAX(0,AI130*AI135*AI136)</f>
        <v/>
      </c>
      <c r="AJ137" s="376">
        <f>-MAX(0,AJ130*AJ135*AJ136)</f>
        <v/>
      </c>
      <c r="AK137" s="376">
        <f>-MAX(0,AK130*AK135*AK136)</f>
        <v/>
      </c>
      <c r="AL137" s="376">
        <f>-MAX(0,AL130*AL135*AL136)</f>
        <v/>
      </c>
      <c r="AM137" s="344">
        <f>SUM(AI137:AL137)</f>
        <v/>
      </c>
      <c r="AN137" s="376">
        <f>-MAX(0,AN130*AN135*AN136)</f>
        <v/>
      </c>
      <c r="AO137" s="376">
        <f>-MAX(0,AO130*AO135*AO136)</f>
        <v/>
      </c>
      <c r="AP137" s="376">
        <f>-MAX(0,AP130*AP135*AP136)</f>
        <v/>
      </c>
      <c r="AQ137" s="376">
        <f>-MAX(0,AQ130*AQ135*AQ136)</f>
        <v/>
      </c>
      <c r="AR137" s="344">
        <f>SUM(AN137:AQ137)</f>
        <v/>
      </c>
    </row>
    <row r="138" ht="4.5" customHeight="1" s="290"/>
    <row r="139" ht="13.5" customHeight="1" s="290">
      <c r="A139" s="369" t="inlineStr">
        <is>
          <t xml:space="preserve">    ── Junior ──</t>
        </is>
      </c>
    </row>
    <row r="140" ht="13.5" customHeight="1" s="290">
      <c r="A140" s="339" t="n"/>
      <c r="B140" s="370" t="inlineStr">
        <is>
          <t xml:space="preserve">  Beginning HC — Junior</t>
        </is>
      </c>
      <c r="C140" s="371" t="inlineStr">
        <is>
          <t>#</t>
        </is>
      </c>
      <c r="D140" s="372" t="inlineStr">
        <is>
          <t>← '03 Operational Assumptions' row 99</t>
        </is>
      </c>
      <c r="E140" s="361">
        <f>'03 Operational Assumptions'!E99</f>
        <v/>
      </c>
      <c r="F140" s="361">
        <f>E146</f>
        <v/>
      </c>
      <c r="G140" s="361">
        <f>F146</f>
        <v/>
      </c>
      <c r="H140" s="361">
        <f>G146</f>
        <v/>
      </c>
      <c r="I140" s="361">
        <f>AVERAGE(E140:H140)</f>
        <v/>
      </c>
      <c r="J140" s="361">
        <f>H146</f>
        <v/>
      </c>
      <c r="K140" s="361">
        <f>J146</f>
        <v/>
      </c>
      <c r="L140" s="361">
        <f>K146</f>
        <v/>
      </c>
      <c r="M140" s="361">
        <f>L146</f>
        <v/>
      </c>
      <c r="N140" s="361">
        <f>AVERAGE(J140:M140)</f>
        <v/>
      </c>
      <c r="O140" s="361">
        <f>M146</f>
        <v/>
      </c>
      <c r="P140" s="361">
        <f>O146</f>
        <v/>
      </c>
      <c r="Q140" s="361">
        <f>P146</f>
        <v/>
      </c>
      <c r="R140" s="361">
        <f>Q146</f>
        <v/>
      </c>
      <c r="S140" s="361">
        <f>AVERAGE(O140:R140)</f>
        <v/>
      </c>
      <c r="T140" s="361">
        <f>R146</f>
        <v/>
      </c>
      <c r="U140" s="361">
        <f>T146</f>
        <v/>
      </c>
      <c r="V140" s="361">
        <f>U146</f>
        <v/>
      </c>
      <c r="W140" s="361">
        <f>V146</f>
        <v/>
      </c>
      <c r="X140" s="361">
        <f>AVERAGE(T140:W140)</f>
        <v/>
      </c>
      <c r="Y140" s="361">
        <f>W146</f>
        <v/>
      </c>
      <c r="Z140" s="361">
        <f>Y146</f>
        <v/>
      </c>
      <c r="AA140" s="361">
        <f>Z146</f>
        <v/>
      </c>
      <c r="AB140" s="361">
        <f>AA146</f>
        <v/>
      </c>
      <c r="AC140" s="361">
        <f>AVERAGE(Y140:AB140)</f>
        <v/>
      </c>
      <c r="AD140" s="361">
        <f>AB146</f>
        <v/>
      </c>
      <c r="AE140" s="361">
        <f>AD146</f>
        <v/>
      </c>
      <c r="AF140" s="361">
        <f>AE146</f>
        <v/>
      </c>
      <c r="AG140" s="361">
        <f>AF146</f>
        <v/>
      </c>
      <c r="AH140" s="361">
        <f>AVERAGE(AD140:AG140)</f>
        <v/>
      </c>
      <c r="AI140" s="361">
        <f>AG146</f>
        <v/>
      </c>
      <c r="AJ140" s="361">
        <f>AI146</f>
        <v/>
      </c>
      <c r="AK140" s="361">
        <f>AJ146</f>
        <v/>
      </c>
      <c r="AL140" s="361">
        <f>AK146</f>
        <v/>
      </c>
      <c r="AM140" s="361">
        <f>AVERAGE(AI140:AL140)</f>
        <v/>
      </c>
      <c r="AN140" s="361">
        <f>AL146</f>
        <v/>
      </c>
      <c r="AO140" s="361">
        <f>AN146</f>
        <v/>
      </c>
      <c r="AP140" s="361">
        <f>AO146</f>
        <v/>
      </c>
      <c r="AQ140" s="361">
        <f>AP146</f>
        <v/>
      </c>
      <c r="AR140" s="361">
        <f>AVERAGE(AN140:AQ140)</f>
        <v/>
      </c>
    </row>
    <row r="141" ht="13.5" customHeight="1" s="290">
      <c r="A141" s="339" t="n"/>
      <c r="B141" s="370" t="inlineStr">
        <is>
          <t xml:space="preserve">  Gross Hires / Qtr — Junior</t>
        </is>
      </c>
      <c r="C141" s="371" t="inlineStr">
        <is>
          <t>#/qtr</t>
        </is>
      </c>
      <c r="D141" s="372" t="inlineStr">
        <is>
          <t>← '03 Operational Assumptions' row 103 (Active)</t>
        </is>
      </c>
      <c r="E141" s="361">
        <f>'03 Operational Assumptions'!E103</f>
        <v/>
      </c>
      <c r="F141" s="361">
        <f>'03 Operational Assumptions'!F103</f>
        <v/>
      </c>
      <c r="G141" s="361">
        <f>'03 Operational Assumptions'!G103</f>
        <v/>
      </c>
      <c r="H141" s="361">
        <f>'03 Operational Assumptions'!H103</f>
        <v/>
      </c>
      <c r="I141" s="361">
        <f>SUM(E141:H141)</f>
        <v/>
      </c>
      <c r="J141" s="361">
        <f>'03 Operational Assumptions'!J103</f>
        <v/>
      </c>
      <c r="K141" s="361">
        <f>'03 Operational Assumptions'!K103</f>
        <v/>
      </c>
      <c r="L141" s="361">
        <f>'03 Operational Assumptions'!L103</f>
        <v/>
      </c>
      <c r="M141" s="361">
        <f>'03 Operational Assumptions'!M103</f>
        <v/>
      </c>
      <c r="N141" s="361">
        <f>SUM(J141:M141)</f>
        <v/>
      </c>
      <c r="O141" s="361">
        <f>'03 Operational Assumptions'!O103</f>
        <v/>
      </c>
      <c r="P141" s="361">
        <f>'03 Operational Assumptions'!P103</f>
        <v/>
      </c>
      <c r="Q141" s="361">
        <f>'03 Operational Assumptions'!Q103</f>
        <v/>
      </c>
      <c r="R141" s="361">
        <f>'03 Operational Assumptions'!R103</f>
        <v/>
      </c>
      <c r="S141" s="361">
        <f>SUM(O141:R141)</f>
        <v/>
      </c>
      <c r="T141" s="361">
        <f>'03 Operational Assumptions'!T103</f>
        <v/>
      </c>
      <c r="U141" s="361">
        <f>'03 Operational Assumptions'!U103</f>
        <v/>
      </c>
      <c r="V141" s="361">
        <f>'03 Operational Assumptions'!V103</f>
        <v/>
      </c>
      <c r="W141" s="361">
        <f>'03 Operational Assumptions'!W103</f>
        <v/>
      </c>
      <c r="X141" s="361">
        <f>SUM(T141:W141)</f>
        <v/>
      </c>
      <c r="Y141" s="361">
        <f>'03 Operational Assumptions'!Y103</f>
        <v/>
      </c>
      <c r="Z141" s="361">
        <f>'03 Operational Assumptions'!Z103</f>
        <v/>
      </c>
      <c r="AA141" s="361">
        <f>'03 Operational Assumptions'!AA103</f>
        <v/>
      </c>
      <c r="AB141" s="361">
        <f>'03 Operational Assumptions'!AB103</f>
        <v/>
      </c>
      <c r="AC141" s="361">
        <f>SUM(Y141:AB141)</f>
        <v/>
      </c>
      <c r="AD141" s="361">
        <f>'03 Operational Assumptions'!AD103</f>
        <v/>
      </c>
      <c r="AE141" s="361">
        <f>'03 Operational Assumptions'!AE103</f>
        <v/>
      </c>
      <c r="AF141" s="361">
        <f>'03 Operational Assumptions'!AF103</f>
        <v/>
      </c>
      <c r="AG141" s="361">
        <f>'03 Operational Assumptions'!AG103</f>
        <v/>
      </c>
      <c r="AH141" s="361">
        <f>SUM(AD141:AG141)</f>
        <v/>
      </c>
      <c r="AI141" s="361">
        <f>'03 Operational Assumptions'!AI103</f>
        <v/>
      </c>
      <c r="AJ141" s="361">
        <f>'03 Operational Assumptions'!AJ103</f>
        <v/>
      </c>
      <c r="AK141" s="361">
        <f>'03 Operational Assumptions'!AK103</f>
        <v/>
      </c>
      <c r="AL141" s="361">
        <f>'03 Operational Assumptions'!AL103</f>
        <v/>
      </c>
      <c r="AM141" s="361">
        <f>SUM(AI141:AL141)</f>
        <v/>
      </c>
      <c r="AN141" s="361">
        <f>'03 Operational Assumptions'!AN103</f>
        <v/>
      </c>
      <c r="AO141" s="361">
        <f>'03 Operational Assumptions'!AO103</f>
        <v/>
      </c>
      <c r="AP141" s="361">
        <f>'03 Operational Assumptions'!AP103</f>
        <v/>
      </c>
      <c r="AQ141" s="361">
        <f>'03 Operational Assumptions'!AQ103</f>
        <v/>
      </c>
      <c r="AR141" s="361">
        <f>SUM(AN141:AQ141)</f>
        <v/>
      </c>
    </row>
    <row r="142" ht="13.5" customHeight="1" s="290">
      <c r="A142" s="339" t="n"/>
      <c r="B142" s="370" t="inlineStr">
        <is>
          <t xml:space="preserve">  Attrition Rate — Junior</t>
        </is>
      </c>
      <c r="C142" s="371" t="inlineStr">
        <is>
          <t>%/qtr</t>
        </is>
      </c>
      <c r="D142" s="372" t="inlineStr">
        <is>
          <t>← '03 Operational Assumptions' row 107 (Active)</t>
        </is>
      </c>
      <c r="E142" s="361">
        <f>'03 Operational Assumptions'!E107</f>
        <v/>
      </c>
      <c r="F142" s="361">
        <f>'03 Operational Assumptions'!F107</f>
        <v/>
      </c>
      <c r="G142" s="361">
        <f>'03 Operational Assumptions'!G107</f>
        <v/>
      </c>
      <c r="H142" s="361">
        <f>'03 Operational Assumptions'!H107</f>
        <v/>
      </c>
      <c r="I142" s="361">
        <f>AVERAGE(E142:H142)</f>
        <v/>
      </c>
      <c r="J142" s="361">
        <f>'03 Operational Assumptions'!J107</f>
        <v/>
      </c>
      <c r="K142" s="361">
        <f>'03 Operational Assumptions'!K107</f>
        <v/>
      </c>
      <c r="L142" s="361">
        <f>'03 Operational Assumptions'!L107</f>
        <v/>
      </c>
      <c r="M142" s="361">
        <f>'03 Operational Assumptions'!M107</f>
        <v/>
      </c>
      <c r="N142" s="361">
        <f>AVERAGE(J142:M142)</f>
        <v/>
      </c>
      <c r="O142" s="361">
        <f>'03 Operational Assumptions'!O107</f>
        <v/>
      </c>
      <c r="P142" s="361">
        <f>'03 Operational Assumptions'!P107</f>
        <v/>
      </c>
      <c r="Q142" s="361">
        <f>'03 Operational Assumptions'!Q107</f>
        <v/>
      </c>
      <c r="R142" s="361">
        <f>'03 Operational Assumptions'!R107</f>
        <v/>
      </c>
      <c r="S142" s="361">
        <f>AVERAGE(O142:R142)</f>
        <v/>
      </c>
      <c r="T142" s="361">
        <f>'03 Operational Assumptions'!T107</f>
        <v/>
      </c>
      <c r="U142" s="361">
        <f>'03 Operational Assumptions'!U107</f>
        <v/>
      </c>
      <c r="V142" s="361">
        <f>'03 Operational Assumptions'!V107</f>
        <v/>
      </c>
      <c r="W142" s="361">
        <f>'03 Operational Assumptions'!W107</f>
        <v/>
      </c>
      <c r="X142" s="361">
        <f>AVERAGE(T142:W142)</f>
        <v/>
      </c>
      <c r="Y142" s="361">
        <f>'03 Operational Assumptions'!Y107</f>
        <v/>
      </c>
      <c r="Z142" s="361">
        <f>'03 Operational Assumptions'!Z107</f>
        <v/>
      </c>
      <c r="AA142" s="361">
        <f>'03 Operational Assumptions'!AA107</f>
        <v/>
      </c>
      <c r="AB142" s="361">
        <f>'03 Operational Assumptions'!AB107</f>
        <v/>
      </c>
      <c r="AC142" s="361">
        <f>AVERAGE(Y142:AB142)</f>
        <v/>
      </c>
      <c r="AD142" s="361">
        <f>'03 Operational Assumptions'!AD107</f>
        <v/>
      </c>
      <c r="AE142" s="361">
        <f>'03 Operational Assumptions'!AE107</f>
        <v/>
      </c>
      <c r="AF142" s="361">
        <f>'03 Operational Assumptions'!AF107</f>
        <v/>
      </c>
      <c r="AG142" s="361">
        <f>'03 Operational Assumptions'!AG107</f>
        <v/>
      </c>
      <c r="AH142" s="361">
        <f>AVERAGE(AD142:AG142)</f>
        <v/>
      </c>
      <c r="AI142" s="361">
        <f>'03 Operational Assumptions'!AI107</f>
        <v/>
      </c>
      <c r="AJ142" s="361">
        <f>'03 Operational Assumptions'!AJ107</f>
        <v/>
      </c>
      <c r="AK142" s="361">
        <f>'03 Operational Assumptions'!AK107</f>
        <v/>
      </c>
      <c r="AL142" s="361">
        <f>'03 Operational Assumptions'!AL107</f>
        <v/>
      </c>
      <c r="AM142" s="361">
        <f>AVERAGE(AI142:AL142)</f>
        <v/>
      </c>
      <c r="AN142" s="361">
        <f>'03 Operational Assumptions'!AN107</f>
        <v/>
      </c>
      <c r="AO142" s="361">
        <f>'03 Operational Assumptions'!AO107</f>
        <v/>
      </c>
      <c r="AP142" s="361">
        <f>'03 Operational Assumptions'!AP107</f>
        <v/>
      </c>
      <c r="AQ142" s="361">
        <f>'03 Operational Assumptions'!AQ107</f>
        <v/>
      </c>
      <c r="AR142" s="361">
        <f>AVERAGE(AN142:AQ142)</f>
        <v/>
      </c>
    </row>
    <row r="143" ht="13.5" customHeight="1" s="290">
      <c r="A143" s="339" t="n"/>
      <c r="B143" s="373" t="inlineStr">
        <is>
          <t xml:space="preserve">  Attrition Count — Junior</t>
        </is>
      </c>
      <c r="C143" s="374" t="inlineStr">
        <is>
          <t>#/qtr</t>
        </is>
      </c>
      <c r="D143" s="375" t="inlineStr">
        <is>
          <t xml:space="preserve"> attrition rate × Beginning HC</t>
        </is>
      </c>
      <c r="E143" s="376">
        <f>E142*E140</f>
        <v/>
      </c>
      <c r="F143" s="376">
        <f>F142*F140</f>
        <v/>
      </c>
      <c r="G143" s="376">
        <f>G142*G140</f>
        <v/>
      </c>
      <c r="H143" s="376">
        <f>H142*H140</f>
        <v/>
      </c>
      <c r="I143" s="344">
        <f>SUM(E143:H143)</f>
        <v/>
      </c>
      <c r="J143" s="376">
        <f>J142*J140</f>
        <v/>
      </c>
      <c r="K143" s="376">
        <f>K142*K140</f>
        <v/>
      </c>
      <c r="L143" s="376">
        <f>L142*L140</f>
        <v/>
      </c>
      <c r="M143" s="376">
        <f>M142*M140</f>
        <v/>
      </c>
      <c r="N143" s="344">
        <f>SUM(J143:M143)</f>
        <v/>
      </c>
      <c r="O143" s="376">
        <f>O142*O140</f>
        <v/>
      </c>
      <c r="P143" s="376">
        <f>P142*P140</f>
        <v/>
      </c>
      <c r="Q143" s="376">
        <f>Q142*Q140</f>
        <v/>
      </c>
      <c r="R143" s="376">
        <f>R142*R140</f>
        <v/>
      </c>
      <c r="S143" s="344">
        <f>SUM(O143:R143)</f>
        <v/>
      </c>
      <c r="T143" s="376">
        <f>T142*T140</f>
        <v/>
      </c>
      <c r="U143" s="376">
        <f>U142*U140</f>
        <v/>
      </c>
      <c r="V143" s="376">
        <f>V142*V140</f>
        <v/>
      </c>
      <c r="W143" s="376">
        <f>W142*W140</f>
        <v/>
      </c>
      <c r="X143" s="344">
        <f>SUM(T143:W143)</f>
        <v/>
      </c>
      <c r="Y143" s="376">
        <f>Y142*Y140</f>
        <v/>
      </c>
      <c r="Z143" s="376">
        <f>Z142*Z140</f>
        <v/>
      </c>
      <c r="AA143" s="376">
        <f>AA142*AA140</f>
        <v/>
      </c>
      <c r="AB143" s="376">
        <f>AB142*AB140</f>
        <v/>
      </c>
      <c r="AC143" s="344">
        <f>SUM(Y143:AB143)</f>
        <v/>
      </c>
      <c r="AD143" s="376">
        <f>AD142*AD140</f>
        <v/>
      </c>
      <c r="AE143" s="376">
        <f>AE142*AE140</f>
        <v/>
      </c>
      <c r="AF143" s="376">
        <f>AF142*AF140</f>
        <v/>
      </c>
      <c r="AG143" s="376">
        <f>AG142*AG140</f>
        <v/>
      </c>
      <c r="AH143" s="344">
        <f>SUM(AD143:AG143)</f>
        <v/>
      </c>
      <c r="AI143" s="376">
        <f>AI142*AI140</f>
        <v/>
      </c>
      <c r="AJ143" s="376">
        <f>AJ142*AJ140</f>
        <v/>
      </c>
      <c r="AK143" s="376">
        <f>AK142*AK140</f>
        <v/>
      </c>
      <c r="AL143" s="376">
        <f>AL142*AL140</f>
        <v/>
      </c>
      <c r="AM143" s="344">
        <f>SUM(AI143:AL143)</f>
        <v/>
      </c>
      <c r="AN143" s="376">
        <f>AN142*AN140</f>
        <v/>
      </c>
      <c r="AO143" s="376">
        <f>AO142*AO140</f>
        <v/>
      </c>
      <c r="AP143" s="376">
        <f>AP142*AP140</f>
        <v/>
      </c>
      <c r="AQ143" s="376">
        <f>AQ142*AQ140</f>
        <v/>
      </c>
      <c r="AR143" s="344">
        <f>SUM(AN143:AQ143)</f>
        <v/>
      </c>
    </row>
    <row r="144" ht="13.5" customHeight="1" s="290">
      <c r="A144" s="339" t="n"/>
      <c r="B144" s="370" t="inlineStr">
        <is>
          <t xml:space="preserve">  Ramp Factor Yr1 — Junior</t>
        </is>
      </c>
      <c r="C144" s="371" t="inlineStr">
        <is>
          <t>% of mature</t>
        </is>
      </c>
      <c r="D144" s="372" t="inlineStr">
        <is>
          <t>← '03 Operational Assumptions' row 153 col G (Yr1 ramp)</t>
        </is>
      </c>
      <c r="E144" s="361">
        <f>'03 Operational Assumptions'!G153</f>
        <v/>
      </c>
      <c r="F144" s="361">
        <f>'03 Operational Assumptions'!G153</f>
        <v/>
      </c>
      <c r="G144" s="361">
        <f>'03 Operational Assumptions'!G153</f>
        <v/>
      </c>
      <c r="H144" s="361">
        <f>'03 Operational Assumptions'!G153</f>
        <v/>
      </c>
      <c r="I144" s="361">
        <f>AVERAGE(E144:H144)</f>
        <v/>
      </c>
      <c r="J144" s="361">
        <f>'03 Operational Assumptions'!G153</f>
        <v/>
      </c>
      <c r="K144" s="361">
        <f>'03 Operational Assumptions'!G153</f>
        <v/>
      </c>
      <c r="L144" s="361">
        <f>'03 Operational Assumptions'!G153</f>
        <v/>
      </c>
      <c r="M144" s="361">
        <f>'03 Operational Assumptions'!G153</f>
        <v/>
      </c>
      <c r="N144" s="361">
        <f>AVERAGE(J144:M144)</f>
        <v/>
      </c>
      <c r="O144" s="361">
        <f>'03 Operational Assumptions'!G153</f>
        <v/>
      </c>
      <c r="P144" s="361">
        <f>'03 Operational Assumptions'!G153</f>
        <v/>
      </c>
      <c r="Q144" s="361">
        <f>'03 Operational Assumptions'!G153</f>
        <v/>
      </c>
      <c r="R144" s="361">
        <f>'03 Operational Assumptions'!G153</f>
        <v/>
      </c>
      <c r="S144" s="361">
        <f>AVERAGE(O144:R144)</f>
        <v/>
      </c>
      <c r="T144" s="361">
        <f>'03 Operational Assumptions'!G153</f>
        <v/>
      </c>
      <c r="U144" s="361">
        <f>'03 Operational Assumptions'!G153</f>
        <v/>
      </c>
      <c r="V144" s="361">
        <f>'03 Operational Assumptions'!G153</f>
        <v/>
      </c>
      <c r="W144" s="361">
        <f>'03 Operational Assumptions'!G153</f>
        <v/>
      </c>
      <c r="X144" s="361">
        <f>AVERAGE(T144:W144)</f>
        <v/>
      </c>
      <c r="Y144" s="361">
        <f>'03 Operational Assumptions'!G153</f>
        <v/>
      </c>
      <c r="Z144" s="361">
        <f>'03 Operational Assumptions'!G153</f>
        <v/>
      </c>
      <c r="AA144" s="361">
        <f>'03 Operational Assumptions'!G153</f>
        <v/>
      </c>
      <c r="AB144" s="361">
        <f>'03 Operational Assumptions'!G153</f>
        <v/>
      </c>
      <c r="AC144" s="361">
        <f>AVERAGE(Y144:AB144)</f>
        <v/>
      </c>
      <c r="AD144" s="361">
        <f>'03 Operational Assumptions'!G153</f>
        <v/>
      </c>
      <c r="AE144" s="361">
        <f>'03 Operational Assumptions'!G153</f>
        <v/>
      </c>
      <c r="AF144" s="361">
        <f>'03 Operational Assumptions'!G153</f>
        <v/>
      </c>
      <c r="AG144" s="361">
        <f>'03 Operational Assumptions'!G153</f>
        <v/>
      </c>
      <c r="AH144" s="361">
        <f>AVERAGE(AD144:AG144)</f>
        <v/>
      </c>
      <c r="AI144" s="361">
        <f>'03 Operational Assumptions'!G153</f>
        <v/>
      </c>
      <c r="AJ144" s="361">
        <f>'03 Operational Assumptions'!G153</f>
        <v/>
      </c>
      <c r="AK144" s="361">
        <f>'03 Operational Assumptions'!G153</f>
        <v/>
      </c>
      <c r="AL144" s="361">
        <f>'03 Operational Assumptions'!G153</f>
        <v/>
      </c>
      <c r="AM144" s="361">
        <f>AVERAGE(AI144:AL144)</f>
        <v/>
      </c>
      <c r="AN144" s="361">
        <f>'03 Operational Assumptions'!G153</f>
        <v/>
      </c>
      <c r="AO144" s="361">
        <f>'03 Operational Assumptions'!G153</f>
        <v/>
      </c>
      <c r="AP144" s="361">
        <f>'03 Operational Assumptions'!G153</f>
        <v/>
      </c>
      <c r="AQ144" s="361">
        <f>'03 Operational Assumptions'!G153</f>
        <v/>
      </c>
      <c r="AR144" s="361">
        <f>AVERAGE(AN144:AQ144)</f>
        <v/>
      </c>
    </row>
    <row r="145" ht="13.5" customHeight="1" s="290">
      <c r="A145" s="339" t="n"/>
      <c r="B145" s="377" t="inlineStr">
        <is>
          <t xml:space="preserve">  ★ EPE — Junior</t>
        </is>
      </c>
      <c r="C145" s="378" t="inlineStr">
        <is>
          <t>EPE</t>
        </is>
      </c>
      <c r="D145" s="375" t="inlineStr">
        <is>
          <t xml:space="preserve"> MAX(0, beg hc + (hires × Ramp) − Attrition)))</t>
        </is>
      </c>
      <c r="E145" s="379">
        <f>MAX(0,E140+(E141*E144)-E143)</f>
        <v/>
      </c>
      <c r="F145" s="379">
        <f>MAX(0,F140+(F141*F144)-F143)</f>
        <v/>
      </c>
      <c r="G145" s="379">
        <f>MAX(0,G140+(G141*G144)-G143)</f>
        <v/>
      </c>
      <c r="H145" s="379">
        <f>MAX(0,H140+(H141*H144)-H143)</f>
        <v/>
      </c>
      <c r="I145" s="379">
        <f>AVERAGE(E145:H145)</f>
        <v/>
      </c>
      <c r="J145" s="379">
        <f>MAX(0,J140+(J141*J144)-J143)</f>
        <v/>
      </c>
      <c r="K145" s="379">
        <f>MAX(0,K140+(K141*K144)-K143)</f>
        <v/>
      </c>
      <c r="L145" s="379">
        <f>MAX(0,L140+(L141*L144)-L143)</f>
        <v/>
      </c>
      <c r="M145" s="379">
        <f>MAX(0,M140+(M141*M144)-M143)</f>
        <v/>
      </c>
      <c r="N145" s="379">
        <f>AVERAGE(J145:M145)</f>
        <v/>
      </c>
      <c r="O145" s="379">
        <f>MAX(0,O140+(O141*O144)-O143)</f>
        <v/>
      </c>
      <c r="P145" s="379">
        <f>MAX(0,P140+(P141*P144)-P143)</f>
        <v/>
      </c>
      <c r="Q145" s="379">
        <f>MAX(0,Q140+(Q141*Q144)-Q143)</f>
        <v/>
      </c>
      <c r="R145" s="379">
        <f>MAX(0,R140+(R141*R144)-R143)</f>
        <v/>
      </c>
      <c r="S145" s="379">
        <f>AVERAGE(O145:R145)</f>
        <v/>
      </c>
      <c r="T145" s="379">
        <f>MAX(0,T140+(T141*T144)-T143)</f>
        <v/>
      </c>
      <c r="U145" s="379">
        <f>MAX(0,U140+(U141*U144)-U143)</f>
        <v/>
      </c>
      <c r="V145" s="379">
        <f>MAX(0,V140+(V141*V144)-V143)</f>
        <v/>
      </c>
      <c r="W145" s="379">
        <f>MAX(0,W140+(W141*W144)-W143)</f>
        <v/>
      </c>
      <c r="X145" s="379">
        <f>AVERAGE(T145:W145)</f>
        <v/>
      </c>
      <c r="Y145" s="379">
        <f>MAX(0,Y140+(Y141*Y144)-Y143)</f>
        <v/>
      </c>
      <c r="Z145" s="379">
        <f>MAX(0,Z140+(Z141*Z144)-Z143)</f>
        <v/>
      </c>
      <c r="AA145" s="379">
        <f>MAX(0,AA140+(AA141*AA144)-AA143)</f>
        <v/>
      </c>
      <c r="AB145" s="379">
        <f>MAX(0,AB140+(AB141*AB144)-AB143)</f>
        <v/>
      </c>
      <c r="AC145" s="379">
        <f>AVERAGE(Y145:AB145)</f>
        <v/>
      </c>
      <c r="AD145" s="379">
        <f>MAX(0,AD140+(AD141*AD144)-AD143)</f>
        <v/>
      </c>
      <c r="AE145" s="379">
        <f>MAX(0,AE140+(AE141*AE144)-AE143)</f>
        <v/>
      </c>
      <c r="AF145" s="379">
        <f>MAX(0,AF140+(AF141*AF144)-AF143)</f>
        <v/>
      </c>
      <c r="AG145" s="379">
        <f>MAX(0,AG140+(AG141*AG144)-AG143)</f>
        <v/>
      </c>
      <c r="AH145" s="379">
        <f>AVERAGE(AD145:AG145)</f>
        <v/>
      </c>
      <c r="AI145" s="379">
        <f>MAX(0,AI140+(AI141*AI144)-AI143)</f>
        <v/>
      </c>
      <c r="AJ145" s="379">
        <f>MAX(0,AJ140+(AJ141*AJ144)-AJ143)</f>
        <v/>
      </c>
      <c r="AK145" s="379">
        <f>MAX(0,AK140+(AK141*AK144)-AK143)</f>
        <v/>
      </c>
      <c r="AL145" s="379">
        <f>MAX(0,AL140+(AL141*AL144)-AL143)</f>
        <v/>
      </c>
      <c r="AM145" s="379">
        <f>AVERAGE(AI145:AL145)</f>
        <v/>
      </c>
      <c r="AN145" s="379">
        <f>MAX(0,AN140+(AN141*AN144)-AN143)</f>
        <v/>
      </c>
      <c r="AO145" s="379">
        <f>MAX(0,AO140+(AO141*AO144)-AO143)</f>
        <v/>
      </c>
      <c r="AP145" s="379">
        <f>MAX(0,AP140+(AP141*AP144)-AP143)</f>
        <v/>
      </c>
      <c r="AQ145" s="379">
        <f>MAX(0,AQ140+(AQ141*AQ144)-AQ143)</f>
        <v/>
      </c>
      <c r="AR145" s="379">
        <f>AVERAGE(AN145:AQ145)</f>
        <v/>
      </c>
    </row>
    <row r="146" ht="13.5" customHeight="1" s="290">
      <c r="A146" s="339" t="n"/>
      <c r="B146" s="373" t="inlineStr">
        <is>
          <t xml:space="preserve">  Ending HC — Junior</t>
        </is>
      </c>
      <c r="C146" s="374" t="inlineStr">
        <is>
          <t>#</t>
        </is>
      </c>
      <c r="D146" s="375" t="inlineStr">
        <is>
          <t xml:space="preserve"> MAX(0, beg hc + hires − Attrition Count))</t>
        </is>
      </c>
      <c r="E146" s="376">
        <f>MAX(0,E140+E141-E143)</f>
        <v/>
      </c>
      <c r="F146" s="376">
        <f>MAX(0,F140+F141-F143)</f>
        <v/>
      </c>
      <c r="G146" s="376">
        <f>MAX(0,G140+G141-G143)</f>
        <v/>
      </c>
      <c r="H146" s="376">
        <f>MAX(0,H140+H141-H143)</f>
        <v/>
      </c>
      <c r="I146" s="344">
        <f>AVERAGE(E146:H146)</f>
        <v/>
      </c>
      <c r="J146" s="376">
        <f>MAX(0,J140+J141-J143)</f>
        <v/>
      </c>
      <c r="K146" s="376">
        <f>MAX(0,K140+K141-K143)</f>
        <v/>
      </c>
      <c r="L146" s="376">
        <f>MAX(0,L140+L141-L143)</f>
        <v/>
      </c>
      <c r="M146" s="376">
        <f>MAX(0,M140+M141-M143)</f>
        <v/>
      </c>
      <c r="N146" s="344">
        <f>AVERAGE(J146:M146)</f>
        <v/>
      </c>
      <c r="O146" s="376">
        <f>MAX(0,O140+O141-O143)</f>
        <v/>
      </c>
      <c r="P146" s="376">
        <f>MAX(0,P140+P141-P143)</f>
        <v/>
      </c>
      <c r="Q146" s="376">
        <f>MAX(0,Q140+Q141-Q143)</f>
        <v/>
      </c>
      <c r="R146" s="376">
        <f>MAX(0,R140+R141-R143)</f>
        <v/>
      </c>
      <c r="S146" s="344">
        <f>AVERAGE(O146:R146)</f>
        <v/>
      </c>
      <c r="T146" s="376">
        <f>MAX(0,T140+T141-T143)</f>
        <v/>
      </c>
      <c r="U146" s="376">
        <f>MAX(0,U140+U141-U143)</f>
        <v/>
      </c>
      <c r="V146" s="376">
        <f>MAX(0,V140+V141-V143)</f>
        <v/>
      </c>
      <c r="W146" s="376">
        <f>MAX(0,W140+W141-W143)</f>
        <v/>
      </c>
      <c r="X146" s="344">
        <f>AVERAGE(T146:W146)</f>
        <v/>
      </c>
      <c r="Y146" s="376">
        <f>MAX(0,Y140+Y141-Y143)</f>
        <v/>
      </c>
      <c r="Z146" s="376">
        <f>MAX(0,Z140+Z141-Z143)</f>
        <v/>
      </c>
      <c r="AA146" s="376">
        <f>MAX(0,AA140+AA141-AA143)</f>
        <v/>
      </c>
      <c r="AB146" s="376">
        <f>MAX(0,AB140+AB141-AB143)</f>
        <v/>
      </c>
      <c r="AC146" s="344">
        <f>AVERAGE(Y146:AB146)</f>
        <v/>
      </c>
      <c r="AD146" s="376">
        <f>MAX(0,AD140+AD141-AD143)</f>
        <v/>
      </c>
      <c r="AE146" s="376">
        <f>MAX(0,AE140+AE141-AE143)</f>
        <v/>
      </c>
      <c r="AF146" s="376">
        <f>MAX(0,AF140+AF141-AF143)</f>
        <v/>
      </c>
      <c r="AG146" s="376">
        <f>MAX(0,AG140+AG141-AG143)</f>
        <v/>
      </c>
      <c r="AH146" s="344">
        <f>AVERAGE(AD146:AG146)</f>
        <v/>
      </c>
      <c r="AI146" s="376">
        <f>MAX(0,AI140+AI141-AI143)</f>
        <v/>
      </c>
      <c r="AJ146" s="376">
        <f>MAX(0,AJ140+AJ141-AJ143)</f>
        <v/>
      </c>
      <c r="AK146" s="376">
        <f>MAX(0,AK140+AK141-AK143)</f>
        <v/>
      </c>
      <c r="AL146" s="376">
        <f>MAX(0,AL140+AL141-AL143)</f>
        <v/>
      </c>
      <c r="AM146" s="344">
        <f>AVERAGE(AI146:AL146)</f>
        <v/>
      </c>
      <c r="AN146" s="376">
        <f>MAX(0,AN140+AN141-AN143)</f>
        <v/>
      </c>
      <c r="AO146" s="376">
        <f>MAX(0,AO140+AO141-AO143)</f>
        <v/>
      </c>
      <c r="AP146" s="376">
        <f>MAX(0,AP140+AP141-AP143)</f>
        <v/>
      </c>
      <c r="AQ146" s="376">
        <f>MAX(0,AQ140+AQ141-AQ143)</f>
        <v/>
      </c>
      <c r="AR146" s="344">
        <f>AVERAGE(AN146:AQ146)</f>
        <v/>
      </c>
    </row>
    <row r="147" ht="13.5" customHeight="1" s="290">
      <c r="A147" s="339" t="n"/>
      <c r="B147" s="373" t="inlineStr">
        <is>
          <t xml:space="preserve">  Ramp Drag — Junior</t>
        </is>
      </c>
      <c r="C147" s="374" t="inlineStr">
        <is>
          <t>#</t>
        </is>
      </c>
      <c r="D147" s="375" t="inlineStr">
        <is>
          <t xml:space="preserve"> ending hc − EPE  (un-ramped producer count)</t>
        </is>
      </c>
      <c r="E147" s="376">
        <f>MAX(0,E146-E145)</f>
        <v/>
      </c>
      <c r="F147" s="376">
        <f>MAX(0,F146-F145)</f>
        <v/>
      </c>
      <c r="G147" s="376">
        <f>MAX(0,G146-G145)</f>
        <v/>
      </c>
      <c r="H147" s="376">
        <f>MAX(0,H146-H145)</f>
        <v/>
      </c>
      <c r="I147" s="344">
        <f>SUM(E147:H147)</f>
        <v/>
      </c>
      <c r="J147" s="376">
        <f>MAX(0,J146-J145)</f>
        <v/>
      </c>
      <c r="K147" s="376">
        <f>MAX(0,K146-K145)</f>
        <v/>
      </c>
      <c r="L147" s="376">
        <f>MAX(0,L146-L145)</f>
        <v/>
      </c>
      <c r="M147" s="376">
        <f>MAX(0,M146-M145)</f>
        <v/>
      </c>
      <c r="N147" s="344">
        <f>SUM(J147:M147)</f>
        <v/>
      </c>
      <c r="O147" s="376">
        <f>MAX(0,O146-O145)</f>
        <v/>
      </c>
      <c r="P147" s="376">
        <f>MAX(0,P146-P145)</f>
        <v/>
      </c>
      <c r="Q147" s="376">
        <f>MAX(0,Q146-Q145)</f>
        <v/>
      </c>
      <c r="R147" s="376">
        <f>MAX(0,R146-R145)</f>
        <v/>
      </c>
      <c r="S147" s="344">
        <f>SUM(O147:R147)</f>
        <v/>
      </c>
      <c r="T147" s="376">
        <f>MAX(0,T146-T145)</f>
        <v/>
      </c>
      <c r="U147" s="376">
        <f>MAX(0,U146-U145)</f>
        <v/>
      </c>
      <c r="V147" s="376">
        <f>MAX(0,V146-V145)</f>
        <v/>
      </c>
      <c r="W147" s="376">
        <f>MAX(0,W146-W145)</f>
        <v/>
      </c>
      <c r="X147" s="344">
        <f>SUM(T147:W147)</f>
        <v/>
      </c>
      <c r="Y147" s="376">
        <f>MAX(0,Y146-Y145)</f>
        <v/>
      </c>
      <c r="Z147" s="376">
        <f>MAX(0,Z146-Z145)</f>
        <v/>
      </c>
      <c r="AA147" s="376">
        <f>MAX(0,AA146-AA145)</f>
        <v/>
      </c>
      <c r="AB147" s="376">
        <f>MAX(0,AB146-AB145)</f>
        <v/>
      </c>
      <c r="AC147" s="344">
        <f>SUM(Y147:AB147)</f>
        <v/>
      </c>
      <c r="AD147" s="376">
        <f>MAX(0,AD146-AD145)</f>
        <v/>
      </c>
      <c r="AE147" s="376">
        <f>MAX(0,AE146-AE145)</f>
        <v/>
      </c>
      <c r="AF147" s="376">
        <f>MAX(0,AF146-AF145)</f>
        <v/>
      </c>
      <c r="AG147" s="376">
        <f>MAX(0,AG146-AG145)</f>
        <v/>
      </c>
      <c r="AH147" s="344">
        <f>SUM(AD147:AG147)</f>
        <v/>
      </c>
      <c r="AI147" s="376">
        <f>MAX(0,AI146-AI145)</f>
        <v/>
      </c>
      <c r="AJ147" s="376">
        <f>MAX(0,AJ146-AJ145)</f>
        <v/>
      </c>
      <c r="AK147" s="376">
        <f>MAX(0,AK146-AK145)</f>
        <v/>
      </c>
      <c r="AL147" s="376">
        <f>MAX(0,AL146-AL145)</f>
        <v/>
      </c>
      <c r="AM147" s="344">
        <f>SUM(AI147:AL147)</f>
        <v/>
      </c>
      <c r="AN147" s="376">
        <f>MAX(0,AN146-AN145)</f>
        <v/>
      </c>
      <c r="AO147" s="376">
        <f>MAX(0,AO146-AO145)</f>
        <v/>
      </c>
      <c r="AP147" s="376">
        <f>MAX(0,AP146-AP145)</f>
        <v/>
      </c>
      <c r="AQ147" s="376">
        <f>MAX(0,AQ146-AQ145)</f>
        <v/>
      </c>
      <c r="AR147" s="344">
        <f>SUM(AN147:AQ147)</f>
        <v/>
      </c>
    </row>
    <row r="148" ht="13.5" customHeight="1" s="290">
      <c r="A148" s="339" t="n"/>
      <c r="B148" s="370" t="inlineStr">
        <is>
          <t xml:space="preserve">  Book Loss Factor — Junior</t>
        </is>
      </c>
      <c r="C148" s="371" t="inlineStr">
        <is>
          <t>%</t>
        </is>
      </c>
      <c r="D148" s="372" t="inlineStr">
        <is>
          <t>← '03 Operational Assumptions' row 164 col G</t>
        </is>
      </c>
      <c r="E148" s="361">
        <f>'03 Operational Assumptions'!G164</f>
        <v/>
      </c>
      <c r="F148" s="361">
        <f>'03 Operational Assumptions'!G164</f>
        <v/>
      </c>
      <c r="G148" s="361">
        <f>'03 Operational Assumptions'!G164</f>
        <v/>
      </c>
      <c r="H148" s="361">
        <f>'03 Operational Assumptions'!G164</f>
        <v/>
      </c>
      <c r="I148" s="361">
        <f>AVERAGE(E148:H148)</f>
        <v/>
      </c>
      <c r="J148" s="361">
        <f>'03 Operational Assumptions'!G164</f>
        <v/>
      </c>
      <c r="K148" s="361">
        <f>'03 Operational Assumptions'!G164</f>
        <v/>
      </c>
      <c r="L148" s="361">
        <f>'03 Operational Assumptions'!G164</f>
        <v/>
      </c>
      <c r="M148" s="361">
        <f>'03 Operational Assumptions'!G164</f>
        <v/>
      </c>
      <c r="N148" s="361">
        <f>AVERAGE(J148:M148)</f>
        <v/>
      </c>
      <c r="O148" s="361">
        <f>'03 Operational Assumptions'!G164</f>
        <v/>
      </c>
      <c r="P148" s="361">
        <f>'03 Operational Assumptions'!G164</f>
        <v/>
      </c>
      <c r="Q148" s="361">
        <f>'03 Operational Assumptions'!G164</f>
        <v/>
      </c>
      <c r="R148" s="361">
        <f>'03 Operational Assumptions'!G164</f>
        <v/>
      </c>
      <c r="S148" s="361">
        <f>AVERAGE(O148:R148)</f>
        <v/>
      </c>
      <c r="T148" s="361">
        <f>'03 Operational Assumptions'!G164</f>
        <v/>
      </c>
      <c r="U148" s="361">
        <f>'03 Operational Assumptions'!G164</f>
        <v/>
      </c>
      <c r="V148" s="361">
        <f>'03 Operational Assumptions'!G164</f>
        <v/>
      </c>
      <c r="W148" s="361">
        <f>'03 Operational Assumptions'!G164</f>
        <v/>
      </c>
      <c r="X148" s="361">
        <f>AVERAGE(T148:W148)</f>
        <v/>
      </c>
      <c r="Y148" s="361">
        <f>'03 Operational Assumptions'!G164</f>
        <v/>
      </c>
      <c r="Z148" s="361">
        <f>'03 Operational Assumptions'!G164</f>
        <v/>
      </c>
      <c r="AA148" s="361">
        <f>'03 Operational Assumptions'!G164</f>
        <v/>
      </c>
      <c r="AB148" s="361">
        <f>'03 Operational Assumptions'!G164</f>
        <v/>
      </c>
      <c r="AC148" s="361">
        <f>AVERAGE(Y148:AB148)</f>
        <v/>
      </c>
      <c r="AD148" s="361">
        <f>'03 Operational Assumptions'!G164</f>
        <v/>
      </c>
      <c r="AE148" s="361">
        <f>'03 Operational Assumptions'!G164</f>
        <v/>
      </c>
      <c r="AF148" s="361">
        <f>'03 Operational Assumptions'!G164</f>
        <v/>
      </c>
      <c r="AG148" s="361">
        <f>'03 Operational Assumptions'!G164</f>
        <v/>
      </c>
      <c r="AH148" s="361">
        <f>AVERAGE(AD148:AG148)</f>
        <v/>
      </c>
      <c r="AI148" s="361">
        <f>'03 Operational Assumptions'!G164</f>
        <v/>
      </c>
      <c r="AJ148" s="361">
        <f>'03 Operational Assumptions'!G164</f>
        <v/>
      </c>
      <c r="AK148" s="361">
        <f>'03 Operational Assumptions'!G164</f>
        <v/>
      </c>
      <c r="AL148" s="361">
        <f>'03 Operational Assumptions'!G164</f>
        <v/>
      </c>
      <c r="AM148" s="361">
        <f>AVERAGE(AI148:AL148)</f>
        <v/>
      </c>
      <c r="AN148" s="361">
        <f>'03 Operational Assumptions'!G164</f>
        <v/>
      </c>
      <c r="AO148" s="361">
        <f>'03 Operational Assumptions'!G164</f>
        <v/>
      </c>
      <c r="AP148" s="361">
        <f>'03 Operational Assumptions'!G164</f>
        <v/>
      </c>
      <c r="AQ148" s="361">
        <f>'03 Operational Assumptions'!G164</f>
        <v/>
      </c>
      <c r="AR148" s="361">
        <f>AVERAGE(AN148:AQ148)</f>
        <v/>
      </c>
    </row>
    <row r="149" ht="13.5" customHeight="1" s="290">
      <c r="B149" s="380" t="inlineStr">
        <is>
          <t xml:space="preserve">  Mature GCI / EPE — Junior  [Placeholder]</t>
        </is>
      </c>
      <c r="C149" s="381" t="inlineStr">
        <is>
          <t>$K/EPE</t>
        </is>
      </c>
      <c r="D149" s="382" t="inlineStr">
        <is>
          <t>V1 MANUAL INPUT: Enter annualized GCI/EPE ($K) for this tier after Tab 05 is run. Book-loss drag = 0 until populated. No circular reference risk — this is a one-way input.</t>
        </is>
      </c>
      <c r="E149" s="383" t="n">
        <v>0</v>
      </c>
      <c r="F149" s="383" t="n">
        <v>0</v>
      </c>
      <c r="G149" s="383" t="n">
        <v>0</v>
      </c>
      <c r="H149" s="383" t="n">
        <v>0</v>
      </c>
      <c r="I149" s="384">
        <f>AVERAGE(E149:H149)</f>
        <v/>
      </c>
      <c r="J149" s="383" t="n">
        <v>0</v>
      </c>
      <c r="K149" s="383" t="n">
        <v>0</v>
      </c>
      <c r="L149" s="383" t="n">
        <v>0</v>
      </c>
      <c r="M149" s="383" t="n">
        <v>0</v>
      </c>
      <c r="N149" s="384">
        <f>AVERAGE(J149:M149)</f>
        <v/>
      </c>
      <c r="O149" s="383" t="n">
        <v>0</v>
      </c>
      <c r="P149" s="383" t="n">
        <v>0</v>
      </c>
      <c r="Q149" s="383" t="n">
        <v>0</v>
      </c>
      <c r="R149" s="383" t="n">
        <v>0</v>
      </c>
      <c r="S149" s="384">
        <f>AVERAGE(O149:R149)</f>
        <v/>
      </c>
      <c r="T149" s="383" t="n">
        <v>0</v>
      </c>
      <c r="U149" s="383" t="n">
        <v>0</v>
      </c>
      <c r="V149" s="383" t="n">
        <v>0</v>
      </c>
      <c r="W149" s="383" t="n">
        <v>0</v>
      </c>
      <c r="X149" s="384">
        <f>AVERAGE(T149:W149)</f>
        <v/>
      </c>
      <c r="Y149" s="383" t="n">
        <v>0</v>
      </c>
      <c r="Z149" s="383" t="n">
        <v>0</v>
      </c>
      <c r="AA149" s="383" t="n">
        <v>0</v>
      </c>
      <c r="AB149" s="383" t="n">
        <v>0</v>
      </c>
      <c r="AC149" s="384">
        <f>AVERAGE(Y149:AB149)</f>
        <v/>
      </c>
      <c r="AD149" s="383" t="n">
        <v>0</v>
      </c>
      <c r="AE149" s="383" t="n">
        <v>0</v>
      </c>
      <c r="AF149" s="383" t="n">
        <v>0</v>
      </c>
      <c r="AG149" s="383" t="n">
        <v>0</v>
      </c>
      <c r="AH149" s="384">
        <f>AVERAGE(AD149:AG149)</f>
        <v/>
      </c>
      <c r="AI149" s="383" t="n">
        <v>0</v>
      </c>
      <c r="AJ149" s="383" t="n">
        <v>0</v>
      </c>
      <c r="AK149" s="383" t="n">
        <v>0</v>
      </c>
      <c r="AL149" s="383" t="n">
        <v>0</v>
      </c>
      <c r="AM149" s="384">
        <f>AVERAGE(AI149:AL149)</f>
        <v/>
      </c>
      <c r="AN149" s="383" t="n">
        <v>0</v>
      </c>
      <c r="AO149" s="383" t="n">
        <v>0</v>
      </c>
      <c r="AP149" s="383" t="n">
        <v>0</v>
      </c>
      <c r="AQ149" s="383" t="n">
        <v>0</v>
      </c>
      <c r="AR149" s="384">
        <f>AVERAGE(AN149:AQ149)</f>
        <v/>
      </c>
    </row>
    <row r="150" ht="13.5" customHeight="1" s="290">
      <c r="A150" s="339" t="n"/>
      <c r="B150" s="373" t="inlineStr">
        <is>
          <t xml:space="preserve">  Book Loss GCI Drag — Junior</t>
        </is>
      </c>
      <c r="C150" s="374" t="inlineStr">
        <is>
          <t>$K</t>
        </is>
      </c>
      <c r="D150" s="375" t="inlineStr">
        <is>
          <t xml:space="preserve"> −(Attrition × Book Loss Factor × Mature GCI/EPE)</t>
        </is>
      </c>
      <c r="E150" s="376">
        <f>-MAX(0,E143*E148*E149)</f>
        <v/>
      </c>
      <c r="F150" s="376">
        <f>-MAX(0,F143*F148*F149)</f>
        <v/>
      </c>
      <c r="G150" s="376">
        <f>-MAX(0,G143*G148*G149)</f>
        <v/>
      </c>
      <c r="H150" s="376">
        <f>-MAX(0,H143*H148*H149)</f>
        <v/>
      </c>
      <c r="I150" s="344">
        <f>SUM(E150:H150)</f>
        <v/>
      </c>
      <c r="J150" s="376">
        <f>-MAX(0,J143*J148*J149)</f>
        <v/>
      </c>
      <c r="K150" s="376">
        <f>-MAX(0,K143*K148*K149)</f>
        <v/>
      </c>
      <c r="L150" s="376">
        <f>-MAX(0,L143*L148*L149)</f>
        <v/>
      </c>
      <c r="M150" s="376">
        <f>-MAX(0,M143*M148*M149)</f>
        <v/>
      </c>
      <c r="N150" s="344">
        <f>SUM(J150:M150)</f>
        <v/>
      </c>
      <c r="O150" s="376">
        <f>-MAX(0,O143*O148*O149)</f>
        <v/>
      </c>
      <c r="P150" s="376">
        <f>-MAX(0,P143*P148*P149)</f>
        <v/>
      </c>
      <c r="Q150" s="376">
        <f>-MAX(0,Q143*Q148*Q149)</f>
        <v/>
      </c>
      <c r="R150" s="376">
        <f>-MAX(0,R143*R148*R149)</f>
        <v/>
      </c>
      <c r="S150" s="344">
        <f>SUM(O150:R150)</f>
        <v/>
      </c>
      <c r="T150" s="376">
        <f>-MAX(0,T143*T148*T149)</f>
        <v/>
      </c>
      <c r="U150" s="376">
        <f>-MAX(0,U143*U148*U149)</f>
        <v/>
      </c>
      <c r="V150" s="376">
        <f>-MAX(0,V143*V148*V149)</f>
        <v/>
      </c>
      <c r="W150" s="376">
        <f>-MAX(0,W143*W148*W149)</f>
        <v/>
      </c>
      <c r="X150" s="344">
        <f>SUM(T150:W150)</f>
        <v/>
      </c>
      <c r="Y150" s="376">
        <f>-MAX(0,Y143*Y148*Y149)</f>
        <v/>
      </c>
      <c r="Z150" s="376">
        <f>-MAX(0,Z143*Z148*Z149)</f>
        <v/>
      </c>
      <c r="AA150" s="376">
        <f>-MAX(0,AA143*AA148*AA149)</f>
        <v/>
      </c>
      <c r="AB150" s="376">
        <f>-MAX(0,AB143*AB148*AB149)</f>
        <v/>
      </c>
      <c r="AC150" s="344">
        <f>SUM(Y150:AB150)</f>
        <v/>
      </c>
      <c r="AD150" s="376">
        <f>-MAX(0,AD143*AD148*AD149)</f>
        <v/>
      </c>
      <c r="AE150" s="376">
        <f>-MAX(0,AE143*AE148*AE149)</f>
        <v/>
      </c>
      <c r="AF150" s="376">
        <f>-MAX(0,AF143*AF148*AF149)</f>
        <v/>
      </c>
      <c r="AG150" s="376">
        <f>-MAX(0,AG143*AG148*AG149)</f>
        <v/>
      </c>
      <c r="AH150" s="344">
        <f>SUM(AD150:AG150)</f>
        <v/>
      </c>
      <c r="AI150" s="376">
        <f>-MAX(0,AI143*AI148*AI149)</f>
        <v/>
      </c>
      <c r="AJ150" s="376">
        <f>-MAX(0,AJ143*AJ148*AJ149)</f>
        <v/>
      </c>
      <c r="AK150" s="376">
        <f>-MAX(0,AK143*AK148*AK149)</f>
        <v/>
      </c>
      <c r="AL150" s="376">
        <f>-MAX(0,AL143*AL148*AL149)</f>
        <v/>
      </c>
      <c r="AM150" s="344">
        <f>SUM(AI150:AL150)</f>
        <v/>
      </c>
      <c r="AN150" s="376">
        <f>-MAX(0,AN143*AN148*AN149)</f>
        <v/>
      </c>
      <c r="AO150" s="376">
        <f>-MAX(0,AO143*AO148*AO149)</f>
        <v/>
      </c>
      <c r="AP150" s="376">
        <f>-MAX(0,AP143*AP148*AP149)</f>
        <v/>
      </c>
      <c r="AQ150" s="376">
        <f>-MAX(0,AQ143*AQ148*AQ149)</f>
        <v/>
      </c>
      <c r="AR150" s="344">
        <f>SUM(AN150:AQ150)</f>
        <v/>
      </c>
    </row>
    <row r="151" ht="4.5" customHeight="1" s="290"/>
    <row r="152" ht="3" customHeight="1" s="290"/>
    <row r="153" ht="15" customHeight="1" s="290">
      <c r="A153" s="307" t="inlineStr">
        <is>
          <t xml:space="preserve">    Debt &amp; Equity — LINE TOTALS</t>
        </is>
      </c>
    </row>
    <row r="154" ht="13.5" customHeight="1" s="290">
      <c r="A154" s="339" t="n"/>
      <c r="B154" s="385" t="inlineStr">
        <is>
          <t xml:space="preserve">  Total EPE — Debt &amp; Equity</t>
        </is>
      </c>
      <c r="C154" s="386" t="inlineStr">
        <is>
          <t>EPE</t>
        </is>
      </c>
      <c r="D154" s="375" t="inlineStr">
        <is>
          <t xml:space="preserve"> sum of epe across all tiers</t>
        </is>
      </c>
      <c r="E154" s="387">
        <f>SUM(E119,E132,E145)</f>
        <v/>
      </c>
      <c r="F154" s="387">
        <f>SUM(F119,F132,F145)</f>
        <v/>
      </c>
      <c r="G154" s="387">
        <f>SUM(G119,G132,G145)</f>
        <v/>
      </c>
      <c r="H154" s="387">
        <f>SUM(H119,H132,H145)</f>
        <v/>
      </c>
      <c r="I154" s="387">
        <f>AVERAGE(E154:H154)</f>
        <v/>
      </c>
      <c r="J154" s="387">
        <f>SUM(J119,J132,J145)</f>
        <v/>
      </c>
      <c r="K154" s="387">
        <f>SUM(K119,K132,K145)</f>
        <v/>
      </c>
      <c r="L154" s="387">
        <f>SUM(L119,L132,L145)</f>
        <v/>
      </c>
      <c r="M154" s="387">
        <f>SUM(M119,M132,M145)</f>
        <v/>
      </c>
      <c r="N154" s="387">
        <f>AVERAGE(J154:M154)</f>
        <v/>
      </c>
      <c r="O154" s="387">
        <f>SUM(O119,O132,O145)</f>
        <v/>
      </c>
      <c r="P154" s="387">
        <f>SUM(P119,P132,P145)</f>
        <v/>
      </c>
      <c r="Q154" s="387">
        <f>SUM(Q119,Q132,Q145)</f>
        <v/>
      </c>
      <c r="R154" s="387">
        <f>SUM(R119,R132,R145)</f>
        <v/>
      </c>
      <c r="S154" s="387">
        <f>AVERAGE(O154:R154)</f>
        <v/>
      </c>
      <c r="T154" s="387">
        <f>SUM(T119,T132,T145)</f>
        <v/>
      </c>
      <c r="U154" s="387">
        <f>SUM(U119,U132,U145)</f>
        <v/>
      </c>
      <c r="V154" s="387">
        <f>SUM(V119,V132,V145)</f>
        <v/>
      </c>
      <c r="W154" s="387">
        <f>SUM(W119,W132,W145)</f>
        <v/>
      </c>
      <c r="X154" s="387">
        <f>AVERAGE(T154:W154)</f>
        <v/>
      </c>
      <c r="Y154" s="387">
        <f>SUM(Y119,Y132,Y145)</f>
        <v/>
      </c>
      <c r="Z154" s="387">
        <f>SUM(Z119,Z132,Z145)</f>
        <v/>
      </c>
      <c r="AA154" s="387">
        <f>SUM(AA119,AA132,AA145)</f>
        <v/>
      </c>
      <c r="AB154" s="387">
        <f>SUM(AB119,AB132,AB145)</f>
        <v/>
      </c>
      <c r="AC154" s="387">
        <f>AVERAGE(Y154:AB154)</f>
        <v/>
      </c>
      <c r="AD154" s="387">
        <f>SUM(AD119,AD132,AD145)</f>
        <v/>
      </c>
      <c r="AE154" s="387">
        <f>SUM(AE119,AE132,AE145)</f>
        <v/>
      </c>
      <c r="AF154" s="387">
        <f>SUM(AF119,AF132,AF145)</f>
        <v/>
      </c>
      <c r="AG154" s="387">
        <f>SUM(AG119,AG132,AG145)</f>
        <v/>
      </c>
      <c r="AH154" s="387">
        <f>AVERAGE(AD154:AG154)</f>
        <v/>
      </c>
      <c r="AI154" s="387">
        <f>SUM(AI119,AI132,AI145)</f>
        <v/>
      </c>
      <c r="AJ154" s="387">
        <f>SUM(AJ119,AJ132,AJ145)</f>
        <v/>
      </c>
      <c r="AK154" s="387">
        <f>SUM(AK119,AK132,AK145)</f>
        <v/>
      </c>
      <c r="AL154" s="387">
        <f>SUM(AL119,AL132,AL145)</f>
        <v/>
      </c>
      <c r="AM154" s="387">
        <f>AVERAGE(AI154:AL154)</f>
        <v/>
      </c>
      <c r="AN154" s="387">
        <f>SUM(AN119,AN132,AN145)</f>
        <v/>
      </c>
      <c r="AO154" s="387">
        <f>SUM(AO119,AO132,AO145)</f>
        <v/>
      </c>
      <c r="AP154" s="387">
        <f>SUM(AP119,AP132,AP145)</f>
        <v/>
      </c>
      <c r="AQ154" s="387">
        <f>SUM(AQ119,AQ132,AQ145)</f>
        <v/>
      </c>
      <c r="AR154" s="387">
        <f>AVERAGE(AN154:AQ154)</f>
        <v/>
      </c>
    </row>
    <row r="155" ht="13.5" customHeight="1" s="290">
      <c r="A155" s="339" t="n"/>
      <c r="B155" s="385" t="inlineStr">
        <is>
          <t xml:space="preserve">  Total Ending HC — Debt &amp; Equity</t>
        </is>
      </c>
      <c r="C155" s="386" t="inlineStr">
        <is>
          <t>#</t>
        </is>
      </c>
      <c r="D155" s="375" t="inlineStr">
        <is>
          <t xml:space="preserve"> sum of ending hc across all tiers</t>
        </is>
      </c>
      <c r="E155" s="387">
        <f>SUM(E120,E133,E146)</f>
        <v/>
      </c>
      <c r="F155" s="387">
        <f>SUM(F120,F133,F146)</f>
        <v/>
      </c>
      <c r="G155" s="387">
        <f>SUM(G120,G133,G146)</f>
        <v/>
      </c>
      <c r="H155" s="387">
        <f>SUM(H120,H133,H146)</f>
        <v/>
      </c>
      <c r="I155" s="387">
        <f>AVERAGE(E155:H155)</f>
        <v/>
      </c>
      <c r="J155" s="387">
        <f>SUM(J120,J133,J146)</f>
        <v/>
      </c>
      <c r="K155" s="387">
        <f>SUM(K120,K133,K146)</f>
        <v/>
      </c>
      <c r="L155" s="387">
        <f>SUM(L120,L133,L146)</f>
        <v/>
      </c>
      <c r="M155" s="387">
        <f>SUM(M120,M133,M146)</f>
        <v/>
      </c>
      <c r="N155" s="387">
        <f>AVERAGE(J155:M155)</f>
        <v/>
      </c>
      <c r="O155" s="387">
        <f>SUM(O120,O133,O146)</f>
        <v/>
      </c>
      <c r="P155" s="387">
        <f>SUM(P120,P133,P146)</f>
        <v/>
      </c>
      <c r="Q155" s="387">
        <f>SUM(Q120,Q133,Q146)</f>
        <v/>
      </c>
      <c r="R155" s="387">
        <f>SUM(R120,R133,R146)</f>
        <v/>
      </c>
      <c r="S155" s="387">
        <f>AVERAGE(O155:R155)</f>
        <v/>
      </c>
      <c r="T155" s="387">
        <f>SUM(T120,T133,T146)</f>
        <v/>
      </c>
      <c r="U155" s="387">
        <f>SUM(U120,U133,U146)</f>
        <v/>
      </c>
      <c r="V155" s="387">
        <f>SUM(V120,V133,V146)</f>
        <v/>
      </c>
      <c r="W155" s="387">
        <f>SUM(W120,W133,W146)</f>
        <v/>
      </c>
      <c r="X155" s="387">
        <f>AVERAGE(T155:W155)</f>
        <v/>
      </c>
      <c r="Y155" s="387">
        <f>SUM(Y120,Y133,Y146)</f>
        <v/>
      </c>
      <c r="Z155" s="387">
        <f>SUM(Z120,Z133,Z146)</f>
        <v/>
      </c>
      <c r="AA155" s="387">
        <f>SUM(AA120,AA133,AA146)</f>
        <v/>
      </c>
      <c r="AB155" s="387">
        <f>SUM(AB120,AB133,AB146)</f>
        <v/>
      </c>
      <c r="AC155" s="387">
        <f>AVERAGE(Y155:AB155)</f>
        <v/>
      </c>
      <c r="AD155" s="387">
        <f>SUM(AD120,AD133,AD146)</f>
        <v/>
      </c>
      <c r="AE155" s="387">
        <f>SUM(AE120,AE133,AE146)</f>
        <v/>
      </c>
      <c r="AF155" s="387">
        <f>SUM(AF120,AF133,AF146)</f>
        <v/>
      </c>
      <c r="AG155" s="387">
        <f>SUM(AG120,AG133,AG146)</f>
        <v/>
      </c>
      <c r="AH155" s="387">
        <f>AVERAGE(AD155:AG155)</f>
        <v/>
      </c>
      <c r="AI155" s="387">
        <f>SUM(AI120,AI133,AI146)</f>
        <v/>
      </c>
      <c r="AJ155" s="387">
        <f>SUM(AJ120,AJ133,AJ146)</f>
        <v/>
      </c>
      <c r="AK155" s="387">
        <f>SUM(AK120,AK133,AK146)</f>
        <v/>
      </c>
      <c r="AL155" s="387">
        <f>SUM(AL120,AL133,AL146)</f>
        <v/>
      </c>
      <c r="AM155" s="387">
        <f>AVERAGE(AI155:AL155)</f>
        <v/>
      </c>
      <c r="AN155" s="387">
        <f>SUM(AN120,AN133,AN146)</f>
        <v/>
      </c>
      <c r="AO155" s="387">
        <f>SUM(AO120,AO133,AO146)</f>
        <v/>
      </c>
      <c r="AP155" s="387">
        <f>SUM(AP120,AP133,AP146)</f>
        <v/>
      </c>
      <c r="AQ155" s="387">
        <f>SUM(AQ120,AQ133,AQ146)</f>
        <v/>
      </c>
      <c r="AR155" s="387">
        <f>AVERAGE(AN155:AQ155)</f>
        <v/>
      </c>
    </row>
    <row r="156" ht="13.5" customHeight="1" s="290">
      <c r="A156" s="339" t="n"/>
      <c r="B156" s="388" t="inlineStr">
        <is>
          <t xml:space="preserve">  Total Ramp Drag — Debt &amp; Equity</t>
        </is>
      </c>
      <c r="C156" s="386" t="inlineStr">
        <is>
          <t>#</t>
        </is>
      </c>
      <c r="D156" s="375" t="inlineStr">
        <is>
          <t xml:space="preserve"> total hc − Total EPE</t>
        </is>
      </c>
      <c r="E156" s="344">
        <f>MAX(0,E155-E154)</f>
        <v/>
      </c>
      <c r="F156" s="344">
        <f>MAX(0,F155-F154)</f>
        <v/>
      </c>
      <c r="G156" s="344">
        <f>MAX(0,G155-G154)</f>
        <v/>
      </c>
      <c r="H156" s="344">
        <f>MAX(0,H155-H154)</f>
        <v/>
      </c>
      <c r="I156" s="344">
        <f>SUM(E156:H156)</f>
        <v/>
      </c>
      <c r="J156" s="344">
        <f>MAX(0,J155-J154)</f>
        <v/>
      </c>
      <c r="K156" s="344">
        <f>MAX(0,K155-K154)</f>
        <v/>
      </c>
      <c r="L156" s="344">
        <f>MAX(0,L155-L154)</f>
        <v/>
      </c>
      <c r="M156" s="344">
        <f>MAX(0,M155-M154)</f>
        <v/>
      </c>
      <c r="N156" s="344">
        <f>SUM(J156:M156)</f>
        <v/>
      </c>
      <c r="O156" s="344">
        <f>MAX(0,O155-O154)</f>
        <v/>
      </c>
      <c r="P156" s="344">
        <f>MAX(0,P155-P154)</f>
        <v/>
      </c>
      <c r="Q156" s="344">
        <f>MAX(0,Q155-Q154)</f>
        <v/>
      </c>
      <c r="R156" s="344">
        <f>MAX(0,R155-R154)</f>
        <v/>
      </c>
      <c r="S156" s="344">
        <f>SUM(O156:R156)</f>
        <v/>
      </c>
      <c r="T156" s="344">
        <f>MAX(0,T155-T154)</f>
        <v/>
      </c>
      <c r="U156" s="344">
        <f>MAX(0,U155-U154)</f>
        <v/>
      </c>
      <c r="V156" s="344">
        <f>MAX(0,V155-V154)</f>
        <v/>
      </c>
      <c r="W156" s="344">
        <f>MAX(0,W155-W154)</f>
        <v/>
      </c>
      <c r="X156" s="344">
        <f>SUM(T156:W156)</f>
        <v/>
      </c>
      <c r="Y156" s="344">
        <f>MAX(0,Y155-Y154)</f>
        <v/>
      </c>
      <c r="Z156" s="344">
        <f>MAX(0,Z155-Z154)</f>
        <v/>
      </c>
      <c r="AA156" s="344">
        <f>MAX(0,AA155-AA154)</f>
        <v/>
      </c>
      <c r="AB156" s="344">
        <f>MAX(0,AB155-AB154)</f>
        <v/>
      </c>
      <c r="AC156" s="344">
        <f>SUM(Y156:AB156)</f>
        <v/>
      </c>
      <c r="AD156" s="344">
        <f>MAX(0,AD155-AD154)</f>
        <v/>
      </c>
      <c r="AE156" s="344">
        <f>MAX(0,AE155-AE154)</f>
        <v/>
      </c>
      <c r="AF156" s="344">
        <f>MAX(0,AF155-AF154)</f>
        <v/>
      </c>
      <c r="AG156" s="344">
        <f>MAX(0,AG155-AG154)</f>
        <v/>
      </c>
      <c r="AH156" s="344">
        <f>SUM(AD156:AG156)</f>
        <v/>
      </c>
      <c r="AI156" s="344">
        <f>MAX(0,AI155-AI154)</f>
        <v/>
      </c>
      <c r="AJ156" s="344">
        <f>MAX(0,AJ155-AJ154)</f>
        <v/>
      </c>
      <c r="AK156" s="344">
        <f>MAX(0,AK155-AK154)</f>
        <v/>
      </c>
      <c r="AL156" s="344">
        <f>MAX(0,AL155-AL154)</f>
        <v/>
      </c>
      <c r="AM156" s="344">
        <f>SUM(AI156:AL156)</f>
        <v/>
      </c>
      <c r="AN156" s="344">
        <f>MAX(0,AN155-AN154)</f>
        <v/>
      </c>
      <c r="AO156" s="344">
        <f>MAX(0,AO155-AO154)</f>
        <v/>
      </c>
      <c r="AP156" s="344">
        <f>MAX(0,AP155-AP154)</f>
        <v/>
      </c>
      <c r="AQ156" s="344">
        <f>MAX(0,AQ155-AQ154)</f>
        <v/>
      </c>
      <c r="AR156" s="344">
        <f>SUM(AN156:AQ156)</f>
        <v/>
      </c>
    </row>
    <row r="157" ht="13.5" customHeight="1" s="290">
      <c r="A157" s="339" t="n"/>
      <c r="B157" s="388" t="inlineStr">
        <is>
          <t xml:space="preserve">  Total Book Loss GCI Drag — Debt &amp; Equity</t>
        </is>
      </c>
      <c r="C157" s="386" t="inlineStr">
        <is>
          <t>$K</t>
        </is>
      </c>
      <c r="D157" s="375" t="inlineStr">
        <is>
          <t xml:space="preserve"> sum of book loss drag across all tiers (negative)</t>
        </is>
      </c>
      <c r="E157" s="344">
        <f>SUM(E124,E137,E150)</f>
        <v/>
      </c>
      <c r="F157" s="344">
        <f>SUM(F124,F137,F150)</f>
        <v/>
      </c>
      <c r="G157" s="344">
        <f>SUM(G124,G137,G150)</f>
        <v/>
      </c>
      <c r="H157" s="344">
        <f>SUM(H124,H137,H150)</f>
        <v/>
      </c>
      <c r="I157" s="344">
        <f>SUM(E157:H157)</f>
        <v/>
      </c>
      <c r="J157" s="344">
        <f>SUM(J124,J137,J150)</f>
        <v/>
      </c>
      <c r="K157" s="344">
        <f>SUM(K124,K137,K150)</f>
        <v/>
      </c>
      <c r="L157" s="344">
        <f>SUM(L124,L137,L150)</f>
        <v/>
      </c>
      <c r="M157" s="344">
        <f>SUM(M124,M137,M150)</f>
        <v/>
      </c>
      <c r="N157" s="344">
        <f>SUM(J157:M157)</f>
        <v/>
      </c>
      <c r="O157" s="344">
        <f>SUM(O124,O137,O150)</f>
        <v/>
      </c>
      <c r="P157" s="344">
        <f>SUM(P124,P137,P150)</f>
        <v/>
      </c>
      <c r="Q157" s="344">
        <f>SUM(Q124,Q137,Q150)</f>
        <v/>
      </c>
      <c r="R157" s="344">
        <f>SUM(R124,R137,R150)</f>
        <v/>
      </c>
      <c r="S157" s="344">
        <f>SUM(O157:R157)</f>
        <v/>
      </c>
      <c r="T157" s="344">
        <f>SUM(T124,T137,T150)</f>
        <v/>
      </c>
      <c r="U157" s="344">
        <f>SUM(U124,U137,U150)</f>
        <v/>
      </c>
      <c r="V157" s="344">
        <f>SUM(V124,V137,V150)</f>
        <v/>
      </c>
      <c r="W157" s="344">
        <f>SUM(W124,W137,W150)</f>
        <v/>
      </c>
      <c r="X157" s="344">
        <f>SUM(T157:W157)</f>
        <v/>
      </c>
      <c r="Y157" s="344">
        <f>SUM(Y124,Y137,Y150)</f>
        <v/>
      </c>
      <c r="Z157" s="344">
        <f>SUM(Z124,Z137,Z150)</f>
        <v/>
      </c>
      <c r="AA157" s="344">
        <f>SUM(AA124,AA137,AA150)</f>
        <v/>
      </c>
      <c r="AB157" s="344">
        <f>SUM(AB124,AB137,AB150)</f>
        <v/>
      </c>
      <c r="AC157" s="344">
        <f>SUM(Y157:AB157)</f>
        <v/>
      </c>
      <c r="AD157" s="344">
        <f>SUM(AD124,AD137,AD150)</f>
        <v/>
      </c>
      <c r="AE157" s="344">
        <f>SUM(AE124,AE137,AE150)</f>
        <v/>
      </c>
      <c r="AF157" s="344">
        <f>SUM(AF124,AF137,AF150)</f>
        <v/>
      </c>
      <c r="AG157" s="344">
        <f>SUM(AG124,AG137,AG150)</f>
        <v/>
      </c>
      <c r="AH157" s="344">
        <f>SUM(AD157:AG157)</f>
        <v/>
      </c>
      <c r="AI157" s="344">
        <f>SUM(AI124,AI137,AI150)</f>
        <v/>
      </c>
      <c r="AJ157" s="344">
        <f>SUM(AJ124,AJ137,AJ150)</f>
        <v/>
      </c>
      <c r="AK157" s="344">
        <f>SUM(AK124,AK137,AK150)</f>
        <v/>
      </c>
      <c r="AL157" s="344">
        <f>SUM(AL124,AL137,AL150)</f>
        <v/>
      </c>
      <c r="AM157" s="344">
        <f>SUM(AI157:AL157)</f>
        <v/>
      </c>
      <c r="AN157" s="344">
        <f>SUM(AN124,AN137,AN150)</f>
        <v/>
      </c>
      <c r="AO157" s="344">
        <f>SUM(AO124,AO137,AO150)</f>
        <v/>
      </c>
      <c r="AP157" s="344">
        <f>SUM(AP124,AP137,AP150)</f>
        <v/>
      </c>
      <c r="AQ157" s="344">
        <f>SUM(AQ124,AQ137,AQ150)</f>
        <v/>
      </c>
      <c r="AR157" s="344">
        <f>SUM(AN157:AQ157)</f>
        <v/>
      </c>
    </row>
    <row r="158" ht="3.75" customHeight="1" s="290"/>
    <row r="159" ht="3" customHeight="1" s="290">
      <c r="A159" s="293" t="n"/>
    </row>
    <row r="160" ht="4.5" customHeight="1" s="290"/>
    <row r="161" ht="15.75" customHeight="1" s="290">
      <c r="A161" s="338" t="inlineStr">
        <is>
          <t xml:space="preserve">  SECTION — VALUATION &amp; ADVISORY PRODUCER ENGINE</t>
        </is>
      </c>
    </row>
    <row r="162" ht="3.75" customHeight="1" s="290"/>
    <row r="163" ht="13.5" customHeight="1" s="290">
      <c r="A163" s="348" t="inlineStr">
        <is>
          <t xml:space="preserve">  EPE = Beginning HC + (Hires × Ramp Factor Yr1) − Attrition.  Green rows = links from Tab 03.  Black rows = calculations performed here.  No book loss for Advisory (salaried/institutional relationships).</t>
        </is>
      </c>
    </row>
    <row r="164" ht="3.75" customHeight="1" s="290"/>
    <row r="165" ht="13.5" customHeight="1" s="290">
      <c r="A165" s="369" t="inlineStr">
        <is>
          <t xml:space="preserve">    ── Senior Appraiser ──</t>
        </is>
      </c>
    </row>
    <row r="166" ht="13.5" customHeight="1" s="290">
      <c r="A166" s="339" t="n"/>
      <c r="B166" s="370" t="inlineStr">
        <is>
          <t xml:space="preserve">  Beginning HC — Senior Appraiser</t>
        </is>
      </c>
      <c r="C166" s="371" t="inlineStr">
        <is>
          <t>#</t>
        </is>
      </c>
      <c r="D166" s="372" t="inlineStr">
        <is>
          <t>← '03 Operational Assumptions' row 113</t>
        </is>
      </c>
      <c r="E166" s="361">
        <f>'03 Operational Assumptions'!E113</f>
        <v/>
      </c>
      <c r="F166" s="361">
        <f>E172</f>
        <v/>
      </c>
      <c r="G166" s="361">
        <f>F172</f>
        <v/>
      </c>
      <c r="H166" s="361">
        <f>G172</f>
        <v/>
      </c>
      <c r="I166" s="361">
        <f>AVERAGE(E166:H166)</f>
        <v/>
      </c>
      <c r="J166" s="361">
        <f>H172</f>
        <v/>
      </c>
      <c r="K166" s="361">
        <f>J172</f>
        <v/>
      </c>
      <c r="L166" s="361">
        <f>K172</f>
        <v/>
      </c>
      <c r="M166" s="361">
        <f>L172</f>
        <v/>
      </c>
      <c r="N166" s="361">
        <f>AVERAGE(J166:M166)</f>
        <v/>
      </c>
      <c r="O166" s="361">
        <f>M172</f>
        <v/>
      </c>
      <c r="P166" s="361">
        <f>O172</f>
        <v/>
      </c>
      <c r="Q166" s="361">
        <f>P172</f>
        <v/>
      </c>
      <c r="R166" s="361">
        <f>Q172</f>
        <v/>
      </c>
      <c r="S166" s="361">
        <f>AVERAGE(O166:R166)</f>
        <v/>
      </c>
      <c r="T166" s="361">
        <f>R172</f>
        <v/>
      </c>
      <c r="U166" s="361">
        <f>T172</f>
        <v/>
      </c>
      <c r="V166" s="361">
        <f>U172</f>
        <v/>
      </c>
      <c r="W166" s="361">
        <f>V172</f>
        <v/>
      </c>
      <c r="X166" s="361">
        <f>AVERAGE(T166:W166)</f>
        <v/>
      </c>
      <c r="Y166" s="361">
        <f>W172</f>
        <v/>
      </c>
      <c r="Z166" s="361">
        <f>Y172</f>
        <v/>
      </c>
      <c r="AA166" s="361">
        <f>Z172</f>
        <v/>
      </c>
      <c r="AB166" s="361">
        <f>AA172</f>
        <v/>
      </c>
      <c r="AC166" s="361">
        <f>AVERAGE(Y166:AB166)</f>
        <v/>
      </c>
      <c r="AD166" s="361">
        <f>AB172</f>
        <v/>
      </c>
      <c r="AE166" s="361">
        <f>AD172</f>
        <v/>
      </c>
      <c r="AF166" s="361">
        <f>AE172</f>
        <v/>
      </c>
      <c r="AG166" s="361">
        <f>AF172</f>
        <v/>
      </c>
      <c r="AH166" s="361">
        <f>AVERAGE(AD166:AG166)</f>
        <v/>
      </c>
      <c r="AI166" s="361">
        <f>AG172</f>
        <v/>
      </c>
      <c r="AJ166" s="361">
        <f>AI172</f>
        <v/>
      </c>
      <c r="AK166" s="361">
        <f>AJ172</f>
        <v/>
      </c>
      <c r="AL166" s="361">
        <f>AK172</f>
        <v/>
      </c>
      <c r="AM166" s="361">
        <f>AVERAGE(AI166:AL166)</f>
        <v/>
      </c>
      <c r="AN166" s="361">
        <f>AL172</f>
        <v/>
      </c>
      <c r="AO166" s="361">
        <f>AN172</f>
        <v/>
      </c>
      <c r="AP166" s="361">
        <f>AO172</f>
        <v/>
      </c>
      <c r="AQ166" s="361">
        <f>AP172</f>
        <v/>
      </c>
      <c r="AR166" s="361">
        <f>AVERAGE(AN166:AQ166)</f>
        <v/>
      </c>
    </row>
    <row r="167" ht="13.5" customHeight="1" s="290">
      <c r="A167" s="339" t="n"/>
      <c r="B167" s="370" t="inlineStr">
        <is>
          <t xml:space="preserve">  Gross Hires / Qtr — Senior Appraiser</t>
        </is>
      </c>
      <c r="C167" s="371" t="inlineStr">
        <is>
          <t>#/qtr</t>
        </is>
      </c>
      <c r="D167" s="372" t="inlineStr">
        <is>
          <t>← '03 Operational Assumptions' row 117 (Active)</t>
        </is>
      </c>
      <c r="E167" s="361">
        <f>'03 Operational Assumptions'!E117</f>
        <v/>
      </c>
      <c r="F167" s="361">
        <f>'03 Operational Assumptions'!F117</f>
        <v/>
      </c>
      <c r="G167" s="361">
        <f>'03 Operational Assumptions'!G117</f>
        <v/>
      </c>
      <c r="H167" s="361">
        <f>'03 Operational Assumptions'!H117</f>
        <v/>
      </c>
      <c r="I167" s="361">
        <f>SUM(E167:H167)</f>
        <v/>
      </c>
      <c r="J167" s="361">
        <f>'03 Operational Assumptions'!J117</f>
        <v/>
      </c>
      <c r="K167" s="361">
        <f>'03 Operational Assumptions'!K117</f>
        <v/>
      </c>
      <c r="L167" s="361">
        <f>'03 Operational Assumptions'!L117</f>
        <v/>
      </c>
      <c r="M167" s="361">
        <f>'03 Operational Assumptions'!M117</f>
        <v/>
      </c>
      <c r="N167" s="361">
        <f>SUM(J167:M167)</f>
        <v/>
      </c>
      <c r="O167" s="361">
        <f>'03 Operational Assumptions'!O117</f>
        <v/>
      </c>
      <c r="P167" s="361">
        <f>'03 Operational Assumptions'!P117</f>
        <v/>
      </c>
      <c r="Q167" s="361">
        <f>'03 Operational Assumptions'!Q117</f>
        <v/>
      </c>
      <c r="R167" s="361">
        <f>'03 Operational Assumptions'!R117</f>
        <v/>
      </c>
      <c r="S167" s="361">
        <f>SUM(O167:R167)</f>
        <v/>
      </c>
      <c r="T167" s="361">
        <f>'03 Operational Assumptions'!T117</f>
        <v/>
      </c>
      <c r="U167" s="361">
        <f>'03 Operational Assumptions'!U117</f>
        <v/>
      </c>
      <c r="V167" s="361">
        <f>'03 Operational Assumptions'!V117</f>
        <v/>
      </c>
      <c r="W167" s="361">
        <f>'03 Operational Assumptions'!W117</f>
        <v/>
      </c>
      <c r="X167" s="361">
        <f>SUM(T167:W167)</f>
        <v/>
      </c>
      <c r="Y167" s="361">
        <f>'03 Operational Assumptions'!Y117</f>
        <v/>
      </c>
      <c r="Z167" s="361">
        <f>'03 Operational Assumptions'!Z117</f>
        <v/>
      </c>
      <c r="AA167" s="361">
        <f>'03 Operational Assumptions'!AA117</f>
        <v/>
      </c>
      <c r="AB167" s="361">
        <f>'03 Operational Assumptions'!AB117</f>
        <v/>
      </c>
      <c r="AC167" s="361">
        <f>SUM(Y167:AB167)</f>
        <v/>
      </c>
      <c r="AD167" s="361">
        <f>'03 Operational Assumptions'!AD117</f>
        <v/>
      </c>
      <c r="AE167" s="361">
        <f>'03 Operational Assumptions'!AE117</f>
        <v/>
      </c>
      <c r="AF167" s="361">
        <f>'03 Operational Assumptions'!AF117</f>
        <v/>
      </c>
      <c r="AG167" s="361">
        <f>'03 Operational Assumptions'!AG117</f>
        <v/>
      </c>
      <c r="AH167" s="361">
        <f>SUM(AD167:AG167)</f>
        <v/>
      </c>
      <c r="AI167" s="361">
        <f>'03 Operational Assumptions'!AI117</f>
        <v/>
      </c>
      <c r="AJ167" s="361">
        <f>'03 Operational Assumptions'!AJ117</f>
        <v/>
      </c>
      <c r="AK167" s="361">
        <f>'03 Operational Assumptions'!AK117</f>
        <v/>
      </c>
      <c r="AL167" s="361">
        <f>'03 Operational Assumptions'!AL117</f>
        <v/>
      </c>
      <c r="AM167" s="361">
        <f>SUM(AI167:AL167)</f>
        <v/>
      </c>
      <c r="AN167" s="361">
        <f>'03 Operational Assumptions'!AN117</f>
        <v/>
      </c>
      <c r="AO167" s="361">
        <f>'03 Operational Assumptions'!AO117</f>
        <v/>
      </c>
      <c r="AP167" s="361">
        <f>'03 Operational Assumptions'!AP117</f>
        <v/>
      </c>
      <c r="AQ167" s="361">
        <f>'03 Operational Assumptions'!AQ117</f>
        <v/>
      </c>
      <c r="AR167" s="361">
        <f>SUM(AN167:AQ167)</f>
        <v/>
      </c>
    </row>
    <row r="168" ht="13.5" customHeight="1" s="290">
      <c r="A168" s="339" t="n"/>
      <c r="B168" s="370" t="inlineStr">
        <is>
          <t xml:space="preserve">  Attrition Rate — Senior Appraiser</t>
        </is>
      </c>
      <c r="C168" s="371" t="inlineStr">
        <is>
          <t>%/qtr</t>
        </is>
      </c>
      <c r="D168" s="372" t="inlineStr">
        <is>
          <t>← '03 Operational Assumptions' row 121 (Active)</t>
        </is>
      </c>
      <c r="E168" s="361">
        <f>'03 Operational Assumptions'!E121</f>
        <v/>
      </c>
      <c r="F168" s="361">
        <f>'03 Operational Assumptions'!F121</f>
        <v/>
      </c>
      <c r="G168" s="361">
        <f>'03 Operational Assumptions'!G121</f>
        <v/>
      </c>
      <c r="H168" s="361">
        <f>'03 Operational Assumptions'!H121</f>
        <v/>
      </c>
      <c r="I168" s="361">
        <f>AVERAGE(E168:H168)</f>
        <v/>
      </c>
      <c r="J168" s="361">
        <f>'03 Operational Assumptions'!J121</f>
        <v/>
      </c>
      <c r="K168" s="361">
        <f>'03 Operational Assumptions'!K121</f>
        <v/>
      </c>
      <c r="L168" s="361">
        <f>'03 Operational Assumptions'!L121</f>
        <v/>
      </c>
      <c r="M168" s="361">
        <f>'03 Operational Assumptions'!M121</f>
        <v/>
      </c>
      <c r="N168" s="361">
        <f>AVERAGE(J168:M168)</f>
        <v/>
      </c>
      <c r="O168" s="361">
        <f>'03 Operational Assumptions'!O121</f>
        <v/>
      </c>
      <c r="P168" s="361">
        <f>'03 Operational Assumptions'!P121</f>
        <v/>
      </c>
      <c r="Q168" s="361">
        <f>'03 Operational Assumptions'!Q121</f>
        <v/>
      </c>
      <c r="R168" s="361">
        <f>'03 Operational Assumptions'!R121</f>
        <v/>
      </c>
      <c r="S168" s="361">
        <f>AVERAGE(O168:R168)</f>
        <v/>
      </c>
      <c r="T168" s="361">
        <f>'03 Operational Assumptions'!T121</f>
        <v/>
      </c>
      <c r="U168" s="361">
        <f>'03 Operational Assumptions'!U121</f>
        <v/>
      </c>
      <c r="V168" s="361">
        <f>'03 Operational Assumptions'!V121</f>
        <v/>
      </c>
      <c r="W168" s="361">
        <f>'03 Operational Assumptions'!W121</f>
        <v/>
      </c>
      <c r="X168" s="361">
        <f>AVERAGE(T168:W168)</f>
        <v/>
      </c>
      <c r="Y168" s="361">
        <f>'03 Operational Assumptions'!Y121</f>
        <v/>
      </c>
      <c r="Z168" s="361">
        <f>'03 Operational Assumptions'!Z121</f>
        <v/>
      </c>
      <c r="AA168" s="361">
        <f>'03 Operational Assumptions'!AA121</f>
        <v/>
      </c>
      <c r="AB168" s="361">
        <f>'03 Operational Assumptions'!AB121</f>
        <v/>
      </c>
      <c r="AC168" s="361">
        <f>AVERAGE(Y168:AB168)</f>
        <v/>
      </c>
      <c r="AD168" s="361">
        <f>'03 Operational Assumptions'!AD121</f>
        <v/>
      </c>
      <c r="AE168" s="361">
        <f>'03 Operational Assumptions'!AE121</f>
        <v/>
      </c>
      <c r="AF168" s="361">
        <f>'03 Operational Assumptions'!AF121</f>
        <v/>
      </c>
      <c r="AG168" s="361">
        <f>'03 Operational Assumptions'!AG121</f>
        <v/>
      </c>
      <c r="AH168" s="361">
        <f>AVERAGE(AD168:AG168)</f>
        <v/>
      </c>
      <c r="AI168" s="361">
        <f>'03 Operational Assumptions'!AI121</f>
        <v/>
      </c>
      <c r="AJ168" s="361">
        <f>'03 Operational Assumptions'!AJ121</f>
        <v/>
      </c>
      <c r="AK168" s="361">
        <f>'03 Operational Assumptions'!AK121</f>
        <v/>
      </c>
      <c r="AL168" s="361">
        <f>'03 Operational Assumptions'!AL121</f>
        <v/>
      </c>
      <c r="AM168" s="361">
        <f>AVERAGE(AI168:AL168)</f>
        <v/>
      </c>
      <c r="AN168" s="361">
        <f>'03 Operational Assumptions'!AN121</f>
        <v/>
      </c>
      <c r="AO168" s="361">
        <f>'03 Operational Assumptions'!AO121</f>
        <v/>
      </c>
      <c r="AP168" s="361">
        <f>'03 Operational Assumptions'!AP121</f>
        <v/>
      </c>
      <c r="AQ168" s="361">
        <f>'03 Operational Assumptions'!AQ121</f>
        <v/>
      </c>
      <c r="AR168" s="361">
        <f>AVERAGE(AN168:AQ168)</f>
        <v/>
      </c>
    </row>
    <row r="169" ht="13.5" customHeight="1" s="290">
      <c r="A169" s="339" t="n"/>
      <c r="B169" s="373" t="inlineStr">
        <is>
          <t xml:space="preserve">  Attrition Count — Senior Appraiser</t>
        </is>
      </c>
      <c r="C169" s="374" t="inlineStr">
        <is>
          <t>#/qtr</t>
        </is>
      </c>
      <c r="D169" s="375" t="inlineStr">
        <is>
          <t xml:space="preserve"> attrition rate × Beginning HC</t>
        </is>
      </c>
      <c r="E169" s="376">
        <f>E168*E166</f>
        <v/>
      </c>
      <c r="F169" s="376">
        <f>F168*F166</f>
        <v/>
      </c>
      <c r="G169" s="376">
        <f>G168*G166</f>
        <v/>
      </c>
      <c r="H169" s="376">
        <f>H168*H166</f>
        <v/>
      </c>
      <c r="I169" s="344">
        <f>SUM(E169:H169)</f>
        <v/>
      </c>
      <c r="J169" s="376">
        <f>J168*J166</f>
        <v/>
      </c>
      <c r="K169" s="376">
        <f>K168*K166</f>
        <v/>
      </c>
      <c r="L169" s="376">
        <f>L168*L166</f>
        <v/>
      </c>
      <c r="M169" s="376">
        <f>M168*M166</f>
        <v/>
      </c>
      <c r="N169" s="344">
        <f>SUM(J169:M169)</f>
        <v/>
      </c>
      <c r="O169" s="376">
        <f>O168*O166</f>
        <v/>
      </c>
      <c r="P169" s="376">
        <f>P168*P166</f>
        <v/>
      </c>
      <c r="Q169" s="376">
        <f>Q168*Q166</f>
        <v/>
      </c>
      <c r="R169" s="376">
        <f>R168*R166</f>
        <v/>
      </c>
      <c r="S169" s="344">
        <f>SUM(O169:R169)</f>
        <v/>
      </c>
      <c r="T169" s="376">
        <f>T168*T166</f>
        <v/>
      </c>
      <c r="U169" s="376">
        <f>U168*U166</f>
        <v/>
      </c>
      <c r="V169" s="376">
        <f>V168*V166</f>
        <v/>
      </c>
      <c r="W169" s="376">
        <f>W168*W166</f>
        <v/>
      </c>
      <c r="X169" s="344">
        <f>SUM(T169:W169)</f>
        <v/>
      </c>
      <c r="Y169" s="376">
        <f>Y168*Y166</f>
        <v/>
      </c>
      <c r="Z169" s="376">
        <f>Z168*Z166</f>
        <v/>
      </c>
      <c r="AA169" s="376">
        <f>AA168*AA166</f>
        <v/>
      </c>
      <c r="AB169" s="376">
        <f>AB168*AB166</f>
        <v/>
      </c>
      <c r="AC169" s="344">
        <f>SUM(Y169:AB169)</f>
        <v/>
      </c>
      <c r="AD169" s="376">
        <f>AD168*AD166</f>
        <v/>
      </c>
      <c r="AE169" s="376">
        <f>AE168*AE166</f>
        <v/>
      </c>
      <c r="AF169" s="376">
        <f>AF168*AF166</f>
        <v/>
      </c>
      <c r="AG169" s="376">
        <f>AG168*AG166</f>
        <v/>
      </c>
      <c r="AH169" s="344">
        <f>SUM(AD169:AG169)</f>
        <v/>
      </c>
      <c r="AI169" s="376">
        <f>AI168*AI166</f>
        <v/>
      </c>
      <c r="AJ169" s="376">
        <f>AJ168*AJ166</f>
        <v/>
      </c>
      <c r="AK169" s="376">
        <f>AK168*AK166</f>
        <v/>
      </c>
      <c r="AL169" s="376">
        <f>AL168*AL166</f>
        <v/>
      </c>
      <c r="AM169" s="344">
        <f>SUM(AI169:AL169)</f>
        <v/>
      </c>
      <c r="AN169" s="376">
        <f>AN168*AN166</f>
        <v/>
      </c>
      <c r="AO169" s="376">
        <f>AO168*AO166</f>
        <v/>
      </c>
      <c r="AP169" s="376">
        <f>AP168*AP166</f>
        <v/>
      </c>
      <c r="AQ169" s="376">
        <f>AQ168*AQ166</f>
        <v/>
      </c>
      <c r="AR169" s="344">
        <f>SUM(AN169:AQ169)</f>
        <v/>
      </c>
    </row>
    <row r="170" ht="13.5" customHeight="1" s="290">
      <c r="A170" s="339" t="n"/>
      <c r="B170" s="370" t="inlineStr">
        <is>
          <t xml:space="preserve">  Ramp Factor Yr1 — Senior Appraiser</t>
        </is>
      </c>
      <c r="C170" s="371" t="inlineStr">
        <is>
          <t>% of mature</t>
        </is>
      </c>
      <c r="D170" s="372" t="inlineStr">
        <is>
          <t>← '03 Operational Assumptions' row 153 col E (Yr1 ramp)</t>
        </is>
      </c>
      <c r="E170" s="361">
        <f>'03 Operational Assumptions'!E153</f>
        <v/>
      </c>
      <c r="F170" s="361">
        <f>'03 Operational Assumptions'!E153</f>
        <v/>
      </c>
      <c r="G170" s="361">
        <f>'03 Operational Assumptions'!E153</f>
        <v/>
      </c>
      <c r="H170" s="361">
        <f>'03 Operational Assumptions'!E153</f>
        <v/>
      </c>
      <c r="I170" s="361">
        <f>AVERAGE(E170:H170)</f>
        <v/>
      </c>
      <c r="J170" s="361">
        <f>'03 Operational Assumptions'!E153</f>
        <v/>
      </c>
      <c r="K170" s="361">
        <f>'03 Operational Assumptions'!E153</f>
        <v/>
      </c>
      <c r="L170" s="361">
        <f>'03 Operational Assumptions'!E153</f>
        <v/>
      </c>
      <c r="M170" s="361">
        <f>'03 Operational Assumptions'!E153</f>
        <v/>
      </c>
      <c r="N170" s="361">
        <f>AVERAGE(J170:M170)</f>
        <v/>
      </c>
      <c r="O170" s="361">
        <f>'03 Operational Assumptions'!E153</f>
        <v/>
      </c>
      <c r="P170" s="361">
        <f>'03 Operational Assumptions'!E153</f>
        <v/>
      </c>
      <c r="Q170" s="361">
        <f>'03 Operational Assumptions'!E153</f>
        <v/>
      </c>
      <c r="R170" s="361">
        <f>'03 Operational Assumptions'!E153</f>
        <v/>
      </c>
      <c r="S170" s="361">
        <f>AVERAGE(O170:R170)</f>
        <v/>
      </c>
      <c r="T170" s="361">
        <f>'03 Operational Assumptions'!E153</f>
        <v/>
      </c>
      <c r="U170" s="361">
        <f>'03 Operational Assumptions'!E153</f>
        <v/>
      </c>
      <c r="V170" s="361">
        <f>'03 Operational Assumptions'!E153</f>
        <v/>
      </c>
      <c r="W170" s="361">
        <f>'03 Operational Assumptions'!E153</f>
        <v/>
      </c>
      <c r="X170" s="361">
        <f>AVERAGE(T170:W170)</f>
        <v/>
      </c>
      <c r="Y170" s="361">
        <f>'03 Operational Assumptions'!E153</f>
        <v/>
      </c>
      <c r="Z170" s="361">
        <f>'03 Operational Assumptions'!E153</f>
        <v/>
      </c>
      <c r="AA170" s="361">
        <f>'03 Operational Assumptions'!E153</f>
        <v/>
      </c>
      <c r="AB170" s="361">
        <f>'03 Operational Assumptions'!E153</f>
        <v/>
      </c>
      <c r="AC170" s="361">
        <f>AVERAGE(Y170:AB170)</f>
        <v/>
      </c>
      <c r="AD170" s="361">
        <f>'03 Operational Assumptions'!E153</f>
        <v/>
      </c>
      <c r="AE170" s="361">
        <f>'03 Operational Assumptions'!E153</f>
        <v/>
      </c>
      <c r="AF170" s="361">
        <f>'03 Operational Assumptions'!E153</f>
        <v/>
      </c>
      <c r="AG170" s="361">
        <f>'03 Operational Assumptions'!E153</f>
        <v/>
      </c>
      <c r="AH170" s="361">
        <f>AVERAGE(AD170:AG170)</f>
        <v/>
      </c>
      <c r="AI170" s="361">
        <f>'03 Operational Assumptions'!E153</f>
        <v/>
      </c>
      <c r="AJ170" s="361">
        <f>'03 Operational Assumptions'!E153</f>
        <v/>
      </c>
      <c r="AK170" s="361">
        <f>'03 Operational Assumptions'!E153</f>
        <v/>
      </c>
      <c r="AL170" s="361">
        <f>'03 Operational Assumptions'!E153</f>
        <v/>
      </c>
      <c r="AM170" s="361">
        <f>AVERAGE(AI170:AL170)</f>
        <v/>
      </c>
      <c r="AN170" s="361">
        <f>'03 Operational Assumptions'!E153</f>
        <v/>
      </c>
      <c r="AO170" s="361">
        <f>'03 Operational Assumptions'!E153</f>
        <v/>
      </c>
      <c r="AP170" s="361">
        <f>'03 Operational Assumptions'!E153</f>
        <v/>
      </c>
      <c r="AQ170" s="361">
        <f>'03 Operational Assumptions'!E153</f>
        <v/>
      </c>
      <c r="AR170" s="361">
        <f>AVERAGE(AN170:AQ170)</f>
        <v/>
      </c>
    </row>
    <row r="171" ht="13.5" customHeight="1" s="290">
      <c r="A171" s="339" t="n"/>
      <c r="B171" s="377" t="inlineStr">
        <is>
          <t xml:space="preserve">  ★ EPE — Senior Appraiser</t>
        </is>
      </c>
      <c r="C171" s="378" t="inlineStr">
        <is>
          <t>EPE</t>
        </is>
      </c>
      <c r="D171" s="375" t="inlineStr">
        <is>
          <t xml:space="preserve"> MAX(0, beg hc + (hires × Ramp) − Attrition)))</t>
        </is>
      </c>
      <c r="E171" s="379">
        <f>MAX(0,E166+(E167*E170)-E169)</f>
        <v/>
      </c>
      <c r="F171" s="379">
        <f>MAX(0,F166+(F167*F170)-F169)</f>
        <v/>
      </c>
      <c r="G171" s="379">
        <f>MAX(0,G166+(G167*G170)-G169)</f>
        <v/>
      </c>
      <c r="H171" s="379">
        <f>MAX(0,H166+(H167*H170)-H169)</f>
        <v/>
      </c>
      <c r="I171" s="379">
        <f>AVERAGE(E171:H171)</f>
        <v/>
      </c>
      <c r="J171" s="379">
        <f>MAX(0,J166+(J167*J170)-J169)</f>
        <v/>
      </c>
      <c r="K171" s="379">
        <f>MAX(0,K166+(K167*K170)-K169)</f>
        <v/>
      </c>
      <c r="L171" s="379">
        <f>MAX(0,L166+(L167*L170)-L169)</f>
        <v/>
      </c>
      <c r="M171" s="379">
        <f>MAX(0,M166+(M167*M170)-M169)</f>
        <v/>
      </c>
      <c r="N171" s="379">
        <f>AVERAGE(J171:M171)</f>
        <v/>
      </c>
      <c r="O171" s="379">
        <f>MAX(0,O166+(O167*O170)-O169)</f>
        <v/>
      </c>
      <c r="P171" s="379">
        <f>MAX(0,P166+(P167*P170)-P169)</f>
        <v/>
      </c>
      <c r="Q171" s="379">
        <f>MAX(0,Q166+(Q167*Q170)-Q169)</f>
        <v/>
      </c>
      <c r="R171" s="379">
        <f>MAX(0,R166+(R167*R170)-R169)</f>
        <v/>
      </c>
      <c r="S171" s="379">
        <f>AVERAGE(O171:R171)</f>
        <v/>
      </c>
      <c r="T171" s="379">
        <f>MAX(0,T166+(T167*T170)-T169)</f>
        <v/>
      </c>
      <c r="U171" s="379">
        <f>MAX(0,U166+(U167*U170)-U169)</f>
        <v/>
      </c>
      <c r="V171" s="379">
        <f>MAX(0,V166+(V167*V170)-V169)</f>
        <v/>
      </c>
      <c r="W171" s="379">
        <f>MAX(0,W166+(W167*W170)-W169)</f>
        <v/>
      </c>
      <c r="X171" s="379">
        <f>AVERAGE(T171:W171)</f>
        <v/>
      </c>
      <c r="Y171" s="379">
        <f>MAX(0,Y166+(Y167*Y170)-Y169)</f>
        <v/>
      </c>
      <c r="Z171" s="379">
        <f>MAX(0,Z166+(Z167*Z170)-Z169)</f>
        <v/>
      </c>
      <c r="AA171" s="379">
        <f>MAX(0,AA166+(AA167*AA170)-AA169)</f>
        <v/>
      </c>
      <c r="AB171" s="379">
        <f>MAX(0,AB166+(AB167*AB170)-AB169)</f>
        <v/>
      </c>
      <c r="AC171" s="379">
        <f>AVERAGE(Y171:AB171)</f>
        <v/>
      </c>
      <c r="AD171" s="379">
        <f>MAX(0,AD166+(AD167*AD170)-AD169)</f>
        <v/>
      </c>
      <c r="AE171" s="379">
        <f>MAX(0,AE166+(AE167*AE170)-AE169)</f>
        <v/>
      </c>
      <c r="AF171" s="379">
        <f>MAX(0,AF166+(AF167*AF170)-AF169)</f>
        <v/>
      </c>
      <c r="AG171" s="379">
        <f>MAX(0,AG166+(AG167*AG170)-AG169)</f>
        <v/>
      </c>
      <c r="AH171" s="379">
        <f>AVERAGE(AD171:AG171)</f>
        <v/>
      </c>
      <c r="AI171" s="379">
        <f>MAX(0,AI166+(AI167*AI170)-AI169)</f>
        <v/>
      </c>
      <c r="AJ171" s="379">
        <f>MAX(0,AJ166+(AJ167*AJ170)-AJ169)</f>
        <v/>
      </c>
      <c r="AK171" s="379">
        <f>MAX(0,AK166+(AK167*AK170)-AK169)</f>
        <v/>
      </c>
      <c r="AL171" s="379">
        <f>MAX(0,AL166+(AL167*AL170)-AL169)</f>
        <v/>
      </c>
      <c r="AM171" s="379">
        <f>AVERAGE(AI171:AL171)</f>
        <v/>
      </c>
      <c r="AN171" s="379">
        <f>MAX(0,AN166+(AN167*AN170)-AN169)</f>
        <v/>
      </c>
      <c r="AO171" s="379">
        <f>MAX(0,AO166+(AO167*AO170)-AO169)</f>
        <v/>
      </c>
      <c r="AP171" s="379">
        <f>MAX(0,AP166+(AP167*AP170)-AP169)</f>
        <v/>
      </c>
      <c r="AQ171" s="379">
        <f>MAX(0,AQ166+(AQ167*AQ170)-AQ169)</f>
        <v/>
      </c>
      <c r="AR171" s="379">
        <f>AVERAGE(AN171:AQ171)</f>
        <v/>
      </c>
    </row>
    <row r="172" ht="13.5" customHeight="1" s="290">
      <c r="A172" s="339" t="n"/>
      <c r="B172" s="373" t="inlineStr">
        <is>
          <t xml:space="preserve">  Ending HC — Senior Appraiser</t>
        </is>
      </c>
      <c r="C172" s="374" t="inlineStr">
        <is>
          <t>#</t>
        </is>
      </c>
      <c r="D172" s="375" t="inlineStr">
        <is>
          <t xml:space="preserve"> MAX(0, beg hc + hires − Attrition Count))</t>
        </is>
      </c>
      <c r="E172" s="376">
        <f>MAX(0,E166+E167-E169)</f>
        <v/>
      </c>
      <c r="F172" s="376">
        <f>MAX(0,F166+F167-F169)</f>
        <v/>
      </c>
      <c r="G172" s="376">
        <f>MAX(0,G166+G167-G169)</f>
        <v/>
      </c>
      <c r="H172" s="376">
        <f>MAX(0,H166+H167-H169)</f>
        <v/>
      </c>
      <c r="I172" s="344">
        <f>AVERAGE(E172:H172)</f>
        <v/>
      </c>
      <c r="J172" s="376">
        <f>MAX(0,J166+J167-J169)</f>
        <v/>
      </c>
      <c r="K172" s="376">
        <f>MAX(0,K166+K167-K169)</f>
        <v/>
      </c>
      <c r="L172" s="376">
        <f>MAX(0,L166+L167-L169)</f>
        <v/>
      </c>
      <c r="M172" s="376">
        <f>MAX(0,M166+M167-M169)</f>
        <v/>
      </c>
      <c r="N172" s="344">
        <f>AVERAGE(J172:M172)</f>
        <v/>
      </c>
      <c r="O172" s="376">
        <f>MAX(0,O166+O167-O169)</f>
        <v/>
      </c>
      <c r="P172" s="376">
        <f>MAX(0,P166+P167-P169)</f>
        <v/>
      </c>
      <c r="Q172" s="376">
        <f>MAX(0,Q166+Q167-Q169)</f>
        <v/>
      </c>
      <c r="R172" s="376">
        <f>MAX(0,R166+R167-R169)</f>
        <v/>
      </c>
      <c r="S172" s="344">
        <f>AVERAGE(O172:R172)</f>
        <v/>
      </c>
      <c r="T172" s="376">
        <f>MAX(0,T166+T167-T169)</f>
        <v/>
      </c>
      <c r="U172" s="376">
        <f>MAX(0,U166+U167-U169)</f>
        <v/>
      </c>
      <c r="V172" s="376">
        <f>MAX(0,V166+V167-V169)</f>
        <v/>
      </c>
      <c r="W172" s="376">
        <f>MAX(0,W166+W167-W169)</f>
        <v/>
      </c>
      <c r="X172" s="344">
        <f>AVERAGE(T172:W172)</f>
        <v/>
      </c>
      <c r="Y172" s="376">
        <f>MAX(0,Y166+Y167-Y169)</f>
        <v/>
      </c>
      <c r="Z172" s="376">
        <f>MAX(0,Z166+Z167-Z169)</f>
        <v/>
      </c>
      <c r="AA172" s="376">
        <f>MAX(0,AA166+AA167-AA169)</f>
        <v/>
      </c>
      <c r="AB172" s="376">
        <f>MAX(0,AB166+AB167-AB169)</f>
        <v/>
      </c>
      <c r="AC172" s="344">
        <f>AVERAGE(Y172:AB172)</f>
        <v/>
      </c>
      <c r="AD172" s="376">
        <f>MAX(0,AD166+AD167-AD169)</f>
        <v/>
      </c>
      <c r="AE172" s="376">
        <f>MAX(0,AE166+AE167-AE169)</f>
        <v/>
      </c>
      <c r="AF172" s="376">
        <f>MAX(0,AF166+AF167-AF169)</f>
        <v/>
      </c>
      <c r="AG172" s="376">
        <f>MAX(0,AG166+AG167-AG169)</f>
        <v/>
      </c>
      <c r="AH172" s="344">
        <f>AVERAGE(AD172:AG172)</f>
        <v/>
      </c>
      <c r="AI172" s="376">
        <f>MAX(0,AI166+AI167-AI169)</f>
        <v/>
      </c>
      <c r="AJ172" s="376">
        <f>MAX(0,AJ166+AJ167-AJ169)</f>
        <v/>
      </c>
      <c r="AK172" s="376">
        <f>MAX(0,AK166+AK167-AK169)</f>
        <v/>
      </c>
      <c r="AL172" s="376">
        <f>MAX(0,AL166+AL167-AL169)</f>
        <v/>
      </c>
      <c r="AM172" s="344">
        <f>AVERAGE(AI172:AL172)</f>
        <v/>
      </c>
      <c r="AN172" s="376">
        <f>MAX(0,AN166+AN167-AN169)</f>
        <v/>
      </c>
      <c r="AO172" s="376">
        <f>MAX(0,AO166+AO167-AO169)</f>
        <v/>
      </c>
      <c r="AP172" s="376">
        <f>MAX(0,AP166+AP167-AP169)</f>
        <v/>
      </c>
      <c r="AQ172" s="376">
        <f>MAX(0,AQ166+AQ167-AQ169)</f>
        <v/>
      </c>
      <c r="AR172" s="344">
        <f>AVERAGE(AN172:AQ172)</f>
        <v/>
      </c>
    </row>
    <row r="173" ht="13.5" customHeight="1" s="290">
      <c r="A173" s="339" t="n"/>
      <c r="B173" s="373" t="inlineStr">
        <is>
          <t xml:space="preserve">  Ramp Drag — Senior Appraiser</t>
        </is>
      </c>
      <c r="C173" s="374" t="inlineStr">
        <is>
          <t>#</t>
        </is>
      </c>
      <c r="D173" s="375" t="inlineStr">
        <is>
          <t xml:space="preserve"> ending hc − EPE  (un-ramped producer count)</t>
        </is>
      </c>
      <c r="E173" s="376">
        <f>MAX(0,E172-E171)</f>
        <v/>
      </c>
      <c r="F173" s="376">
        <f>MAX(0,F172-F171)</f>
        <v/>
      </c>
      <c r="G173" s="376">
        <f>MAX(0,G172-G171)</f>
        <v/>
      </c>
      <c r="H173" s="376">
        <f>MAX(0,H172-H171)</f>
        <v/>
      </c>
      <c r="I173" s="344">
        <f>SUM(E173:H173)</f>
        <v/>
      </c>
      <c r="J173" s="376">
        <f>MAX(0,J172-J171)</f>
        <v/>
      </c>
      <c r="K173" s="376">
        <f>MAX(0,K172-K171)</f>
        <v/>
      </c>
      <c r="L173" s="376">
        <f>MAX(0,L172-L171)</f>
        <v/>
      </c>
      <c r="M173" s="376">
        <f>MAX(0,M172-M171)</f>
        <v/>
      </c>
      <c r="N173" s="344">
        <f>SUM(J173:M173)</f>
        <v/>
      </c>
      <c r="O173" s="376">
        <f>MAX(0,O172-O171)</f>
        <v/>
      </c>
      <c r="P173" s="376">
        <f>MAX(0,P172-P171)</f>
        <v/>
      </c>
      <c r="Q173" s="376">
        <f>MAX(0,Q172-Q171)</f>
        <v/>
      </c>
      <c r="R173" s="376">
        <f>MAX(0,R172-R171)</f>
        <v/>
      </c>
      <c r="S173" s="344">
        <f>SUM(O173:R173)</f>
        <v/>
      </c>
      <c r="T173" s="376">
        <f>MAX(0,T172-T171)</f>
        <v/>
      </c>
      <c r="U173" s="376">
        <f>MAX(0,U172-U171)</f>
        <v/>
      </c>
      <c r="V173" s="376">
        <f>MAX(0,V172-V171)</f>
        <v/>
      </c>
      <c r="W173" s="376">
        <f>MAX(0,W172-W171)</f>
        <v/>
      </c>
      <c r="X173" s="344">
        <f>SUM(T173:W173)</f>
        <v/>
      </c>
      <c r="Y173" s="376">
        <f>MAX(0,Y172-Y171)</f>
        <v/>
      </c>
      <c r="Z173" s="376">
        <f>MAX(0,Z172-Z171)</f>
        <v/>
      </c>
      <c r="AA173" s="376">
        <f>MAX(0,AA172-AA171)</f>
        <v/>
      </c>
      <c r="AB173" s="376">
        <f>MAX(0,AB172-AB171)</f>
        <v/>
      </c>
      <c r="AC173" s="344">
        <f>SUM(Y173:AB173)</f>
        <v/>
      </c>
      <c r="AD173" s="376">
        <f>MAX(0,AD172-AD171)</f>
        <v/>
      </c>
      <c r="AE173" s="376">
        <f>MAX(0,AE172-AE171)</f>
        <v/>
      </c>
      <c r="AF173" s="376">
        <f>MAX(0,AF172-AF171)</f>
        <v/>
      </c>
      <c r="AG173" s="376">
        <f>MAX(0,AG172-AG171)</f>
        <v/>
      </c>
      <c r="AH173" s="344">
        <f>SUM(AD173:AG173)</f>
        <v/>
      </c>
      <c r="AI173" s="376">
        <f>MAX(0,AI172-AI171)</f>
        <v/>
      </c>
      <c r="AJ173" s="376">
        <f>MAX(0,AJ172-AJ171)</f>
        <v/>
      </c>
      <c r="AK173" s="376">
        <f>MAX(0,AK172-AK171)</f>
        <v/>
      </c>
      <c r="AL173" s="376">
        <f>MAX(0,AL172-AL171)</f>
        <v/>
      </c>
      <c r="AM173" s="344">
        <f>SUM(AI173:AL173)</f>
        <v/>
      </c>
      <c r="AN173" s="376">
        <f>MAX(0,AN172-AN171)</f>
        <v/>
      </c>
      <c r="AO173" s="376">
        <f>MAX(0,AO172-AO171)</f>
        <v/>
      </c>
      <c r="AP173" s="376">
        <f>MAX(0,AP172-AP171)</f>
        <v/>
      </c>
      <c r="AQ173" s="376">
        <f>MAX(0,AQ172-AQ171)</f>
        <v/>
      </c>
      <c r="AR173" s="344">
        <f>SUM(AN173:AQ173)</f>
        <v/>
      </c>
    </row>
    <row r="174" ht="4.5" customHeight="1" s="290"/>
    <row r="175" ht="13.5" customHeight="1" s="290">
      <c r="A175" s="369" t="inlineStr">
        <is>
          <t xml:space="preserve">    ── Appraiser ──</t>
        </is>
      </c>
    </row>
    <row r="176" ht="13.5" customHeight="1" s="290">
      <c r="A176" s="339" t="n"/>
      <c r="B176" s="370" t="inlineStr">
        <is>
          <t xml:space="preserve">  Beginning HC — Appraiser</t>
        </is>
      </c>
      <c r="C176" s="371" t="inlineStr">
        <is>
          <t>#</t>
        </is>
      </c>
      <c r="D176" s="372" t="inlineStr">
        <is>
          <t>← '03 Operational Assumptions' row 123</t>
        </is>
      </c>
      <c r="E176" s="361">
        <f>'03 Operational Assumptions'!E123</f>
        <v/>
      </c>
      <c r="F176" s="361">
        <f>E182</f>
        <v/>
      </c>
      <c r="G176" s="361">
        <f>F182</f>
        <v/>
      </c>
      <c r="H176" s="361">
        <f>G182</f>
        <v/>
      </c>
      <c r="I176" s="361">
        <f>AVERAGE(E176:H176)</f>
        <v/>
      </c>
      <c r="J176" s="361">
        <f>H182</f>
        <v/>
      </c>
      <c r="K176" s="361">
        <f>J182</f>
        <v/>
      </c>
      <c r="L176" s="361">
        <f>K182</f>
        <v/>
      </c>
      <c r="M176" s="361">
        <f>L182</f>
        <v/>
      </c>
      <c r="N176" s="361">
        <f>AVERAGE(J176:M176)</f>
        <v/>
      </c>
      <c r="O176" s="361">
        <f>M182</f>
        <v/>
      </c>
      <c r="P176" s="361">
        <f>O182</f>
        <v/>
      </c>
      <c r="Q176" s="361">
        <f>P182</f>
        <v/>
      </c>
      <c r="R176" s="361">
        <f>Q182</f>
        <v/>
      </c>
      <c r="S176" s="361">
        <f>AVERAGE(O176:R176)</f>
        <v/>
      </c>
      <c r="T176" s="361">
        <f>R182</f>
        <v/>
      </c>
      <c r="U176" s="361">
        <f>T182</f>
        <v/>
      </c>
      <c r="V176" s="361">
        <f>U182</f>
        <v/>
      </c>
      <c r="W176" s="361">
        <f>V182</f>
        <v/>
      </c>
      <c r="X176" s="361">
        <f>AVERAGE(T176:W176)</f>
        <v/>
      </c>
      <c r="Y176" s="361">
        <f>W182</f>
        <v/>
      </c>
      <c r="Z176" s="361">
        <f>Y182</f>
        <v/>
      </c>
      <c r="AA176" s="361">
        <f>Z182</f>
        <v/>
      </c>
      <c r="AB176" s="361">
        <f>AA182</f>
        <v/>
      </c>
      <c r="AC176" s="361">
        <f>AVERAGE(Y176:AB176)</f>
        <v/>
      </c>
      <c r="AD176" s="361">
        <f>AB182</f>
        <v/>
      </c>
      <c r="AE176" s="361">
        <f>AD182</f>
        <v/>
      </c>
      <c r="AF176" s="361">
        <f>AE182</f>
        <v/>
      </c>
      <c r="AG176" s="361">
        <f>AF182</f>
        <v/>
      </c>
      <c r="AH176" s="361">
        <f>AVERAGE(AD176:AG176)</f>
        <v/>
      </c>
      <c r="AI176" s="361">
        <f>AG182</f>
        <v/>
      </c>
      <c r="AJ176" s="361">
        <f>AI182</f>
        <v/>
      </c>
      <c r="AK176" s="361">
        <f>AJ182</f>
        <v/>
      </c>
      <c r="AL176" s="361">
        <f>AK182</f>
        <v/>
      </c>
      <c r="AM176" s="361">
        <f>AVERAGE(AI176:AL176)</f>
        <v/>
      </c>
      <c r="AN176" s="361">
        <f>AL182</f>
        <v/>
      </c>
      <c r="AO176" s="361">
        <f>AN182</f>
        <v/>
      </c>
      <c r="AP176" s="361">
        <f>AO182</f>
        <v/>
      </c>
      <c r="AQ176" s="361">
        <f>AP182</f>
        <v/>
      </c>
      <c r="AR176" s="361">
        <f>AVERAGE(AN176:AQ176)</f>
        <v/>
      </c>
    </row>
    <row r="177" ht="13.5" customHeight="1" s="290">
      <c r="A177" s="339" t="n"/>
      <c r="B177" s="370" t="inlineStr">
        <is>
          <t xml:space="preserve">  Gross Hires / Qtr — Appraiser</t>
        </is>
      </c>
      <c r="C177" s="371" t="inlineStr">
        <is>
          <t>#/qtr</t>
        </is>
      </c>
      <c r="D177" s="372" t="inlineStr">
        <is>
          <t>← '03 Operational Assumptions' row 127 (Active)</t>
        </is>
      </c>
      <c r="E177" s="361">
        <f>'03 Operational Assumptions'!E127</f>
        <v/>
      </c>
      <c r="F177" s="361">
        <f>'03 Operational Assumptions'!F127</f>
        <v/>
      </c>
      <c r="G177" s="361">
        <f>'03 Operational Assumptions'!G127</f>
        <v/>
      </c>
      <c r="H177" s="361">
        <f>'03 Operational Assumptions'!H127</f>
        <v/>
      </c>
      <c r="I177" s="361">
        <f>SUM(E177:H177)</f>
        <v/>
      </c>
      <c r="J177" s="361">
        <f>'03 Operational Assumptions'!J127</f>
        <v/>
      </c>
      <c r="K177" s="361">
        <f>'03 Operational Assumptions'!K127</f>
        <v/>
      </c>
      <c r="L177" s="361">
        <f>'03 Operational Assumptions'!L127</f>
        <v/>
      </c>
      <c r="M177" s="361">
        <f>'03 Operational Assumptions'!M127</f>
        <v/>
      </c>
      <c r="N177" s="361">
        <f>SUM(J177:M177)</f>
        <v/>
      </c>
      <c r="O177" s="361">
        <f>'03 Operational Assumptions'!O127</f>
        <v/>
      </c>
      <c r="P177" s="361">
        <f>'03 Operational Assumptions'!P127</f>
        <v/>
      </c>
      <c r="Q177" s="361">
        <f>'03 Operational Assumptions'!Q127</f>
        <v/>
      </c>
      <c r="R177" s="361">
        <f>'03 Operational Assumptions'!R127</f>
        <v/>
      </c>
      <c r="S177" s="361">
        <f>SUM(O177:R177)</f>
        <v/>
      </c>
      <c r="T177" s="361">
        <f>'03 Operational Assumptions'!T127</f>
        <v/>
      </c>
      <c r="U177" s="361">
        <f>'03 Operational Assumptions'!U127</f>
        <v/>
      </c>
      <c r="V177" s="361">
        <f>'03 Operational Assumptions'!V127</f>
        <v/>
      </c>
      <c r="W177" s="361">
        <f>'03 Operational Assumptions'!W127</f>
        <v/>
      </c>
      <c r="X177" s="361">
        <f>SUM(T177:W177)</f>
        <v/>
      </c>
      <c r="Y177" s="361">
        <f>'03 Operational Assumptions'!Y127</f>
        <v/>
      </c>
      <c r="Z177" s="361">
        <f>'03 Operational Assumptions'!Z127</f>
        <v/>
      </c>
      <c r="AA177" s="361">
        <f>'03 Operational Assumptions'!AA127</f>
        <v/>
      </c>
      <c r="AB177" s="361">
        <f>'03 Operational Assumptions'!AB127</f>
        <v/>
      </c>
      <c r="AC177" s="361">
        <f>SUM(Y177:AB177)</f>
        <v/>
      </c>
      <c r="AD177" s="361">
        <f>'03 Operational Assumptions'!AD127</f>
        <v/>
      </c>
      <c r="AE177" s="361">
        <f>'03 Operational Assumptions'!AE127</f>
        <v/>
      </c>
      <c r="AF177" s="361">
        <f>'03 Operational Assumptions'!AF127</f>
        <v/>
      </c>
      <c r="AG177" s="361">
        <f>'03 Operational Assumptions'!AG127</f>
        <v/>
      </c>
      <c r="AH177" s="361">
        <f>SUM(AD177:AG177)</f>
        <v/>
      </c>
      <c r="AI177" s="361">
        <f>'03 Operational Assumptions'!AI127</f>
        <v/>
      </c>
      <c r="AJ177" s="361">
        <f>'03 Operational Assumptions'!AJ127</f>
        <v/>
      </c>
      <c r="AK177" s="361">
        <f>'03 Operational Assumptions'!AK127</f>
        <v/>
      </c>
      <c r="AL177" s="361">
        <f>'03 Operational Assumptions'!AL127</f>
        <v/>
      </c>
      <c r="AM177" s="361">
        <f>SUM(AI177:AL177)</f>
        <v/>
      </c>
      <c r="AN177" s="361">
        <f>'03 Operational Assumptions'!AN127</f>
        <v/>
      </c>
      <c r="AO177" s="361">
        <f>'03 Operational Assumptions'!AO127</f>
        <v/>
      </c>
      <c r="AP177" s="361">
        <f>'03 Operational Assumptions'!AP127</f>
        <v/>
      </c>
      <c r="AQ177" s="361">
        <f>'03 Operational Assumptions'!AQ127</f>
        <v/>
      </c>
      <c r="AR177" s="361">
        <f>SUM(AN177:AQ177)</f>
        <v/>
      </c>
    </row>
    <row r="178" ht="13.5" customHeight="1" s="290">
      <c r="A178" s="339" t="n"/>
      <c r="B178" s="370" t="inlineStr">
        <is>
          <t xml:space="preserve">  Attrition Rate — Appraiser</t>
        </is>
      </c>
      <c r="C178" s="371" t="inlineStr">
        <is>
          <t>%/qtr</t>
        </is>
      </c>
      <c r="D178" s="372" t="inlineStr">
        <is>
          <t>← '03 Operational Assumptions' row 131 (Active)</t>
        </is>
      </c>
      <c r="E178" s="361">
        <f>'03 Operational Assumptions'!E131</f>
        <v/>
      </c>
      <c r="F178" s="361">
        <f>'03 Operational Assumptions'!F131</f>
        <v/>
      </c>
      <c r="G178" s="361">
        <f>'03 Operational Assumptions'!G131</f>
        <v/>
      </c>
      <c r="H178" s="361">
        <f>'03 Operational Assumptions'!H131</f>
        <v/>
      </c>
      <c r="I178" s="361">
        <f>AVERAGE(E178:H178)</f>
        <v/>
      </c>
      <c r="J178" s="361">
        <f>'03 Operational Assumptions'!J131</f>
        <v/>
      </c>
      <c r="K178" s="361">
        <f>'03 Operational Assumptions'!K131</f>
        <v/>
      </c>
      <c r="L178" s="361">
        <f>'03 Operational Assumptions'!L131</f>
        <v/>
      </c>
      <c r="M178" s="361">
        <f>'03 Operational Assumptions'!M131</f>
        <v/>
      </c>
      <c r="N178" s="361">
        <f>AVERAGE(J178:M178)</f>
        <v/>
      </c>
      <c r="O178" s="361">
        <f>'03 Operational Assumptions'!O131</f>
        <v/>
      </c>
      <c r="P178" s="361">
        <f>'03 Operational Assumptions'!P131</f>
        <v/>
      </c>
      <c r="Q178" s="361">
        <f>'03 Operational Assumptions'!Q131</f>
        <v/>
      </c>
      <c r="R178" s="361">
        <f>'03 Operational Assumptions'!R131</f>
        <v/>
      </c>
      <c r="S178" s="361">
        <f>AVERAGE(O178:R178)</f>
        <v/>
      </c>
      <c r="T178" s="361">
        <f>'03 Operational Assumptions'!T131</f>
        <v/>
      </c>
      <c r="U178" s="361">
        <f>'03 Operational Assumptions'!U131</f>
        <v/>
      </c>
      <c r="V178" s="361">
        <f>'03 Operational Assumptions'!V131</f>
        <v/>
      </c>
      <c r="W178" s="361">
        <f>'03 Operational Assumptions'!W131</f>
        <v/>
      </c>
      <c r="X178" s="361">
        <f>AVERAGE(T178:W178)</f>
        <v/>
      </c>
      <c r="Y178" s="361">
        <f>'03 Operational Assumptions'!Y131</f>
        <v/>
      </c>
      <c r="Z178" s="361">
        <f>'03 Operational Assumptions'!Z131</f>
        <v/>
      </c>
      <c r="AA178" s="361">
        <f>'03 Operational Assumptions'!AA131</f>
        <v/>
      </c>
      <c r="AB178" s="361">
        <f>'03 Operational Assumptions'!AB131</f>
        <v/>
      </c>
      <c r="AC178" s="361">
        <f>AVERAGE(Y178:AB178)</f>
        <v/>
      </c>
      <c r="AD178" s="361">
        <f>'03 Operational Assumptions'!AD131</f>
        <v/>
      </c>
      <c r="AE178" s="361">
        <f>'03 Operational Assumptions'!AE131</f>
        <v/>
      </c>
      <c r="AF178" s="361">
        <f>'03 Operational Assumptions'!AF131</f>
        <v/>
      </c>
      <c r="AG178" s="361">
        <f>'03 Operational Assumptions'!AG131</f>
        <v/>
      </c>
      <c r="AH178" s="361">
        <f>AVERAGE(AD178:AG178)</f>
        <v/>
      </c>
      <c r="AI178" s="361">
        <f>'03 Operational Assumptions'!AI131</f>
        <v/>
      </c>
      <c r="AJ178" s="361">
        <f>'03 Operational Assumptions'!AJ131</f>
        <v/>
      </c>
      <c r="AK178" s="361">
        <f>'03 Operational Assumptions'!AK131</f>
        <v/>
      </c>
      <c r="AL178" s="361">
        <f>'03 Operational Assumptions'!AL131</f>
        <v/>
      </c>
      <c r="AM178" s="361">
        <f>AVERAGE(AI178:AL178)</f>
        <v/>
      </c>
      <c r="AN178" s="361">
        <f>'03 Operational Assumptions'!AN131</f>
        <v/>
      </c>
      <c r="AO178" s="361">
        <f>'03 Operational Assumptions'!AO131</f>
        <v/>
      </c>
      <c r="AP178" s="361">
        <f>'03 Operational Assumptions'!AP131</f>
        <v/>
      </c>
      <c r="AQ178" s="361">
        <f>'03 Operational Assumptions'!AQ131</f>
        <v/>
      </c>
      <c r="AR178" s="361">
        <f>AVERAGE(AN178:AQ178)</f>
        <v/>
      </c>
    </row>
    <row r="179" ht="13.5" customHeight="1" s="290">
      <c r="A179" s="339" t="n"/>
      <c r="B179" s="373" t="inlineStr">
        <is>
          <t xml:space="preserve">  Attrition Count — Appraiser</t>
        </is>
      </c>
      <c r="C179" s="374" t="inlineStr">
        <is>
          <t>#/qtr</t>
        </is>
      </c>
      <c r="D179" s="375" t="inlineStr">
        <is>
          <t xml:space="preserve"> attrition rate × Beginning HC</t>
        </is>
      </c>
      <c r="E179" s="376">
        <f>E178*E176</f>
        <v/>
      </c>
      <c r="F179" s="376">
        <f>F178*F176</f>
        <v/>
      </c>
      <c r="G179" s="376">
        <f>G178*G176</f>
        <v/>
      </c>
      <c r="H179" s="376">
        <f>H178*H176</f>
        <v/>
      </c>
      <c r="I179" s="344">
        <f>SUM(E179:H179)</f>
        <v/>
      </c>
      <c r="J179" s="376">
        <f>J178*J176</f>
        <v/>
      </c>
      <c r="K179" s="376">
        <f>K178*K176</f>
        <v/>
      </c>
      <c r="L179" s="376">
        <f>L178*L176</f>
        <v/>
      </c>
      <c r="M179" s="376">
        <f>M178*M176</f>
        <v/>
      </c>
      <c r="N179" s="344">
        <f>SUM(J179:M179)</f>
        <v/>
      </c>
      <c r="O179" s="376">
        <f>O178*O176</f>
        <v/>
      </c>
      <c r="P179" s="376">
        <f>P178*P176</f>
        <v/>
      </c>
      <c r="Q179" s="376">
        <f>Q178*Q176</f>
        <v/>
      </c>
      <c r="R179" s="376">
        <f>R178*R176</f>
        <v/>
      </c>
      <c r="S179" s="344">
        <f>SUM(O179:R179)</f>
        <v/>
      </c>
      <c r="T179" s="376">
        <f>T178*T176</f>
        <v/>
      </c>
      <c r="U179" s="376">
        <f>U178*U176</f>
        <v/>
      </c>
      <c r="V179" s="376">
        <f>V178*V176</f>
        <v/>
      </c>
      <c r="W179" s="376">
        <f>W178*W176</f>
        <v/>
      </c>
      <c r="X179" s="344">
        <f>SUM(T179:W179)</f>
        <v/>
      </c>
      <c r="Y179" s="376">
        <f>Y178*Y176</f>
        <v/>
      </c>
      <c r="Z179" s="376">
        <f>Z178*Z176</f>
        <v/>
      </c>
      <c r="AA179" s="376">
        <f>AA178*AA176</f>
        <v/>
      </c>
      <c r="AB179" s="376">
        <f>AB178*AB176</f>
        <v/>
      </c>
      <c r="AC179" s="344">
        <f>SUM(Y179:AB179)</f>
        <v/>
      </c>
      <c r="AD179" s="376">
        <f>AD178*AD176</f>
        <v/>
      </c>
      <c r="AE179" s="376">
        <f>AE178*AE176</f>
        <v/>
      </c>
      <c r="AF179" s="376">
        <f>AF178*AF176</f>
        <v/>
      </c>
      <c r="AG179" s="376">
        <f>AG178*AG176</f>
        <v/>
      </c>
      <c r="AH179" s="344">
        <f>SUM(AD179:AG179)</f>
        <v/>
      </c>
      <c r="AI179" s="376">
        <f>AI178*AI176</f>
        <v/>
      </c>
      <c r="AJ179" s="376">
        <f>AJ178*AJ176</f>
        <v/>
      </c>
      <c r="AK179" s="376">
        <f>AK178*AK176</f>
        <v/>
      </c>
      <c r="AL179" s="376">
        <f>AL178*AL176</f>
        <v/>
      </c>
      <c r="AM179" s="344">
        <f>SUM(AI179:AL179)</f>
        <v/>
      </c>
      <c r="AN179" s="376">
        <f>AN178*AN176</f>
        <v/>
      </c>
      <c r="AO179" s="376">
        <f>AO178*AO176</f>
        <v/>
      </c>
      <c r="AP179" s="376">
        <f>AP178*AP176</f>
        <v/>
      </c>
      <c r="AQ179" s="376">
        <f>AQ178*AQ176</f>
        <v/>
      </c>
      <c r="AR179" s="344">
        <f>SUM(AN179:AQ179)</f>
        <v/>
      </c>
    </row>
    <row r="180" ht="13.5" customHeight="1" s="290">
      <c r="A180" s="339" t="n"/>
      <c r="B180" s="370" t="inlineStr">
        <is>
          <t xml:space="preserve">  Ramp Factor Yr1 — Appraiser</t>
        </is>
      </c>
      <c r="C180" s="371" t="inlineStr">
        <is>
          <t>% of mature</t>
        </is>
      </c>
      <c r="D180" s="372" t="inlineStr">
        <is>
          <t>← '03 Operational Assumptions' row 153 col F (Yr1 ramp)</t>
        </is>
      </c>
      <c r="E180" s="361">
        <f>'03 Operational Assumptions'!F153</f>
        <v/>
      </c>
      <c r="F180" s="361">
        <f>'03 Operational Assumptions'!F153</f>
        <v/>
      </c>
      <c r="G180" s="361">
        <f>'03 Operational Assumptions'!F153</f>
        <v/>
      </c>
      <c r="H180" s="361">
        <f>'03 Operational Assumptions'!F153</f>
        <v/>
      </c>
      <c r="I180" s="361">
        <f>AVERAGE(E180:H180)</f>
        <v/>
      </c>
      <c r="J180" s="361">
        <f>'03 Operational Assumptions'!F153</f>
        <v/>
      </c>
      <c r="K180" s="361">
        <f>'03 Operational Assumptions'!F153</f>
        <v/>
      </c>
      <c r="L180" s="361">
        <f>'03 Operational Assumptions'!F153</f>
        <v/>
      </c>
      <c r="M180" s="361">
        <f>'03 Operational Assumptions'!F153</f>
        <v/>
      </c>
      <c r="N180" s="361">
        <f>AVERAGE(J180:M180)</f>
        <v/>
      </c>
      <c r="O180" s="361">
        <f>'03 Operational Assumptions'!F153</f>
        <v/>
      </c>
      <c r="P180" s="361">
        <f>'03 Operational Assumptions'!F153</f>
        <v/>
      </c>
      <c r="Q180" s="361">
        <f>'03 Operational Assumptions'!F153</f>
        <v/>
      </c>
      <c r="R180" s="361">
        <f>'03 Operational Assumptions'!F153</f>
        <v/>
      </c>
      <c r="S180" s="361">
        <f>AVERAGE(O180:R180)</f>
        <v/>
      </c>
      <c r="T180" s="361">
        <f>'03 Operational Assumptions'!F153</f>
        <v/>
      </c>
      <c r="U180" s="361">
        <f>'03 Operational Assumptions'!F153</f>
        <v/>
      </c>
      <c r="V180" s="361">
        <f>'03 Operational Assumptions'!F153</f>
        <v/>
      </c>
      <c r="W180" s="361">
        <f>'03 Operational Assumptions'!F153</f>
        <v/>
      </c>
      <c r="X180" s="361">
        <f>AVERAGE(T180:W180)</f>
        <v/>
      </c>
      <c r="Y180" s="361">
        <f>'03 Operational Assumptions'!F153</f>
        <v/>
      </c>
      <c r="Z180" s="361">
        <f>'03 Operational Assumptions'!F153</f>
        <v/>
      </c>
      <c r="AA180" s="361">
        <f>'03 Operational Assumptions'!F153</f>
        <v/>
      </c>
      <c r="AB180" s="361">
        <f>'03 Operational Assumptions'!F153</f>
        <v/>
      </c>
      <c r="AC180" s="361">
        <f>AVERAGE(Y180:AB180)</f>
        <v/>
      </c>
      <c r="AD180" s="361">
        <f>'03 Operational Assumptions'!F153</f>
        <v/>
      </c>
      <c r="AE180" s="361">
        <f>'03 Operational Assumptions'!F153</f>
        <v/>
      </c>
      <c r="AF180" s="361">
        <f>'03 Operational Assumptions'!F153</f>
        <v/>
      </c>
      <c r="AG180" s="361">
        <f>'03 Operational Assumptions'!F153</f>
        <v/>
      </c>
      <c r="AH180" s="361">
        <f>AVERAGE(AD180:AG180)</f>
        <v/>
      </c>
      <c r="AI180" s="361">
        <f>'03 Operational Assumptions'!F153</f>
        <v/>
      </c>
      <c r="AJ180" s="361">
        <f>'03 Operational Assumptions'!F153</f>
        <v/>
      </c>
      <c r="AK180" s="361">
        <f>'03 Operational Assumptions'!F153</f>
        <v/>
      </c>
      <c r="AL180" s="361">
        <f>'03 Operational Assumptions'!F153</f>
        <v/>
      </c>
      <c r="AM180" s="361">
        <f>AVERAGE(AI180:AL180)</f>
        <v/>
      </c>
      <c r="AN180" s="361">
        <f>'03 Operational Assumptions'!F153</f>
        <v/>
      </c>
      <c r="AO180" s="361">
        <f>'03 Operational Assumptions'!F153</f>
        <v/>
      </c>
      <c r="AP180" s="361">
        <f>'03 Operational Assumptions'!F153</f>
        <v/>
      </c>
      <c r="AQ180" s="361">
        <f>'03 Operational Assumptions'!F153</f>
        <v/>
      </c>
      <c r="AR180" s="361">
        <f>AVERAGE(AN180:AQ180)</f>
        <v/>
      </c>
    </row>
    <row r="181" ht="13.5" customHeight="1" s="290">
      <c r="A181" s="339" t="n"/>
      <c r="B181" s="377" t="inlineStr">
        <is>
          <t xml:space="preserve">  ★ EPE — Appraiser</t>
        </is>
      </c>
      <c r="C181" s="378" t="inlineStr">
        <is>
          <t>EPE</t>
        </is>
      </c>
      <c r="D181" s="375" t="inlineStr">
        <is>
          <t xml:space="preserve"> MAX(0, beg hc + (hires × Ramp) − Attrition)))</t>
        </is>
      </c>
      <c r="E181" s="379">
        <f>MAX(0,E176+(E177*E180)-E179)</f>
        <v/>
      </c>
      <c r="F181" s="379">
        <f>MAX(0,F176+(F177*F180)-F179)</f>
        <v/>
      </c>
      <c r="G181" s="379">
        <f>MAX(0,G176+(G177*G180)-G179)</f>
        <v/>
      </c>
      <c r="H181" s="379">
        <f>MAX(0,H176+(H177*H180)-H179)</f>
        <v/>
      </c>
      <c r="I181" s="379">
        <f>AVERAGE(E181:H181)</f>
        <v/>
      </c>
      <c r="J181" s="379">
        <f>MAX(0,J176+(J177*J180)-J179)</f>
        <v/>
      </c>
      <c r="K181" s="379">
        <f>MAX(0,K176+(K177*K180)-K179)</f>
        <v/>
      </c>
      <c r="L181" s="379">
        <f>MAX(0,L176+(L177*L180)-L179)</f>
        <v/>
      </c>
      <c r="M181" s="379">
        <f>MAX(0,M176+(M177*M180)-M179)</f>
        <v/>
      </c>
      <c r="N181" s="379">
        <f>AVERAGE(J181:M181)</f>
        <v/>
      </c>
      <c r="O181" s="379">
        <f>MAX(0,O176+(O177*O180)-O179)</f>
        <v/>
      </c>
      <c r="P181" s="379">
        <f>MAX(0,P176+(P177*P180)-P179)</f>
        <v/>
      </c>
      <c r="Q181" s="379">
        <f>MAX(0,Q176+(Q177*Q180)-Q179)</f>
        <v/>
      </c>
      <c r="R181" s="379">
        <f>MAX(0,R176+(R177*R180)-R179)</f>
        <v/>
      </c>
      <c r="S181" s="379">
        <f>AVERAGE(O181:R181)</f>
        <v/>
      </c>
      <c r="T181" s="379">
        <f>MAX(0,T176+(T177*T180)-T179)</f>
        <v/>
      </c>
      <c r="U181" s="379">
        <f>MAX(0,U176+(U177*U180)-U179)</f>
        <v/>
      </c>
      <c r="V181" s="379">
        <f>MAX(0,V176+(V177*V180)-V179)</f>
        <v/>
      </c>
      <c r="W181" s="379">
        <f>MAX(0,W176+(W177*W180)-W179)</f>
        <v/>
      </c>
      <c r="X181" s="379">
        <f>AVERAGE(T181:W181)</f>
        <v/>
      </c>
      <c r="Y181" s="379">
        <f>MAX(0,Y176+(Y177*Y180)-Y179)</f>
        <v/>
      </c>
      <c r="Z181" s="379">
        <f>MAX(0,Z176+(Z177*Z180)-Z179)</f>
        <v/>
      </c>
      <c r="AA181" s="379">
        <f>MAX(0,AA176+(AA177*AA180)-AA179)</f>
        <v/>
      </c>
      <c r="AB181" s="379">
        <f>MAX(0,AB176+(AB177*AB180)-AB179)</f>
        <v/>
      </c>
      <c r="AC181" s="379">
        <f>AVERAGE(Y181:AB181)</f>
        <v/>
      </c>
      <c r="AD181" s="379">
        <f>MAX(0,AD176+(AD177*AD180)-AD179)</f>
        <v/>
      </c>
      <c r="AE181" s="379">
        <f>MAX(0,AE176+(AE177*AE180)-AE179)</f>
        <v/>
      </c>
      <c r="AF181" s="379">
        <f>MAX(0,AF176+(AF177*AF180)-AF179)</f>
        <v/>
      </c>
      <c r="AG181" s="379">
        <f>MAX(0,AG176+(AG177*AG180)-AG179)</f>
        <v/>
      </c>
      <c r="AH181" s="379">
        <f>AVERAGE(AD181:AG181)</f>
        <v/>
      </c>
      <c r="AI181" s="379">
        <f>MAX(0,AI176+(AI177*AI180)-AI179)</f>
        <v/>
      </c>
      <c r="AJ181" s="379">
        <f>MAX(0,AJ176+(AJ177*AJ180)-AJ179)</f>
        <v/>
      </c>
      <c r="AK181" s="379">
        <f>MAX(0,AK176+(AK177*AK180)-AK179)</f>
        <v/>
      </c>
      <c r="AL181" s="379">
        <f>MAX(0,AL176+(AL177*AL180)-AL179)</f>
        <v/>
      </c>
      <c r="AM181" s="379">
        <f>AVERAGE(AI181:AL181)</f>
        <v/>
      </c>
      <c r="AN181" s="379">
        <f>MAX(0,AN176+(AN177*AN180)-AN179)</f>
        <v/>
      </c>
      <c r="AO181" s="379">
        <f>MAX(0,AO176+(AO177*AO180)-AO179)</f>
        <v/>
      </c>
      <c r="AP181" s="379">
        <f>MAX(0,AP176+(AP177*AP180)-AP179)</f>
        <v/>
      </c>
      <c r="AQ181" s="379">
        <f>MAX(0,AQ176+(AQ177*AQ180)-AQ179)</f>
        <v/>
      </c>
      <c r="AR181" s="379">
        <f>AVERAGE(AN181:AQ181)</f>
        <v/>
      </c>
    </row>
    <row r="182" ht="13.5" customHeight="1" s="290">
      <c r="A182" s="339" t="n"/>
      <c r="B182" s="373" t="inlineStr">
        <is>
          <t xml:space="preserve">  Ending HC — Appraiser</t>
        </is>
      </c>
      <c r="C182" s="374" t="inlineStr">
        <is>
          <t>#</t>
        </is>
      </c>
      <c r="D182" s="375" t="inlineStr">
        <is>
          <t xml:space="preserve"> MAX(0, beg hc + hires − Attrition Count))</t>
        </is>
      </c>
      <c r="E182" s="376">
        <f>MAX(0,E176+E177-E179)</f>
        <v/>
      </c>
      <c r="F182" s="376">
        <f>MAX(0,F176+F177-F179)</f>
        <v/>
      </c>
      <c r="G182" s="376">
        <f>MAX(0,G176+G177-G179)</f>
        <v/>
      </c>
      <c r="H182" s="376">
        <f>MAX(0,H176+H177-H179)</f>
        <v/>
      </c>
      <c r="I182" s="344">
        <f>AVERAGE(E182:H182)</f>
        <v/>
      </c>
      <c r="J182" s="376">
        <f>MAX(0,J176+J177-J179)</f>
        <v/>
      </c>
      <c r="K182" s="376">
        <f>MAX(0,K176+K177-K179)</f>
        <v/>
      </c>
      <c r="L182" s="376">
        <f>MAX(0,L176+L177-L179)</f>
        <v/>
      </c>
      <c r="M182" s="376">
        <f>MAX(0,M176+M177-M179)</f>
        <v/>
      </c>
      <c r="N182" s="344">
        <f>AVERAGE(J182:M182)</f>
        <v/>
      </c>
      <c r="O182" s="376">
        <f>MAX(0,O176+O177-O179)</f>
        <v/>
      </c>
      <c r="P182" s="376">
        <f>MAX(0,P176+P177-P179)</f>
        <v/>
      </c>
      <c r="Q182" s="376">
        <f>MAX(0,Q176+Q177-Q179)</f>
        <v/>
      </c>
      <c r="R182" s="376">
        <f>MAX(0,R176+R177-R179)</f>
        <v/>
      </c>
      <c r="S182" s="344">
        <f>AVERAGE(O182:R182)</f>
        <v/>
      </c>
      <c r="T182" s="376">
        <f>MAX(0,T176+T177-T179)</f>
        <v/>
      </c>
      <c r="U182" s="376">
        <f>MAX(0,U176+U177-U179)</f>
        <v/>
      </c>
      <c r="V182" s="376">
        <f>MAX(0,V176+V177-V179)</f>
        <v/>
      </c>
      <c r="W182" s="376">
        <f>MAX(0,W176+W177-W179)</f>
        <v/>
      </c>
      <c r="X182" s="344">
        <f>AVERAGE(T182:W182)</f>
        <v/>
      </c>
      <c r="Y182" s="376">
        <f>MAX(0,Y176+Y177-Y179)</f>
        <v/>
      </c>
      <c r="Z182" s="376">
        <f>MAX(0,Z176+Z177-Z179)</f>
        <v/>
      </c>
      <c r="AA182" s="376">
        <f>MAX(0,AA176+AA177-AA179)</f>
        <v/>
      </c>
      <c r="AB182" s="376">
        <f>MAX(0,AB176+AB177-AB179)</f>
        <v/>
      </c>
      <c r="AC182" s="344">
        <f>AVERAGE(Y182:AB182)</f>
        <v/>
      </c>
      <c r="AD182" s="376">
        <f>MAX(0,AD176+AD177-AD179)</f>
        <v/>
      </c>
      <c r="AE182" s="376">
        <f>MAX(0,AE176+AE177-AE179)</f>
        <v/>
      </c>
      <c r="AF182" s="376">
        <f>MAX(0,AF176+AF177-AF179)</f>
        <v/>
      </c>
      <c r="AG182" s="376">
        <f>MAX(0,AG176+AG177-AG179)</f>
        <v/>
      </c>
      <c r="AH182" s="344">
        <f>AVERAGE(AD182:AG182)</f>
        <v/>
      </c>
      <c r="AI182" s="376">
        <f>MAX(0,AI176+AI177-AI179)</f>
        <v/>
      </c>
      <c r="AJ182" s="376">
        <f>MAX(0,AJ176+AJ177-AJ179)</f>
        <v/>
      </c>
      <c r="AK182" s="376">
        <f>MAX(0,AK176+AK177-AK179)</f>
        <v/>
      </c>
      <c r="AL182" s="376">
        <f>MAX(0,AL176+AL177-AL179)</f>
        <v/>
      </c>
      <c r="AM182" s="344">
        <f>AVERAGE(AI182:AL182)</f>
        <v/>
      </c>
      <c r="AN182" s="376">
        <f>MAX(0,AN176+AN177-AN179)</f>
        <v/>
      </c>
      <c r="AO182" s="376">
        <f>MAX(0,AO176+AO177-AO179)</f>
        <v/>
      </c>
      <c r="AP182" s="376">
        <f>MAX(0,AP176+AP177-AP179)</f>
        <v/>
      </c>
      <c r="AQ182" s="376">
        <f>MAX(0,AQ176+AQ177-AQ179)</f>
        <v/>
      </c>
      <c r="AR182" s="344">
        <f>AVERAGE(AN182:AQ182)</f>
        <v/>
      </c>
    </row>
    <row r="183" ht="13.5" customHeight="1" s="290">
      <c r="A183" s="339" t="n"/>
      <c r="B183" s="373" t="inlineStr">
        <is>
          <t xml:space="preserve">  Ramp Drag — Appraiser</t>
        </is>
      </c>
      <c r="C183" s="374" t="inlineStr">
        <is>
          <t>#</t>
        </is>
      </c>
      <c r="D183" s="375" t="inlineStr">
        <is>
          <t xml:space="preserve"> ending hc − EPE  (un-ramped producer count)</t>
        </is>
      </c>
      <c r="E183" s="376">
        <f>MAX(0,E182-E181)</f>
        <v/>
      </c>
      <c r="F183" s="376">
        <f>MAX(0,F182-F181)</f>
        <v/>
      </c>
      <c r="G183" s="376">
        <f>MAX(0,G182-G181)</f>
        <v/>
      </c>
      <c r="H183" s="376">
        <f>MAX(0,H182-H181)</f>
        <v/>
      </c>
      <c r="I183" s="344">
        <f>SUM(E183:H183)</f>
        <v/>
      </c>
      <c r="J183" s="376">
        <f>MAX(0,J182-J181)</f>
        <v/>
      </c>
      <c r="K183" s="376">
        <f>MAX(0,K182-K181)</f>
        <v/>
      </c>
      <c r="L183" s="376">
        <f>MAX(0,L182-L181)</f>
        <v/>
      </c>
      <c r="M183" s="376">
        <f>MAX(0,M182-M181)</f>
        <v/>
      </c>
      <c r="N183" s="344">
        <f>SUM(J183:M183)</f>
        <v/>
      </c>
      <c r="O183" s="376">
        <f>MAX(0,O182-O181)</f>
        <v/>
      </c>
      <c r="P183" s="376">
        <f>MAX(0,P182-P181)</f>
        <v/>
      </c>
      <c r="Q183" s="376">
        <f>MAX(0,Q182-Q181)</f>
        <v/>
      </c>
      <c r="R183" s="376">
        <f>MAX(0,R182-R181)</f>
        <v/>
      </c>
      <c r="S183" s="344">
        <f>SUM(O183:R183)</f>
        <v/>
      </c>
      <c r="T183" s="376">
        <f>MAX(0,T182-T181)</f>
        <v/>
      </c>
      <c r="U183" s="376">
        <f>MAX(0,U182-U181)</f>
        <v/>
      </c>
      <c r="V183" s="376">
        <f>MAX(0,V182-V181)</f>
        <v/>
      </c>
      <c r="W183" s="376">
        <f>MAX(0,W182-W181)</f>
        <v/>
      </c>
      <c r="X183" s="344">
        <f>SUM(T183:W183)</f>
        <v/>
      </c>
      <c r="Y183" s="376">
        <f>MAX(0,Y182-Y181)</f>
        <v/>
      </c>
      <c r="Z183" s="376">
        <f>MAX(0,Z182-Z181)</f>
        <v/>
      </c>
      <c r="AA183" s="376">
        <f>MAX(0,AA182-AA181)</f>
        <v/>
      </c>
      <c r="AB183" s="376">
        <f>MAX(0,AB182-AB181)</f>
        <v/>
      </c>
      <c r="AC183" s="344">
        <f>SUM(Y183:AB183)</f>
        <v/>
      </c>
      <c r="AD183" s="376">
        <f>MAX(0,AD182-AD181)</f>
        <v/>
      </c>
      <c r="AE183" s="376">
        <f>MAX(0,AE182-AE181)</f>
        <v/>
      </c>
      <c r="AF183" s="376">
        <f>MAX(0,AF182-AF181)</f>
        <v/>
      </c>
      <c r="AG183" s="376">
        <f>MAX(0,AG182-AG181)</f>
        <v/>
      </c>
      <c r="AH183" s="344">
        <f>SUM(AD183:AG183)</f>
        <v/>
      </c>
      <c r="AI183" s="376">
        <f>MAX(0,AI182-AI181)</f>
        <v/>
      </c>
      <c r="AJ183" s="376">
        <f>MAX(0,AJ182-AJ181)</f>
        <v/>
      </c>
      <c r="AK183" s="376">
        <f>MAX(0,AK182-AK181)</f>
        <v/>
      </c>
      <c r="AL183" s="376">
        <f>MAX(0,AL182-AL181)</f>
        <v/>
      </c>
      <c r="AM183" s="344">
        <f>SUM(AI183:AL183)</f>
        <v/>
      </c>
      <c r="AN183" s="376">
        <f>MAX(0,AN182-AN181)</f>
        <v/>
      </c>
      <c r="AO183" s="376">
        <f>MAX(0,AO182-AO181)</f>
        <v/>
      </c>
      <c r="AP183" s="376">
        <f>MAX(0,AP182-AP181)</f>
        <v/>
      </c>
      <c r="AQ183" s="376">
        <f>MAX(0,AQ182-AQ181)</f>
        <v/>
      </c>
      <c r="AR183" s="344">
        <f>SUM(AN183:AQ183)</f>
        <v/>
      </c>
    </row>
    <row r="184" ht="4.5" customHeight="1" s="290"/>
    <row r="185" ht="13.5" customHeight="1" s="290">
      <c r="A185" s="369" t="inlineStr">
        <is>
          <t xml:space="preserve">    ── Analyst ──</t>
        </is>
      </c>
    </row>
    <row r="186" ht="13.5" customHeight="1" s="290">
      <c r="A186" s="339" t="n"/>
      <c r="B186" s="370" t="inlineStr">
        <is>
          <t xml:space="preserve">  Beginning HC — Analyst</t>
        </is>
      </c>
      <c r="C186" s="371" t="inlineStr">
        <is>
          <t>#</t>
        </is>
      </c>
      <c r="D186" s="372" t="inlineStr">
        <is>
          <t>← '03 Operational Assumptions' row 133</t>
        </is>
      </c>
      <c r="E186" s="361">
        <f>'03 Operational Assumptions'!E133</f>
        <v/>
      </c>
      <c r="F186" s="361">
        <f>E192</f>
        <v/>
      </c>
      <c r="G186" s="361">
        <f>F192</f>
        <v/>
      </c>
      <c r="H186" s="361">
        <f>G192</f>
        <v/>
      </c>
      <c r="I186" s="361">
        <f>AVERAGE(E186:H186)</f>
        <v/>
      </c>
      <c r="J186" s="361">
        <f>H192</f>
        <v/>
      </c>
      <c r="K186" s="361">
        <f>J192</f>
        <v/>
      </c>
      <c r="L186" s="361">
        <f>K192</f>
        <v/>
      </c>
      <c r="M186" s="361">
        <f>L192</f>
        <v/>
      </c>
      <c r="N186" s="361">
        <f>AVERAGE(J186:M186)</f>
        <v/>
      </c>
      <c r="O186" s="361">
        <f>M192</f>
        <v/>
      </c>
      <c r="P186" s="361">
        <f>O192</f>
        <v/>
      </c>
      <c r="Q186" s="361">
        <f>P192</f>
        <v/>
      </c>
      <c r="R186" s="361">
        <f>Q192</f>
        <v/>
      </c>
      <c r="S186" s="361">
        <f>AVERAGE(O186:R186)</f>
        <v/>
      </c>
      <c r="T186" s="361">
        <f>R192</f>
        <v/>
      </c>
      <c r="U186" s="361">
        <f>T192</f>
        <v/>
      </c>
      <c r="V186" s="361">
        <f>U192</f>
        <v/>
      </c>
      <c r="W186" s="361">
        <f>V192</f>
        <v/>
      </c>
      <c r="X186" s="361">
        <f>AVERAGE(T186:W186)</f>
        <v/>
      </c>
      <c r="Y186" s="361">
        <f>W192</f>
        <v/>
      </c>
      <c r="Z186" s="361">
        <f>Y192</f>
        <v/>
      </c>
      <c r="AA186" s="361">
        <f>Z192</f>
        <v/>
      </c>
      <c r="AB186" s="361">
        <f>AA192</f>
        <v/>
      </c>
      <c r="AC186" s="361">
        <f>AVERAGE(Y186:AB186)</f>
        <v/>
      </c>
      <c r="AD186" s="361">
        <f>AB192</f>
        <v/>
      </c>
      <c r="AE186" s="361">
        <f>AD192</f>
        <v/>
      </c>
      <c r="AF186" s="361">
        <f>AE192</f>
        <v/>
      </c>
      <c r="AG186" s="361">
        <f>AF192</f>
        <v/>
      </c>
      <c r="AH186" s="361">
        <f>AVERAGE(AD186:AG186)</f>
        <v/>
      </c>
      <c r="AI186" s="361">
        <f>AG192</f>
        <v/>
      </c>
      <c r="AJ186" s="361">
        <f>AI192</f>
        <v/>
      </c>
      <c r="AK186" s="361">
        <f>AJ192</f>
        <v/>
      </c>
      <c r="AL186" s="361">
        <f>AK192</f>
        <v/>
      </c>
      <c r="AM186" s="361">
        <f>AVERAGE(AI186:AL186)</f>
        <v/>
      </c>
      <c r="AN186" s="361">
        <f>AL192</f>
        <v/>
      </c>
      <c r="AO186" s="361">
        <f>AN192</f>
        <v/>
      </c>
      <c r="AP186" s="361">
        <f>AO192</f>
        <v/>
      </c>
      <c r="AQ186" s="361">
        <f>AP192</f>
        <v/>
      </c>
      <c r="AR186" s="361">
        <f>AVERAGE(AN186:AQ186)</f>
        <v/>
      </c>
    </row>
    <row r="187" ht="13.5" customHeight="1" s="290">
      <c r="A187" s="339" t="n"/>
      <c r="B187" s="370" t="inlineStr">
        <is>
          <t xml:space="preserve">  Gross Hires / Qtr — Analyst</t>
        </is>
      </c>
      <c r="C187" s="371" t="inlineStr">
        <is>
          <t>#/qtr</t>
        </is>
      </c>
      <c r="D187" s="372" t="inlineStr">
        <is>
          <t>← '03 Operational Assumptions' row 137 (Active)</t>
        </is>
      </c>
      <c r="E187" s="361">
        <f>'03 Operational Assumptions'!E137</f>
        <v/>
      </c>
      <c r="F187" s="361">
        <f>'03 Operational Assumptions'!F137</f>
        <v/>
      </c>
      <c r="G187" s="361">
        <f>'03 Operational Assumptions'!G137</f>
        <v/>
      </c>
      <c r="H187" s="361">
        <f>'03 Operational Assumptions'!H137</f>
        <v/>
      </c>
      <c r="I187" s="361">
        <f>SUM(E187:H187)</f>
        <v/>
      </c>
      <c r="J187" s="361">
        <f>'03 Operational Assumptions'!J137</f>
        <v/>
      </c>
      <c r="K187" s="361">
        <f>'03 Operational Assumptions'!K137</f>
        <v/>
      </c>
      <c r="L187" s="361">
        <f>'03 Operational Assumptions'!L137</f>
        <v/>
      </c>
      <c r="M187" s="361">
        <f>'03 Operational Assumptions'!M137</f>
        <v/>
      </c>
      <c r="N187" s="361">
        <f>SUM(J187:M187)</f>
        <v/>
      </c>
      <c r="O187" s="361">
        <f>'03 Operational Assumptions'!O137</f>
        <v/>
      </c>
      <c r="P187" s="361">
        <f>'03 Operational Assumptions'!P137</f>
        <v/>
      </c>
      <c r="Q187" s="361">
        <f>'03 Operational Assumptions'!Q137</f>
        <v/>
      </c>
      <c r="R187" s="361">
        <f>'03 Operational Assumptions'!R137</f>
        <v/>
      </c>
      <c r="S187" s="361">
        <f>SUM(O187:R187)</f>
        <v/>
      </c>
      <c r="T187" s="361">
        <f>'03 Operational Assumptions'!T137</f>
        <v/>
      </c>
      <c r="U187" s="361">
        <f>'03 Operational Assumptions'!U137</f>
        <v/>
      </c>
      <c r="V187" s="361">
        <f>'03 Operational Assumptions'!V137</f>
        <v/>
      </c>
      <c r="W187" s="361">
        <f>'03 Operational Assumptions'!W137</f>
        <v/>
      </c>
      <c r="X187" s="361">
        <f>SUM(T187:W187)</f>
        <v/>
      </c>
      <c r="Y187" s="361">
        <f>'03 Operational Assumptions'!Y137</f>
        <v/>
      </c>
      <c r="Z187" s="361">
        <f>'03 Operational Assumptions'!Z137</f>
        <v/>
      </c>
      <c r="AA187" s="361">
        <f>'03 Operational Assumptions'!AA137</f>
        <v/>
      </c>
      <c r="AB187" s="361">
        <f>'03 Operational Assumptions'!AB137</f>
        <v/>
      </c>
      <c r="AC187" s="361">
        <f>SUM(Y187:AB187)</f>
        <v/>
      </c>
      <c r="AD187" s="361">
        <f>'03 Operational Assumptions'!AD137</f>
        <v/>
      </c>
      <c r="AE187" s="361">
        <f>'03 Operational Assumptions'!AE137</f>
        <v/>
      </c>
      <c r="AF187" s="361">
        <f>'03 Operational Assumptions'!AF137</f>
        <v/>
      </c>
      <c r="AG187" s="361">
        <f>'03 Operational Assumptions'!AG137</f>
        <v/>
      </c>
      <c r="AH187" s="361">
        <f>SUM(AD187:AG187)</f>
        <v/>
      </c>
      <c r="AI187" s="361">
        <f>'03 Operational Assumptions'!AI137</f>
        <v/>
      </c>
      <c r="AJ187" s="361">
        <f>'03 Operational Assumptions'!AJ137</f>
        <v/>
      </c>
      <c r="AK187" s="361">
        <f>'03 Operational Assumptions'!AK137</f>
        <v/>
      </c>
      <c r="AL187" s="361">
        <f>'03 Operational Assumptions'!AL137</f>
        <v/>
      </c>
      <c r="AM187" s="361">
        <f>SUM(AI187:AL187)</f>
        <v/>
      </c>
      <c r="AN187" s="361">
        <f>'03 Operational Assumptions'!AN137</f>
        <v/>
      </c>
      <c r="AO187" s="361">
        <f>'03 Operational Assumptions'!AO137</f>
        <v/>
      </c>
      <c r="AP187" s="361">
        <f>'03 Operational Assumptions'!AP137</f>
        <v/>
      </c>
      <c r="AQ187" s="361">
        <f>'03 Operational Assumptions'!AQ137</f>
        <v/>
      </c>
      <c r="AR187" s="361">
        <f>SUM(AN187:AQ187)</f>
        <v/>
      </c>
    </row>
    <row r="188" ht="13.5" customHeight="1" s="290">
      <c r="A188" s="339" t="n"/>
      <c r="B188" s="370" t="inlineStr">
        <is>
          <t xml:space="preserve">  Attrition Rate — Analyst</t>
        </is>
      </c>
      <c r="C188" s="371" t="inlineStr">
        <is>
          <t>%/qtr</t>
        </is>
      </c>
      <c r="D188" s="372" t="inlineStr">
        <is>
          <t>← '03 Operational Assumptions' row 141 (Active)</t>
        </is>
      </c>
      <c r="E188" s="361">
        <f>'03 Operational Assumptions'!E141</f>
        <v/>
      </c>
      <c r="F188" s="361">
        <f>'03 Operational Assumptions'!F141</f>
        <v/>
      </c>
      <c r="G188" s="361">
        <f>'03 Operational Assumptions'!G141</f>
        <v/>
      </c>
      <c r="H188" s="361">
        <f>'03 Operational Assumptions'!H141</f>
        <v/>
      </c>
      <c r="I188" s="361">
        <f>AVERAGE(E188:H188)</f>
        <v/>
      </c>
      <c r="J188" s="361">
        <f>'03 Operational Assumptions'!J141</f>
        <v/>
      </c>
      <c r="K188" s="361">
        <f>'03 Operational Assumptions'!K141</f>
        <v/>
      </c>
      <c r="L188" s="361">
        <f>'03 Operational Assumptions'!L141</f>
        <v/>
      </c>
      <c r="M188" s="361">
        <f>'03 Operational Assumptions'!M141</f>
        <v/>
      </c>
      <c r="N188" s="361">
        <f>AVERAGE(J188:M188)</f>
        <v/>
      </c>
      <c r="O188" s="361">
        <f>'03 Operational Assumptions'!O141</f>
        <v/>
      </c>
      <c r="P188" s="361">
        <f>'03 Operational Assumptions'!P141</f>
        <v/>
      </c>
      <c r="Q188" s="361">
        <f>'03 Operational Assumptions'!Q141</f>
        <v/>
      </c>
      <c r="R188" s="361">
        <f>'03 Operational Assumptions'!R141</f>
        <v/>
      </c>
      <c r="S188" s="361">
        <f>AVERAGE(O188:R188)</f>
        <v/>
      </c>
      <c r="T188" s="361">
        <f>'03 Operational Assumptions'!T141</f>
        <v/>
      </c>
      <c r="U188" s="361">
        <f>'03 Operational Assumptions'!U141</f>
        <v/>
      </c>
      <c r="V188" s="361">
        <f>'03 Operational Assumptions'!V141</f>
        <v/>
      </c>
      <c r="W188" s="361">
        <f>'03 Operational Assumptions'!W141</f>
        <v/>
      </c>
      <c r="X188" s="361">
        <f>AVERAGE(T188:W188)</f>
        <v/>
      </c>
      <c r="Y188" s="361">
        <f>'03 Operational Assumptions'!Y141</f>
        <v/>
      </c>
      <c r="Z188" s="361">
        <f>'03 Operational Assumptions'!Z141</f>
        <v/>
      </c>
      <c r="AA188" s="361">
        <f>'03 Operational Assumptions'!AA141</f>
        <v/>
      </c>
      <c r="AB188" s="361">
        <f>'03 Operational Assumptions'!AB141</f>
        <v/>
      </c>
      <c r="AC188" s="361">
        <f>AVERAGE(Y188:AB188)</f>
        <v/>
      </c>
      <c r="AD188" s="361">
        <f>'03 Operational Assumptions'!AD141</f>
        <v/>
      </c>
      <c r="AE188" s="361">
        <f>'03 Operational Assumptions'!AE141</f>
        <v/>
      </c>
      <c r="AF188" s="361">
        <f>'03 Operational Assumptions'!AF141</f>
        <v/>
      </c>
      <c r="AG188" s="361">
        <f>'03 Operational Assumptions'!AG141</f>
        <v/>
      </c>
      <c r="AH188" s="361">
        <f>AVERAGE(AD188:AG188)</f>
        <v/>
      </c>
      <c r="AI188" s="361">
        <f>'03 Operational Assumptions'!AI141</f>
        <v/>
      </c>
      <c r="AJ188" s="361">
        <f>'03 Operational Assumptions'!AJ141</f>
        <v/>
      </c>
      <c r="AK188" s="361">
        <f>'03 Operational Assumptions'!AK141</f>
        <v/>
      </c>
      <c r="AL188" s="361">
        <f>'03 Operational Assumptions'!AL141</f>
        <v/>
      </c>
      <c r="AM188" s="361">
        <f>AVERAGE(AI188:AL188)</f>
        <v/>
      </c>
      <c r="AN188" s="361">
        <f>'03 Operational Assumptions'!AN141</f>
        <v/>
      </c>
      <c r="AO188" s="361">
        <f>'03 Operational Assumptions'!AO141</f>
        <v/>
      </c>
      <c r="AP188" s="361">
        <f>'03 Operational Assumptions'!AP141</f>
        <v/>
      </c>
      <c r="AQ188" s="361">
        <f>'03 Operational Assumptions'!AQ141</f>
        <v/>
      </c>
      <c r="AR188" s="361">
        <f>AVERAGE(AN188:AQ188)</f>
        <v/>
      </c>
    </row>
    <row r="189" ht="13.5" customHeight="1" s="290">
      <c r="A189" s="339" t="n"/>
      <c r="B189" s="373" t="inlineStr">
        <is>
          <t xml:space="preserve">  Attrition Count — Analyst</t>
        </is>
      </c>
      <c r="C189" s="374" t="inlineStr">
        <is>
          <t>#/qtr</t>
        </is>
      </c>
      <c r="D189" s="375" t="inlineStr">
        <is>
          <t xml:space="preserve"> attrition rate × Beginning HC</t>
        </is>
      </c>
      <c r="E189" s="376">
        <f>E188*E186</f>
        <v/>
      </c>
      <c r="F189" s="376">
        <f>F188*F186</f>
        <v/>
      </c>
      <c r="G189" s="376">
        <f>G188*G186</f>
        <v/>
      </c>
      <c r="H189" s="376">
        <f>H188*H186</f>
        <v/>
      </c>
      <c r="I189" s="344">
        <f>SUM(E189:H189)</f>
        <v/>
      </c>
      <c r="J189" s="376">
        <f>J188*J186</f>
        <v/>
      </c>
      <c r="K189" s="376">
        <f>K188*K186</f>
        <v/>
      </c>
      <c r="L189" s="376">
        <f>L188*L186</f>
        <v/>
      </c>
      <c r="M189" s="376">
        <f>M188*M186</f>
        <v/>
      </c>
      <c r="N189" s="344">
        <f>SUM(J189:M189)</f>
        <v/>
      </c>
      <c r="O189" s="376">
        <f>O188*O186</f>
        <v/>
      </c>
      <c r="P189" s="376">
        <f>P188*P186</f>
        <v/>
      </c>
      <c r="Q189" s="376">
        <f>Q188*Q186</f>
        <v/>
      </c>
      <c r="R189" s="376">
        <f>R188*R186</f>
        <v/>
      </c>
      <c r="S189" s="344">
        <f>SUM(O189:R189)</f>
        <v/>
      </c>
      <c r="T189" s="376">
        <f>T188*T186</f>
        <v/>
      </c>
      <c r="U189" s="376">
        <f>U188*U186</f>
        <v/>
      </c>
      <c r="V189" s="376">
        <f>V188*V186</f>
        <v/>
      </c>
      <c r="W189" s="376">
        <f>W188*W186</f>
        <v/>
      </c>
      <c r="X189" s="344">
        <f>SUM(T189:W189)</f>
        <v/>
      </c>
      <c r="Y189" s="376">
        <f>Y188*Y186</f>
        <v/>
      </c>
      <c r="Z189" s="376">
        <f>Z188*Z186</f>
        <v/>
      </c>
      <c r="AA189" s="376">
        <f>AA188*AA186</f>
        <v/>
      </c>
      <c r="AB189" s="376">
        <f>AB188*AB186</f>
        <v/>
      </c>
      <c r="AC189" s="344">
        <f>SUM(Y189:AB189)</f>
        <v/>
      </c>
      <c r="AD189" s="376">
        <f>AD188*AD186</f>
        <v/>
      </c>
      <c r="AE189" s="376">
        <f>AE188*AE186</f>
        <v/>
      </c>
      <c r="AF189" s="376">
        <f>AF188*AF186</f>
        <v/>
      </c>
      <c r="AG189" s="376">
        <f>AG188*AG186</f>
        <v/>
      </c>
      <c r="AH189" s="344">
        <f>SUM(AD189:AG189)</f>
        <v/>
      </c>
      <c r="AI189" s="376">
        <f>AI188*AI186</f>
        <v/>
      </c>
      <c r="AJ189" s="376">
        <f>AJ188*AJ186</f>
        <v/>
      </c>
      <c r="AK189" s="376">
        <f>AK188*AK186</f>
        <v/>
      </c>
      <c r="AL189" s="376">
        <f>AL188*AL186</f>
        <v/>
      </c>
      <c r="AM189" s="344">
        <f>SUM(AI189:AL189)</f>
        <v/>
      </c>
      <c r="AN189" s="376">
        <f>AN188*AN186</f>
        <v/>
      </c>
      <c r="AO189" s="376">
        <f>AO188*AO186</f>
        <v/>
      </c>
      <c r="AP189" s="376">
        <f>AP188*AP186</f>
        <v/>
      </c>
      <c r="AQ189" s="376">
        <f>AQ188*AQ186</f>
        <v/>
      </c>
      <c r="AR189" s="344">
        <f>SUM(AN189:AQ189)</f>
        <v/>
      </c>
    </row>
    <row r="190" ht="13.5" customHeight="1" s="290">
      <c r="A190" s="339" t="n"/>
      <c r="B190" s="370" t="inlineStr">
        <is>
          <t xml:space="preserve">  Ramp Factor Yr1 — Analyst</t>
        </is>
      </c>
      <c r="C190" s="371" t="inlineStr">
        <is>
          <t>% of mature</t>
        </is>
      </c>
      <c r="D190" s="372" t="inlineStr">
        <is>
          <t>← '03 Operational Assumptions' row 153 col G (Yr1 ramp)</t>
        </is>
      </c>
      <c r="E190" s="361">
        <f>'03 Operational Assumptions'!G153</f>
        <v/>
      </c>
      <c r="F190" s="361">
        <f>'03 Operational Assumptions'!G153</f>
        <v/>
      </c>
      <c r="G190" s="361">
        <f>'03 Operational Assumptions'!G153</f>
        <v/>
      </c>
      <c r="H190" s="361">
        <f>'03 Operational Assumptions'!G153</f>
        <v/>
      </c>
      <c r="I190" s="361">
        <f>AVERAGE(E190:H190)</f>
        <v/>
      </c>
      <c r="J190" s="361">
        <f>'03 Operational Assumptions'!G153</f>
        <v/>
      </c>
      <c r="K190" s="361">
        <f>'03 Operational Assumptions'!G153</f>
        <v/>
      </c>
      <c r="L190" s="361">
        <f>'03 Operational Assumptions'!G153</f>
        <v/>
      </c>
      <c r="M190" s="361">
        <f>'03 Operational Assumptions'!G153</f>
        <v/>
      </c>
      <c r="N190" s="361">
        <f>AVERAGE(J190:M190)</f>
        <v/>
      </c>
      <c r="O190" s="361">
        <f>'03 Operational Assumptions'!G153</f>
        <v/>
      </c>
      <c r="P190" s="361">
        <f>'03 Operational Assumptions'!G153</f>
        <v/>
      </c>
      <c r="Q190" s="361">
        <f>'03 Operational Assumptions'!G153</f>
        <v/>
      </c>
      <c r="R190" s="361">
        <f>'03 Operational Assumptions'!G153</f>
        <v/>
      </c>
      <c r="S190" s="361">
        <f>AVERAGE(O190:R190)</f>
        <v/>
      </c>
      <c r="T190" s="361">
        <f>'03 Operational Assumptions'!G153</f>
        <v/>
      </c>
      <c r="U190" s="361">
        <f>'03 Operational Assumptions'!G153</f>
        <v/>
      </c>
      <c r="V190" s="361">
        <f>'03 Operational Assumptions'!G153</f>
        <v/>
      </c>
      <c r="W190" s="361">
        <f>'03 Operational Assumptions'!G153</f>
        <v/>
      </c>
      <c r="X190" s="361">
        <f>AVERAGE(T190:W190)</f>
        <v/>
      </c>
      <c r="Y190" s="361">
        <f>'03 Operational Assumptions'!G153</f>
        <v/>
      </c>
      <c r="Z190" s="361">
        <f>'03 Operational Assumptions'!G153</f>
        <v/>
      </c>
      <c r="AA190" s="361">
        <f>'03 Operational Assumptions'!G153</f>
        <v/>
      </c>
      <c r="AB190" s="361">
        <f>'03 Operational Assumptions'!G153</f>
        <v/>
      </c>
      <c r="AC190" s="361">
        <f>AVERAGE(Y190:AB190)</f>
        <v/>
      </c>
      <c r="AD190" s="361">
        <f>'03 Operational Assumptions'!G153</f>
        <v/>
      </c>
      <c r="AE190" s="361">
        <f>'03 Operational Assumptions'!G153</f>
        <v/>
      </c>
      <c r="AF190" s="361">
        <f>'03 Operational Assumptions'!G153</f>
        <v/>
      </c>
      <c r="AG190" s="361">
        <f>'03 Operational Assumptions'!G153</f>
        <v/>
      </c>
      <c r="AH190" s="361">
        <f>AVERAGE(AD190:AG190)</f>
        <v/>
      </c>
      <c r="AI190" s="361">
        <f>'03 Operational Assumptions'!G153</f>
        <v/>
      </c>
      <c r="AJ190" s="361">
        <f>'03 Operational Assumptions'!G153</f>
        <v/>
      </c>
      <c r="AK190" s="361">
        <f>'03 Operational Assumptions'!G153</f>
        <v/>
      </c>
      <c r="AL190" s="361">
        <f>'03 Operational Assumptions'!G153</f>
        <v/>
      </c>
      <c r="AM190" s="361">
        <f>AVERAGE(AI190:AL190)</f>
        <v/>
      </c>
      <c r="AN190" s="361">
        <f>'03 Operational Assumptions'!G153</f>
        <v/>
      </c>
      <c r="AO190" s="361">
        <f>'03 Operational Assumptions'!G153</f>
        <v/>
      </c>
      <c r="AP190" s="361">
        <f>'03 Operational Assumptions'!G153</f>
        <v/>
      </c>
      <c r="AQ190" s="361">
        <f>'03 Operational Assumptions'!G153</f>
        <v/>
      </c>
      <c r="AR190" s="361">
        <f>AVERAGE(AN190:AQ190)</f>
        <v/>
      </c>
    </row>
    <row r="191" ht="13.5" customHeight="1" s="290">
      <c r="A191" s="339" t="n"/>
      <c r="B191" s="377" t="inlineStr">
        <is>
          <t xml:space="preserve">  ★ EPE — Analyst</t>
        </is>
      </c>
      <c r="C191" s="378" t="inlineStr">
        <is>
          <t>EPE</t>
        </is>
      </c>
      <c r="D191" s="375" t="inlineStr">
        <is>
          <t xml:space="preserve"> MAX(0, beg hc + (hires × Ramp) − Attrition)))</t>
        </is>
      </c>
      <c r="E191" s="379">
        <f>MAX(0,E186+(E187*E190)-E189)</f>
        <v/>
      </c>
      <c r="F191" s="379">
        <f>MAX(0,F186+(F187*F190)-F189)</f>
        <v/>
      </c>
      <c r="G191" s="379">
        <f>MAX(0,G186+(G187*G190)-G189)</f>
        <v/>
      </c>
      <c r="H191" s="379">
        <f>MAX(0,H186+(H187*H190)-H189)</f>
        <v/>
      </c>
      <c r="I191" s="379">
        <f>AVERAGE(E191:H191)</f>
        <v/>
      </c>
      <c r="J191" s="379">
        <f>MAX(0,J186+(J187*J190)-J189)</f>
        <v/>
      </c>
      <c r="K191" s="379">
        <f>MAX(0,K186+(K187*K190)-K189)</f>
        <v/>
      </c>
      <c r="L191" s="379">
        <f>MAX(0,L186+(L187*L190)-L189)</f>
        <v/>
      </c>
      <c r="M191" s="379">
        <f>MAX(0,M186+(M187*M190)-M189)</f>
        <v/>
      </c>
      <c r="N191" s="379">
        <f>AVERAGE(J191:M191)</f>
        <v/>
      </c>
      <c r="O191" s="379">
        <f>MAX(0,O186+(O187*O190)-O189)</f>
        <v/>
      </c>
      <c r="P191" s="379">
        <f>MAX(0,P186+(P187*P190)-P189)</f>
        <v/>
      </c>
      <c r="Q191" s="379">
        <f>MAX(0,Q186+(Q187*Q190)-Q189)</f>
        <v/>
      </c>
      <c r="R191" s="379">
        <f>MAX(0,R186+(R187*R190)-R189)</f>
        <v/>
      </c>
      <c r="S191" s="379">
        <f>AVERAGE(O191:R191)</f>
        <v/>
      </c>
      <c r="T191" s="379">
        <f>MAX(0,T186+(T187*T190)-T189)</f>
        <v/>
      </c>
      <c r="U191" s="379">
        <f>MAX(0,U186+(U187*U190)-U189)</f>
        <v/>
      </c>
      <c r="V191" s="379">
        <f>MAX(0,V186+(V187*V190)-V189)</f>
        <v/>
      </c>
      <c r="W191" s="379">
        <f>MAX(0,W186+(W187*W190)-W189)</f>
        <v/>
      </c>
      <c r="X191" s="379">
        <f>AVERAGE(T191:W191)</f>
        <v/>
      </c>
      <c r="Y191" s="379">
        <f>MAX(0,Y186+(Y187*Y190)-Y189)</f>
        <v/>
      </c>
      <c r="Z191" s="379">
        <f>MAX(0,Z186+(Z187*Z190)-Z189)</f>
        <v/>
      </c>
      <c r="AA191" s="379">
        <f>MAX(0,AA186+(AA187*AA190)-AA189)</f>
        <v/>
      </c>
      <c r="AB191" s="379">
        <f>MAX(0,AB186+(AB187*AB190)-AB189)</f>
        <v/>
      </c>
      <c r="AC191" s="379">
        <f>AVERAGE(Y191:AB191)</f>
        <v/>
      </c>
      <c r="AD191" s="379">
        <f>MAX(0,AD186+(AD187*AD190)-AD189)</f>
        <v/>
      </c>
      <c r="AE191" s="379">
        <f>MAX(0,AE186+(AE187*AE190)-AE189)</f>
        <v/>
      </c>
      <c r="AF191" s="379">
        <f>MAX(0,AF186+(AF187*AF190)-AF189)</f>
        <v/>
      </c>
      <c r="AG191" s="379">
        <f>MAX(0,AG186+(AG187*AG190)-AG189)</f>
        <v/>
      </c>
      <c r="AH191" s="379">
        <f>AVERAGE(AD191:AG191)</f>
        <v/>
      </c>
      <c r="AI191" s="379">
        <f>MAX(0,AI186+(AI187*AI190)-AI189)</f>
        <v/>
      </c>
      <c r="AJ191" s="379">
        <f>MAX(0,AJ186+(AJ187*AJ190)-AJ189)</f>
        <v/>
      </c>
      <c r="AK191" s="379">
        <f>MAX(0,AK186+(AK187*AK190)-AK189)</f>
        <v/>
      </c>
      <c r="AL191" s="379">
        <f>MAX(0,AL186+(AL187*AL190)-AL189)</f>
        <v/>
      </c>
      <c r="AM191" s="379">
        <f>AVERAGE(AI191:AL191)</f>
        <v/>
      </c>
      <c r="AN191" s="379">
        <f>MAX(0,AN186+(AN187*AN190)-AN189)</f>
        <v/>
      </c>
      <c r="AO191" s="379">
        <f>MAX(0,AO186+(AO187*AO190)-AO189)</f>
        <v/>
      </c>
      <c r="AP191" s="379">
        <f>MAX(0,AP186+(AP187*AP190)-AP189)</f>
        <v/>
      </c>
      <c r="AQ191" s="379">
        <f>MAX(0,AQ186+(AQ187*AQ190)-AQ189)</f>
        <v/>
      </c>
      <c r="AR191" s="379">
        <f>AVERAGE(AN191:AQ191)</f>
        <v/>
      </c>
    </row>
    <row r="192" ht="13.5" customHeight="1" s="290">
      <c r="A192" s="339" t="n"/>
      <c r="B192" s="373" t="inlineStr">
        <is>
          <t xml:space="preserve">  Ending HC — Analyst</t>
        </is>
      </c>
      <c r="C192" s="374" t="inlineStr">
        <is>
          <t>#</t>
        </is>
      </c>
      <c r="D192" s="375" t="inlineStr">
        <is>
          <t xml:space="preserve"> MAX(0, beg hc + hires − Attrition Count))</t>
        </is>
      </c>
      <c r="E192" s="376">
        <f>MAX(0,E186+E187-E189)</f>
        <v/>
      </c>
      <c r="F192" s="376">
        <f>MAX(0,F186+F187-F189)</f>
        <v/>
      </c>
      <c r="G192" s="376">
        <f>MAX(0,G186+G187-G189)</f>
        <v/>
      </c>
      <c r="H192" s="376">
        <f>MAX(0,H186+H187-H189)</f>
        <v/>
      </c>
      <c r="I192" s="344">
        <f>AVERAGE(E192:H192)</f>
        <v/>
      </c>
      <c r="J192" s="376">
        <f>MAX(0,J186+J187-J189)</f>
        <v/>
      </c>
      <c r="K192" s="376">
        <f>MAX(0,K186+K187-K189)</f>
        <v/>
      </c>
      <c r="L192" s="376">
        <f>MAX(0,L186+L187-L189)</f>
        <v/>
      </c>
      <c r="M192" s="376">
        <f>MAX(0,M186+M187-M189)</f>
        <v/>
      </c>
      <c r="N192" s="344">
        <f>AVERAGE(J192:M192)</f>
        <v/>
      </c>
      <c r="O192" s="376">
        <f>MAX(0,O186+O187-O189)</f>
        <v/>
      </c>
      <c r="P192" s="376">
        <f>MAX(0,P186+P187-P189)</f>
        <v/>
      </c>
      <c r="Q192" s="376">
        <f>MAX(0,Q186+Q187-Q189)</f>
        <v/>
      </c>
      <c r="R192" s="376">
        <f>MAX(0,R186+R187-R189)</f>
        <v/>
      </c>
      <c r="S192" s="344">
        <f>AVERAGE(O192:R192)</f>
        <v/>
      </c>
      <c r="T192" s="376">
        <f>MAX(0,T186+T187-T189)</f>
        <v/>
      </c>
      <c r="U192" s="376">
        <f>MAX(0,U186+U187-U189)</f>
        <v/>
      </c>
      <c r="V192" s="376">
        <f>MAX(0,V186+V187-V189)</f>
        <v/>
      </c>
      <c r="W192" s="376">
        <f>MAX(0,W186+W187-W189)</f>
        <v/>
      </c>
      <c r="X192" s="344">
        <f>AVERAGE(T192:W192)</f>
        <v/>
      </c>
      <c r="Y192" s="376">
        <f>MAX(0,Y186+Y187-Y189)</f>
        <v/>
      </c>
      <c r="Z192" s="376">
        <f>MAX(0,Z186+Z187-Z189)</f>
        <v/>
      </c>
      <c r="AA192" s="376">
        <f>MAX(0,AA186+AA187-AA189)</f>
        <v/>
      </c>
      <c r="AB192" s="376">
        <f>MAX(0,AB186+AB187-AB189)</f>
        <v/>
      </c>
      <c r="AC192" s="344">
        <f>AVERAGE(Y192:AB192)</f>
        <v/>
      </c>
      <c r="AD192" s="376">
        <f>MAX(0,AD186+AD187-AD189)</f>
        <v/>
      </c>
      <c r="AE192" s="376">
        <f>MAX(0,AE186+AE187-AE189)</f>
        <v/>
      </c>
      <c r="AF192" s="376">
        <f>MAX(0,AF186+AF187-AF189)</f>
        <v/>
      </c>
      <c r="AG192" s="376">
        <f>MAX(0,AG186+AG187-AG189)</f>
        <v/>
      </c>
      <c r="AH192" s="344">
        <f>AVERAGE(AD192:AG192)</f>
        <v/>
      </c>
      <c r="AI192" s="376">
        <f>MAX(0,AI186+AI187-AI189)</f>
        <v/>
      </c>
      <c r="AJ192" s="376">
        <f>MAX(0,AJ186+AJ187-AJ189)</f>
        <v/>
      </c>
      <c r="AK192" s="376">
        <f>MAX(0,AK186+AK187-AK189)</f>
        <v/>
      </c>
      <c r="AL192" s="376">
        <f>MAX(0,AL186+AL187-AL189)</f>
        <v/>
      </c>
      <c r="AM192" s="344">
        <f>AVERAGE(AI192:AL192)</f>
        <v/>
      </c>
      <c r="AN192" s="376">
        <f>MAX(0,AN186+AN187-AN189)</f>
        <v/>
      </c>
      <c r="AO192" s="376">
        <f>MAX(0,AO186+AO187-AO189)</f>
        <v/>
      </c>
      <c r="AP192" s="376">
        <f>MAX(0,AP186+AP187-AP189)</f>
        <v/>
      </c>
      <c r="AQ192" s="376">
        <f>MAX(0,AQ186+AQ187-AQ189)</f>
        <v/>
      </c>
      <c r="AR192" s="344">
        <f>AVERAGE(AN192:AQ192)</f>
        <v/>
      </c>
    </row>
    <row r="193" ht="13.5" customHeight="1" s="290">
      <c r="A193" s="339" t="n"/>
      <c r="B193" s="373" t="inlineStr">
        <is>
          <t xml:space="preserve">  Ramp Drag — Analyst</t>
        </is>
      </c>
      <c r="C193" s="374" t="inlineStr">
        <is>
          <t>#</t>
        </is>
      </c>
      <c r="D193" s="375" t="inlineStr">
        <is>
          <t xml:space="preserve"> ending hc − EPE  (un-ramped producer count)</t>
        </is>
      </c>
      <c r="E193" s="376">
        <f>MAX(0,E192-E191)</f>
        <v/>
      </c>
      <c r="F193" s="376">
        <f>MAX(0,F192-F191)</f>
        <v/>
      </c>
      <c r="G193" s="376">
        <f>MAX(0,G192-G191)</f>
        <v/>
      </c>
      <c r="H193" s="376">
        <f>MAX(0,H192-H191)</f>
        <v/>
      </c>
      <c r="I193" s="344">
        <f>SUM(E193:H193)</f>
        <v/>
      </c>
      <c r="J193" s="376">
        <f>MAX(0,J192-J191)</f>
        <v/>
      </c>
      <c r="K193" s="376">
        <f>MAX(0,K192-K191)</f>
        <v/>
      </c>
      <c r="L193" s="376">
        <f>MAX(0,L192-L191)</f>
        <v/>
      </c>
      <c r="M193" s="376">
        <f>MAX(0,M192-M191)</f>
        <v/>
      </c>
      <c r="N193" s="344">
        <f>SUM(J193:M193)</f>
        <v/>
      </c>
      <c r="O193" s="376">
        <f>MAX(0,O192-O191)</f>
        <v/>
      </c>
      <c r="P193" s="376">
        <f>MAX(0,P192-P191)</f>
        <v/>
      </c>
      <c r="Q193" s="376">
        <f>MAX(0,Q192-Q191)</f>
        <v/>
      </c>
      <c r="R193" s="376">
        <f>MAX(0,R192-R191)</f>
        <v/>
      </c>
      <c r="S193" s="344">
        <f>SUM(O193:R193)</f>
        <v/>
      </c>
      <c r="T193" s="376">
        <f>MAX(0,T192-T191)</f>
        <v/>
      </c>
      <c r="U193" s="376">
        <f>MAX(0,U192-U191)</f>
        <v/>
      </c>
      <c r="V193" s="376">
        <f>MAX(0,V192-V191)</f>
        <v/>
      </c>
      <c r="W193" s="376">
        <f>MAX(0,W192-W191)</f>
        <v/>
      </c>
      <c r="X193" s="344">
        <f>SUM(T193:W193)</f>
        <v/>
      </c>
      <c r="Y193" s="376">
        <f>MAX(0,Y192-Y191)</f>
        <v/>
      </c>
      <c r="Z193" s="376">
        <f>MAX(0,Z192-Z191)</f>
        <v/>
      </c>
      <c r="AA193" s="376">
        <f>MAX(0,AA192-AA191)</f>
        <v/>
      </c>
      <c r="AB193" s="376">
        <f>MAX(0,AB192-AB191)</f>
        <v/>
      </c>
      <c r="AC193" s="344">
        <f>SUM(Y193:AB193)</f>
        <v/>
      </c>
      <c r="AD193" s="376">
        <f>MAX(0,AD192-AD191)</f>
        <v/>
      </c>
      <c r="AE193" s="376">
        <f>MAX(0,AE192-AE191)</f>
        <v/>
      </c>
      <c r="AF193" s="376">
        <f>MAX(0,AF192-AF191)</f>
        <v/>
      </c>
      <c r="AG193" s="376">
        <f>MAX(0,AG192-AG191)</f>
        <v/>
      </c>
      <c r="AH193" s="344">
        <f>SUM(AD193:AG193)</f>
        <v/>
      </c>
      <c r="AI193" s="376">
        <f>MAX(0,AI192-AI191)</f>
        <v/>
      </c>
      <c r="AJ193" s="376">
        <f>MAX(0,AJ192-AJ191)</f>
        <v/>
      </c>
      <c r="AK193" s="376">
        <f>MAX(0,AK192-AK191)</f>
        <v/>
      </c>
      <c r="AL193" s="376">
        <f>MAX(0,AL192-AL191)</f>
        <v/>
      </c>
      <c r="AM193" s="344">
        <f>SUM(AI193:AL193)</f>
        <v/>
      </c>
      <c r="AN193" s="376">
        <f>MAX(0,AN192-AN191)</f>
        <v/>
      </c>
      <c r="AO193" s="376">
        <f>MAX(0,AO192-AO191)</f>
        <v/>
      </c>
      <c r="AP193" s="376">
        <f>MAX(0,AP192-AP191)</f>
        <v/>
      </c>
      <c r="AQ193" s="376">
        <f>MAX(0,AQ192-AQ191)</f>
        <v/>
      </c>
      <c r="AR193" s="344">
        <f>SUM(AN193:AQ193)</f>
        <v/>
      </c>
    </row>
    <row r="194" ht="4.5" customHeight="1" s="290"/>
    <row r="195" ht="3" customHeight="1" s="290"/>
    <row r="196" ht="15" customHeight="1" s="290">
      <c r="A196" s="307" t="inlineStr">
        <is>
          <t xml:space="preserve">    Valuation &amp; Advisory — LINE TOTALS</t>
        </is>
      </c>
    </row>
    <row r="197" ht="13.5" customHeight="1" s="290">
      <c r="A197" s="339" t="n"/>
      <c r="B197" s="385" t="inlineStr">
        <is>
          <t xml:space="preserve">  Total EPE — Valuation &amp; Advisory</t>
        </is>
      </c>
      <c r="C197" s="386" t="inlineStr">
        <is>
          <t>EPE</t>
        </is>
      </c>
      <c r="D197" s="375" t="inlineStr">
        <is>
          <t xml:space="preserve"> sum of epe across all tiers</t>
        </is>
      </c>
      <c r="E197" s="387">
        <f>SUM(E171,E181,E191)</f>
        <v/>
      </c>
      <c r="F197" s="387">
        <f>SUM(F171,F181,F191)</f>
        <v/>
      </c>
      <c r="G197" s="387">
        <f>SUM(G171,G181,G191)</f>
        <v/>
      </c>
      <c r="H197" s="387">
        <f>SUM(H171,H181,H191)</f>
        <v/>
      </c>
      <c r="I197" s="387">
        <f>AVERAGE(E197:H197)</f>
        <v/>
      </c>
      <c r="J197" s="387">
        <f>SUM(J171,J181,J191)</f>
        <v/>
      </c>
      <c r="K197" s="387">
        <f>SUM(K171,K181,K191)</f>
        <v/>
      </c>
      <c r="L197" s="387">
        <f>SUM(L171,L181,L191)</f>
        <v/>
      </c>
      <c r="M197" s="387">
        <f>SUM(M171,M181,M191)</f>
        <v/>
      </c>
      <c r="N197" s="387">
        <f>AVERAGE(J197:M197)</f>
        <v/>
      </c>
      <c r="O197" s="387">
        <f>SUM(O171,O181,O191)</f>
        <v/>
      </c>
      <c r="P197" s="387">
        <f>SUM(P171,P181,P191)</f>
        <v/>
      </c>
      <c r="Q197" s="387">
        <f>SUM(Q171,Q181,Q191)</f>
        <v/>
      </c>
      <c r="R197" s="387">
        <f>SUM(R171,R181,R191)</f>
        <v/>
      </c>
      <c r="S197" s="387">
        <f>AVERAGE(O197:R197)</f>
        <v/>
      </c>
      <c r="T197" s="387">
        <f>SUM(T171,T181,T191)</f>
        <v/>
      </c>
      <c r="U197" s="387">
        <f>SUM(U171,U181,U191)</f>
        <v/>
      </c>
      <c r="V197" s="387">
        <f>SUM(V171,V181,V191)</f>
        <v/>
      </c>
      <c r="W197" s="387">
        <f>SUM(W171,W181,W191)</f>
        <v/>
      </c>
      <c r="X197" s="387">
        <f>AVERAGE(T197:W197)</f>
        <v/>
      </c>
      <c r="Y197" s="387">
        <f>SUM(Y171,Y181,Y191)</f>
        <v/>
      </c>
      <c r="Z197" s="387">
        <f>SUM(Z171,Z181,Z191)</f>
        <v/>
      </c>
      <c r="AA197" s="387">
        <f>SUM(AA171,AA181,AA191)</f>
        <v/>
      </c>
      <c r="AB197" s="387">
        <f>SUM(AB171,AB181,AB191)</f>
        <v/>
      </c>
      <c r="AC197" s="387">
        <f>AVERAGE(Y197:AB197)</f>
        <v/>
      </c>
      <c r="AD197" s="387">
        <f>SUM(AD171,AD181,AD191)</f>
        <v/>
      </c>
      <c r="AE197" s="387">
        <f>SUM(AE171,AE181,AE191)</f>
        <v/>
      </c>
      <c r="AF197" s="387">
        <f>SUM(AF171,AF181,AF191)</f>
        <v/>
      </c>
      <c r="AG197" s="387">
        <f>SUM(AG171,AG181,AG191)</f>
        <v/>
      </c>
      <c r="AH197" s="387">
        <f>AVERAGE(AD197:AG197)</f>
        <v/>
      </c>
      <c r="AI197" s="387">
        <f>SUM(AI171,AI181,AI191)</f>
        <v/>
      </c>
      <c r="AJ197" s="387">
        <f>SUM(AJ171,AJ181,AJ191)</f>
        <v/>
      </c>
      <c r="AK197" s="387">
        <f>SUM(AK171,AK181,AK191)</f>
        <v/>
      </c>
      <c r="AL197" s="387">
        <f>SUM(AL171,AL181,AL191)</f>
        <v/>
      </c>
      <c r="AM197" s="387">
        <f>AVERAGE(AI197:AL197)</f>
        <v/>
      </c>
      <c r="AN197" s="387">
        <f>SUM(AN171,AN181,AN191)</f>
        <v/>
      </c>
      <c r="AO197" s="387">
        <f>SUM(AO171,AO181,AO191)</f>
        <v/>
      </c>
      <c r="AP197" s="387">
        <f>SUM(AP171,AP181,AP191)</f>
        <v/>
      </c>
      <c r="AQ197" s="387">
        <f>SUM(AQ171,AQ181,AQ191)</f>
        <v/>
      </c>
      <c r="AR197" s="387">
        <f>AVERAGE(AN197:AQ197)</f>
        <v/>
      </c>
    </row>
    <row r="198" ht="13.5" customHeight="1" s="290">
      <c r="A198" s="339" t="n"/>
      <c r="B198" s="385" t="inlineStr">
        <is>
          <t xml:space="preserve">  Total Ending HC — Valuation &amp; Advisory</t>
        </is>
      </c>
      <c r="C198" s="386" t="inlineStr">
        <is>
          <t>#</t>
        </is>
      </c>
      <c r="D198" s="375" t="inlineStr">
        <is>
          <t xml:space="preserve"> sum of ending hc across all tiers</t>
        </is>
      </c>
      <c r="E198" s="387">
        <f>SUM(E172,E182,E192)</f>
        <v/>
      </c>
      <c r="F198" s="387">
        <f>SUM(F172,F182,F192)</f>
        <v/>
      </c>
      <c r="G198" s="387">
        <f>SUM(G172,G182,G192)</f>
        <v/>
      </c>
      <c r="H198" s="387">
        <f>SUM(H172,H182,H192)</f>
        <v/>
      </c>
      <c r="I198" s="387">
        <f>AVERAGE(E198:H198)</f>
        <v/>
      </c>
      <c r="J198" s="387">
        <f>SUM(J172,J182,J192)</f>
        <v/>
      </c>
      <c r="K198" s="387">
        <f>SUM(K172,K182,K192)</f>
        <v/>
      </c>
      <c r="L198" s="387">
        <f>SUM(L172,L182,L192)</f>
        <v/>
      </c>
      <c r="M198" s="387">
        <f>SUM(M172,M182,M192)</f>
        <v/>
      </c>
      <c r="N198" s="387">
        <f>AVERAGE(J198:M198)</f>
        <v/>
      </c>
      <c r="O198" s="387">
        <f>SUM(O172,O182,O192)</f>
        <v/>
      </c>
      <c r="P198" s="387">
        <f>SUM(P172,P182,P192)</f>
        <v/>
      </c>
      <c r="Q198" s="387">
        <f>SUM(Q172,Q182,Q192)</f>
        <v/>
      </c>
      <c r="R198" s="387">
        <f>SUM(R172,R182,R192)</f>
        <v/>
      </c>
      <c r="S198" s="387">
        <f>AVERAGE(O198:R198)</f>
        <v/>
      </c>
      <c r="T198" s="387">
        <f>SUM(T172,T182,T192)</f>
        <v/>
      </c>
      <c r="U198" s="387">
        <f>SUM(U172,U182,U192)</f>
        <v/>
      </c>
      <c r="V198" s="387">
        <f>SUM(V172,V182,V192)</f>
        <v/>
      </c>
      <c r="W198" s="387">
        <f>SUM(W172,W182,W192)</f>
        <v/>
      </c>
      <c r="X198" s="387">
        <f>AVERAGE(T198:W198)</f>
        <v/>
      </c>
      <c r="Y198" s="387">
        <f>SUM(Y172,Y182,Y192)</f>
        <v/>
      </c>
      <c r="Z198" s="387">
        <f>SUM(Z172,Z182,Z192)</f>
        <v/>
      </c>
      <c r="AA198" s="387">
        <f>SUM(AA172,AA182,AA192)</f>
        <v/>
      </c>
      <c r="AB198" s="387">
        <f>SUM(AB172,AB182,AB192)</f>
        <v/>
      </c>
      <c r="AC198" s="387">
        <f>AVERAGE(Y198:AB198)</f>
        <v/>
      </c>
      <c r="AD198" s="387">
        <f>SUM(AD172,AD182,AD192)</f>
        <v/>
      </c>
      <c r="AE198" s="387">
        <f>SUM(AE172,AE182,AE192)</f>
        <v/>
      </c>
      <c r="AF198" s="387">
        <f>SUM(AF172,AF182,AF192)</f>
        <v/>
      </c>
      <c r="AG198" s="387">
        <f>SUM(AG172,AG182,AG192)</f>
        <v/>
      </c>
      <c r="AH198" s="387">
        <f>AVERAGE(AD198:AG198)</f>
        <v/>
      </c>
      <c r="AI198" s="387">
        <f>SUM(AI172,AI182,AI192)</f>
        <v/>
      </c>
      <c r="AJ198" s="387">
        <f>SUM(AJ172,AJ182,AJ192)</f>
        <v/>
      </c>
      <c r="AK198" s="387">
        <f>SUM(AK172,AK182,AK192)</f>
        <v/>
      </c>
      <c r="AL198" s="387">
        <f>SUM(AL172,AL182,AL192)</f>
        <v/>
      </c>
      <c r="AM198" s="387">
        <f>AVERAGE(AI198:AL198)</f>
        <v/>
      </c>
      <c r="AN198" s="387">
        <f>SUM(AN172,AN182,AN192)</f>
        <v/>
      </c>
      <c r="AO198" s="387">
        <f>SUM(AO172,AO182,AO192)</f>
        <v/>
      </c>
      <c r="AP198" s="387">
        <f>SUM(AP172,AP182,AP192)</f>
        <v/>
      </c>
      <c r="AQ198" s="387">
        <f>SUM(AQ172,AQ182,AQ192)</f>
        <v/>
      </c>
      <c r="AR198" s="387">
        <f>AVERAGE(AN198:AQ198)</f>
        <v/>
      </c>
    </row>
    <row r="199" ht="13.5" customHeight="1" s="290">
      <c r="A199" s="339" t="n"/>
      <c r="B199" s="388" t="inlineStr">
        <is>
          <t xml:space="preserve">  Total Ramp Drag — Valuation &amp; Advisory</t>
        </is>
      </c>
      <c r="C199" s="386" t="inlineStr">
        <is>
          <t>#</t>
        </is>
      </c>
      <c r="D199" s="375" t="inlineStr">
        <is>
          <t xml:space="preserve"> total hc − Total EPE</t>
        </is>
      </c>
      <c r="E199" s="344">
        <f>MAX(0,E198-E197)</f>
        <v/>
      </c>
      <c r="F199" s="344">
        <f>MAX(0,F198-F197)</f>
        <v/>
      </c>
      <c r="G199" s="344">
        <f>MAX(0,G198-G197)</f>
        <v/>
      </c>
      <c r="H199" s="344">
        <f>MAX(0,H198-H197)</f>
        <v/>
      </c>
      <c r="I199" s="344">
        <f>SUM(E199:H199)</f>
        <v/>
      </c>
      <c r="J199" s="344">
        <f>MAX(0,J198-J197)</f>
        <v/>
      </c>
      <c r="K199" s="344">
        <f>MAX(0,K198-K197)</f>
        <v/>
      </c>
      <c r="L199" s="344">
        <f>MAX(0,L198-L197)</f>
        <v/>
      </c>
      <c r="M199" s="344">
        <f>MAX(0,M198-M197)</f>
        <v/>
      </c>
      <c r="N199" s="344">
        <f>SUM(J199:M199)</f>
        <v/>
      </c>
      <c r="O199" s="344">
        <f>MAX(0,O198-O197)</f>
        <v/>
      </c>
      <c r="P199" s="344">
        <f>MAX(0,P198-P197)</f>
        <v/>
      </c>
      <c r="Q199" s="344">
        <f>MAX(0,Q198-Q197)</f>
        <v/>
      </c>
      <c r="R199" s="344">
        <f>MAX(0,R198-R197)</f>
        <v/>
      </c>
      <c r="S199" s="344">
        <f>SUM(O199:R199)</f>
        <v/>
      </c>
      <c r="T199" s="344">
        <f>MAX(0,T198-T197)</f>
        <v/>
      </c>
      <c r="U199" s="344">
        <f>MAX(0,U198-U197)</f>
        <v/>
      </c>
      <c r="V199" s="344">
        <f>MAX(0,V198-V197)</f>
        <v/>
      </c>
      <c r="W199" s="344">
        <f>MAX(0,W198-W197)</f>
        <v/>
      </c>
      <c r="X199" s="344">
        <f>SUM(T199:W199)</f>
        <v/>
      </c>
      <c r="Y199" s="344">
        <f>MAX(0,Y198-Y197)</f>
        <v/>
      </c>
      <c r="Z199" s="344">
        <f>MAX(0,Z198-Z197)</f>
        <v/>
      </c>
      <c r="AA199" s="344">
        <f>MAX(0,AA198-AA197)</f>
        <v/>
      </c>
      <c r="AB199" s="344">
        <f>MAX(0,AB198-AB197)</f>
        <v/>
      </c>
      <c r="AC199" s="344">
        <f>SUM(Y199:AB199)</f>
        <v/>
      </c>
      <c r="AD199" s="344">
        <f>MAX(0,AD198-AD197)</f>
        <v/>
      </c>
      <c r="AE199" s="344">
        <f>MAX(0,AE198-AE197)</f>
        <v/>
      </c>
      <c r="AF199" s="344">
        <f>MAX(0,AF198-AF197)</f>
        <v/>
      </c>
      <c r="AG199" s="344">
        <f>MAX(0,AG198-AG197)</f>
        <v/>
      </c>
      <c r="AH199" s="344">
        <f>SUM(AD199:AG199)</f>
        <v/>
      </c>
      <c r="AI199" s="344">
        <f>MAX(0,AI198-AI197)</f>
        <v/>
      </c>
      <c r="AJ199" s="344">
        <f>MAX(0,AJ198-AJ197)</f>
        <v/>
      </c>
      <c r="AK199" s="344">
        <f>MAX(0,AK198-AK197)</f>
        <v/>
      </c>
      <c r="AL199" s="344">
        <f>MAX(0,AL198-AL197)</f>
        <v/>
      </c>
      <c r="AM199" s="344">
        <f>SUM(AI199:AL199)</f>
        <v/>
      </c>
      <c r="AN199" s="344">
        <f>MAX(0,AN198-AN197)</f>
        <v/>
      </c>
      <c r="AO199" s="344">
        <f>MAX(0,AO198-AO197)</f>
        <v/>
      </c>
      <c r="AP199" s="344">
        <f>MAX(0,AP198-AP197)</f>
        <v/>
      </c>
      <c r="AQ199" s="344">
        <f>MAX(0,AQ198-AQ197)</f>
        <v/>
      </c>
      <c r="AR199" s="344">
        <f>SUM(AN199:AQ199)</f>
        <v/>
      </c>
    </row>
    <row r="200" ht="3.75" customHeight="1" s="290"/>
    <row r="201" ht="3" customHeight="1" s="290">
      <c r="A201" s="293" t="n"/>
    </row>
    <row r="202" ht="4.5" customHeight="1" s="290"/>
    <row r="203" ht="15.75" customHeight="1" s="290">
      <c r="A203" s="338" t="inlineStr">
        <is>
          <t xml:space="preserve">  CONSOLIDATED PRODUCER SUMMARY  ★  [ Primary output rows — Tab 05 Revenue Engine links here ]</t>
        </is>
      </c>
    </row>
    <row r="204" ht="3.75" customHeight="1" s="290"/>
    <row r="205" ht="13.5" customHeight="1" s="290">
      <c r="A205" s="348" t="inlineStr">
        <is>
          <t xml:space="preserve">  All cells in this section are calculations linking to the line-total rows above. Tab 05 Revenue Engine links ONLY to the EPE rows in this section — not to tier-level rows above. Tab 10 Dashboard links to EPE totals and ramp drag totals from this section.</t>
        </is>
      </c>
    </row>
    <row r="206" ht="3.75" customHeight="1" s="290"/>
    <row r="207" ht="15" customHeight="1" s="290">
      <c r="A207" s="307" t="inlineStr">
        <is>
          <t xml:space="preserve">    EPE BY BUSINESS LINE</t>
        </is>
      </c>
    </row>
    <row r="208" ht="3" customHeight="1" s="290"/>
    <row r="209" ht="13.5" customHeight="1" s="290">
      <c r="A209" s="339" t="n"/>
      <c r="B209" s="346" t="inlineStr">
        <is>
          <t xml:space="preserve">  EPE — Leasing</t>
        </is>
      </c>
      <c r="C209" s="371" t="inlineStr">
        <is>
          <t>EPE</t>
        </is>
      </c>
      <c r="D209" s="372" t="inlineStr">
        <is>
          <t>← row 50</t>
        </is>
      </c>
      <c r="E209" s="347">
        <f>E50</f>
        <v/>
      </c>
      <c r="F209" s="347">
        <f>F50</f>
        <v/>
      </c>
      <c r="G209" s="347">
        <f>G50</f>
        <v/>
      </c>
      <c r="H209" s="347">
        <f>H50</f>
        <v/>
      </c>
      <c r="I209" s="347">
        <f>AVERAGE(E209:H209)</f>
        <v/>
      </c>
      <c r="J209" s="347">
        <f>J50</f>
        <v/>
      </c>
      <c r="K209" s="347">
        <f>K50</f>
        <v/>
      </c>
      <c r="L209" s="347">
        <f>L50</f>
        <v/>
      </c>
      <c r="M209" s="347">
        <f>M50</f>
        <v/>
      </c>
      <c r="N209" s="347">
        <f>AVERAGE(J209:M209)</f>
        <v/>
      </c>
      <c r="O209" s="347">
        <f>O50</f>
        <v/>
      </c>
      <c r="P209" s="347">
        <f>P50</f>
        <v/>
      </c>
      <c r="Q209" s="347">
        <f>Q50</f>
        <v/>
      </c>
      <c r="R209" s="347">
        <f>R50</f>
        <v/>
      </c>
      <c r="S209" s="347">
        <f>AVERAGE(O209:R209)</f>
        <v/>
      </c>
      <c r="T209" s="347">
        <f>T50</f>
        <v/>
      </c>
      <c r="U209" s="347">
        <f>U50</f>
        <v/>
      </c>
      <c r="V209" s="347">
        <f>V50</f>
        <v/>
      </c>
      <c r="W209" s="347">
        <f>W50</f>
        <v/>
      </c>
      <c r="X209" s="347">
        <f>AVERAGE(T209:W209)</f>
        <v/>
      </c>
      <c r="Y209" s="347">
        <f>Y50</f>
        <v/>
      </c>
      <c r="Z209" s="347">
        <f>Z50</f>
        <v/>
      </c>
      <c r="AA209" s="347">
        <f>AA50</f>
        <v/>
      </c>
      <c r="AB209" s="347">
        <f>AB50</f>
        <v/>
      </c>
      <c r="AC209" s="347">
        <f>AVERAGE(Y209:AB209)</f>
        <v/>
      </c>
      <c r="AD209" s="347">
        <f>AD50</f>
        <v/>
      </c>
      <c r="AE209" s="347">
        <f>AE50</f>
        <v/>
      </c>
      <c r="AF209" s="347">
        <f>AF50</f>
        <v/>
      </c>
      <c r="AG209" s="347">
        <f>AG50</f>
        <v/>
      </c>
      <c r="AH209" s="347">
        <f>AVERAGE(AD209:AG209)</f>
        <v/>
      </c>
      <c r="AI209" s="347">
        <f>AI50</f>
        <v/>
      </c>
      <c r="AJ209" s="347">
        <f>AJ50</f>
        <v/>
      </c>
      <c r="AK209" s="347">
        <f>AK50</f>
        <v/>
      </c>
      <c r="AL209" s="347">
        <f>AL50</f>
        <v/>
      </c>
      <c r="AM209" s="347">
        <f>AVERAGE(AI209:AL209)</f>
        <v/>
      </c>
      <c r="AN209" s="347">
        <f>AN50</f>
        <v/>
      </c>
      <c r="AO209" s="347">
        <f>AO50</f>
        <v/>
      </c>
      <c r="AP209" s="347">
        <f>AP50</f>
        <v/>
      </c>
      <c r="AQ209" s="347">
        <f>AQ50</f>
        <v/>
      </c>
      <c r="AR209" s="347">
        <f>AVERAGE(AN209:AQ209)</f>
        <v/>
      </c>
    </row>
    <row r="210" ht="13.5" customHeight="1" s="290">
      <c r="A210" s="339" t="n"/>
      <c r="B210" s="346" t="inlineStr">
        <is>
          <t xml:space="preserve">  EPE — Investment Sales</t>
        </is>
      </c>
      <c r="C210" s="371" t="inlineStr">
        <is>
          <t>EPE</t>
        </is>
      </c>
      <c r="D210" s="372" t="inlineStr">
        <is>
          <t>← row 102</t>
        </is>
      </c>
      <c r="E210" s="347">
        <f>E102</f>
        <v/>
      </c>
      <c r="F210" s="347">
        <f>F102</f>
        <v/>
      </c>
      <c r="G210" s="347">
        <f>G102</f>
        <v/>
      </c>
      <c r="H210" s="347">
        <f>H102</f>
        <v/>
      </c>
      <c r="I210" s="347">
        <f>AVERAGE(E210:H210)</f>
        <v/>
      </c>
      <c r="J210" s="347">
        <f>J102</f>
        <v/>
      </c>
      <c r="K210" s="347">
        <f>K102</f>
        <v/>
      </c>
      <c r="L210" s="347">
        <f>L102</f>
        <v/>
      </c>
      <c r="M210" s="347">
        <f>M102</f>
        <v/>
      </c>
      <c r="N210" s="347">
        <f>AVERAGE(J210:M210)</f>
        <v/>
      </c>
      <c r="O210" s="347">
        <f>O102</f>
        <v/>
      </c>
      <c r="P210" s="347">
        <f>P102</f>
        <v/>
      </c>
      <c r="Q210" s="347">
        <f>Q102</f>
        <v/>
      </c>
      <c r="R210" s="347">
        <f>R102</f>
        <v/>
      </c>
      <c r="S210" s="347">
        <f>AVERAGE(O210:R210)</f>
        <v/>
      </c>
      <c r="T210" s="347">
        <f>T102</f>
        <v/>
      </c>
      <c r="U210" s="347">
        <f>U102</f>
        <v/>
      </c>
      <c r="V210" s="347">
        <f>V102</f>
        <v/>
      </c>
      <c r="W210" s="347">
        <f>W102</f>
        <v/>
      </c>
      <c r="X210" s="347">
        <f>AVERAGE(T210:W210)</f>
        <v/>
      </c>
      <c r="Y210" s="347">
        <f>Y102</f>
        <v/>
      </c>
      <c r="Z210" s="347">
        <f>Z102</f>
        <v/>
      </c>
      <c r="AA210" s="347">
        <f>AA102</f>
        <v/>
      </c>
      <c r="AB210" s="347">
        <f>AB102</f>
        <v/>
      </c>
      <c r="AC210" s="347">
        <f>AVERAGE(Y210:AB210)</f>
        <v/>
      </c>
      <c r="AD210" s="347">
        <f>AD102</f>
        <v/>
      </c>
      <c r="AE210" s="347">
        <f>AE102</f>
        <v/>
      </c>
      <c r="AF210" s="347">
        <f>AF102</f>
        <v/>
      </c>
      <c r="AG210" s="347">
        <f>AG102</f>
        <v/>
      </c>
      <c r="AH210" s="347">
        <f>AVERAGE(AD210:AG210)</f>
        <v/>
      </c>
      <c r="AI210" s="347">
        <f>AI102</f>
        <v/>
      </c>
      <c r="AJ210" s="347">
        <f>AJ102</f>
        <v/>
      </c>
      <c r="AK210" s="347">
        <f>AK102</f>
        <v/>
      </c>
      <c r="AL210" s="347">
        <f>AL102</f>
        <v/>
      </c>
      <c r="AM210" s="347">
        <f>AVERAGE(AI210:AL210)</f>
        <v/>
      </c>
      <c r="AN210" s="347">
        <f>AN102</f>
        <v/>
      </c>
      <c r="AO210" s="347">
        <f>AO102</f>
        <v/>
      </c>
      <c r="AP210" s="347">
        <f>AP102</f>
        <v/>
      </c>
      <c r="AQ210" s="347">
        <f>AQ102</f>
        <v/>
      </c>
      <c r="AR210" s="347">
        <f>AVERAGE(AN210:AQ210)</f>
        <v/>
      </c>
    </row>
    <row r="211" ht="13.5" customHeight="1" s="290">
      <c r="A211" s="339" t="n"/>
      <c r="B211" s="346" t="inlineStr">
        <is>
          <t xml:space="preserve">  EPE — Debt &amp; Equity</t>
        </is>
      </c>
      <c r="C211" s="371" t="inlineStr">
        <is>
          <t>EPE</t>
        </is>
      </c>
      <c r="D211" s="372" t="inlineStr">
        <is>
          <t>← row 154</t>
        </is>
      </c>
      <c r="E211" s="347">
        <f>E154</f>
        <v/>
      </c>
      <c r="F211" s="347">
        <f>F154</f>
        <v/>
      </c>
      <c r="G211" s="347">
        <f>G154</f>
        <v/>
      </c>
      <c r="H211" s="347">
        <f>H154</f>
        <v/>
      </c>
      <c r="I211" s="347">
        <f>AVERAGE(E211:H211)</f>
        <v/>
      </c>
      <c r="J211" s="347">
        <f>J154</f>
        <v/>
      </c>
      <c r="K211" s="347">
        <f>K154</f>
        <v/>
      </c>
      <c r="L211" s="347">
        <f>L154</f>
        <v/>
      </c>
      <c r="M211" s="347">
        <f>M154</f>
        <v/>
      </c>
      <c r="N211" s="347">
        <f>AVERAGE(J211:M211)</f>
        <v/>
      </c>
      <c r="O211" s="347">
        <f>O154</f>
        <v/>
      </c>
      <c r="P211" s="347">
        <f>P154</f>
        <v/>
      </c>
      <c r="Q211" s="347">
        <f>Q154</f>
        <v/>
      </c>
      <c r="R211" s="347">
        <f>R154</f>
        <v/>
      </c>
      <c r="S211" s="347">
        <f>AVERAGE(O211:R211)</f>
        <v/>
      </c>
      <c r="T211" s="347">
        <f>T154</f>
        <v/>
      </c>
      <c r="U211" s="347">
        <f>U154</f>
        <v/>
      </c>
      <c r="V211" s="347">
        <f>V154</f>
        <v/>
      </c>
      <c r="W211" s="347">
        <f>W154</f>
        <v/>
      </c>
      <c r="X211" s="347">
        <f>AVERAGE(T211:W211)</f>
        <v/>
      </c>
      <c r="Y211" s="347">
        <f>Y154</f>
        <v/>
      </c>
      <c r="Z211" s="347">
        <f>Z154</f>
        <v/>
      </c>
      <c r="AA211" s="347">
        <f>AA154</f>
        <v/>
      </c>
      <c r="AB211" s="347">
        <f>AB154</f>
        <v/>
      </c>
      <c r="AC211" s="347">
        <f>AVERAGE(Y211:AB211)</f>
        <v/>
      </c>
      <c r="AD211" s="347">
        <f>AD154</f>
        <v/>
      </c>
      <c r="AE211" s="347">
        <f>AE154</f>
        <v/>
      </c>
      <c r="AF211" s="347">
        <f>AF154</f>
        <v/>
      </c>
      <c r="AG211" s="347">
        <f>AG154</f>
        <v/>
      </c>
      <c r="AH211" s="347">
        <f>AVERAGE(AD211:AG211)</f>
        <v/>
      </c>
      <c r="AI211" s="347">
        <f>AI154</f>
        <v/>
      </c>
      <c r="AJ211" s="347">
        <f>AJ154</f>
        <v/>
      </c>
      <c r="AK211" s="347">
        <f>AK154</f>
        <v/>
      </c>
      <c r="AL211" s="347">
        <f>AL154</f>
        <v/>
      </c>
      <c r="AM211" s="347">
        <f>AVERAGE(AI211:AL211)</f>
        <v/>
      </c>
      <c r="AN211" s="347">
        <f>AN154</f>
        <v/>
      </c>
      <c r="AO211" s="347">
        <f>AO154</f>
        <v/>
      </c>
      <c r="AP211" s="347">
        <f>AP154</f>
        <v/>
      </c>
      <c r="AQ211" s="347">
        <f>AQ154</f>
        <v/>
      </c>
      <c r="AR211" s="347">
        <f>AVERAGE(AN211:AQ211)</f>
        <v/>
      </c>
    </row>
    <row r="212" ht="13.5" customHeight="1" s="290">
      <c r="A212" s="339" t="n"/>
      <c r="B212" s="370" t="inlineStr">
        <is>
          <t xml:space="preserve">  EPE — Valuation &amp; Advisory</t>
        </is>
      </c>
      <c r="C212" s="371" t="inlineStr">
        <is>
          <t>EPE</t>
        </is>
      </c>
      <c r="D212" s="372" t="inlineStr">
        <is>
          <t>← row 197</t>
        </is>
      </c>
      <c r="E212" s="361">
        <f>E197</f>
        <v/>
      </c>
      <c r="F212" s="361">
        <f>F197</f>
        <v/>
      </c>
      <c r="G212" s="361">
        <f>G197</f>
        <v/>
      </c>
      <c r="H212" s="361">
        <f>H197</f>
        <v/>
      </c>
      <c r="I212" s="361">
        <f>AVERAGE(E212:H212)</f>
        <v/>
      </c>
      <c r="J212" s="361">
        <f>J197</f>
        <v/>
      </c>
      <c r="K212" s="361">
        <f>K197</f>
        <v/>
      </c>
      <c r="L212" s="361">
        <f>L197</f>
        <v/>
      </c>
      <c r="M212" s="361">
        <f>M197</f>
        <v/>
      </c>
      <c r="N212" s="361">
        <f>AVERAGE(J212:M212)</f>
        <v/>
      </c>
      <c r="O212" s="361">
        <f>O197</f>
        <v/>
      </c>
      <c r="P212" s="361">
        <f>P197</f>
        <v/>
      </c>
      <c r="Q212" s="361">
        <f>Q197</f>
        <v/>
      </c>
      <c r="R212" s="361">
        <f>R197</f>
        <v/>
      </c>
      <c r="S212" s="361">
        <f>AVERAGE(O212:R212)</f>
        <v/>
      </c>
      <c r="T212" s="361">
        <f>T197</f>
        <v/>
      </c>
      <c r="U212" s="361">
        <f>U197</f>
        <v/>
      </c>
      <c r="V212" s="361">
        <f>V197</f>
        <v/>
      </c>
      <c r="W212" s="361">
        <f>W197</f>
        <v/>
      </c>
      <c r="X212" s="361">
        <f>AVERAGE(T212:W212)</f>
        <v/>
      </c>
      <c r="Y212" s="361">
        <f>Y197</f>
        <v/>
      </c>
      <c r="Z212" s="361">
        <f>Z197</f>
        <v/>
      </c>
      <c r="AA212" s="361">
        <f>AA197</f>
        <v/>
      </c>
      <c r="AB212" s="361">
        <f>AB197</f>
        <v/>
      </c>
      <c r="AC212" s="361">
        <f>AVERAGE(Y212:AB212)</f>
        <v/>
      </c>
      <c r="AD212" s="361">
        <f>AD197</f>
        <v/>
      </c>
      <c r="AE212" s="361">
        <f>AE197</f>
        <v/>
      </c>
      <c r="AF212" s="361">
        <f>AF197</f>
        <v/>
      </c>
      <c r="AG212" s="361">
        <f>AG197</f>
        <v/>
      </c>
      <c r="AH212" s="361">
        <f>AVERAGE(AD212:AG212)</f>
        <v/>
      </c>
      <c r="AI212" s="361">
        <f>AI197</f>
        <v/>
      </c>
      <c r="AJ212" s="361">
        <f>AJ197</f>
        <v/>
      </c>
      <c r="AK212" s="361">
        <f>AK197</f>
        <v/>
      </c>
      <c r="AL212" s="361">
        <f>AL197</f>
        <v/>
      </c>
      <c r="AM212" s="361">
        <f>AVERAGE(AI212:AL212)</f>
        <v/>
      </c>
      <c r="AN212" s="361">
        <f>AN197</f>
        <v/>
      </c>
      <c r="AO212" s="361">
        <f>AO197</f>
        <v/>
      </c>
      <c r="AP212" s="361">
        <f>AP197</f>
        <v/>
      </c>
      <c r="AQ212" s="361">
        <f>AQ197</f>
        <v/>
      </c>
      <c r="AR212" s="361">
        <f>AVERAGE(AN212:AQ212)</f>
        <v/>
      </c>
    </row>
    <row r="213" ht="15.75" customHeight="1" s="290">
      <c r="A213" s="339" t="n"/>
      <c r="B213" s="377" t="inlineStr">
        <is>
          <t xml:space="preserve">  ★ TOTAL FIRM EPE</t>
        </is>
      </c>
      <c r="C213" s="378" t="inlineStr">
        <is>
          <t>EPE</t>
        </is>
      </c>
      <c r="D213" s="375" t="inlineStr">
        <is>
          <t xml:space="preserve"> sum of all line epes</t>
        </is>
      </c>
      <c r="E213" s="379">
        <f>SUM(E209,E210,E211,E212)</f>
        <v/>
      </c>
      <c r="F213" s="379">
        <f>SUM(F209,F210,F211,F212)</f>
        <v/>
      </c>
      <c r="G213" s="379">
        <f>SUM(G209,G210,G211,G212)</f>
        <v/>
      </c>
      <c r="H213" s="379">
        <f>SUM(H209,H210,H211,H212)</f>
        <v/>
      </c>
      <c r="I213" s="379">
        <f>AVERAGE(E213:H213)</f>
        <v/>
      </c>
      <c r="J213" s="379">
        <f>SUM(J209,J210,J211,J212)</f>
        <v/>
      </c>
      <c r="K213" s="379">
        <f>SUM(K209,K210,K211,K212)</f>
        <v/>
      </c>
      <c r="L213" s="379">
        <f>SUM(L209,L210,L211,L212)</f>
        <v/>
      </c>
      <c r="M213" s="379">
        <f>SUM(M209,M210,M211,M212)</f>
        <v/>
      </c>
      <c r="N213" s="379">
        <f>AVERAGE(J213:M213)</f>
        <v/>
      </c>
      <c r="O213" s="379">
        <f>SUM(O209,O210,O211,O212)</f>
        <v/>
      </c>
      <c r="P213" s="379">
        <f>SUM(P209,P210,P211,P212)</f>
        <v/>
      </c>
      <c r="Q213" s="379">
        <f>SUM(Q209,Q210,Q211,Q212)</f>
        <v/>
      </c>
      <c r="R213" s="379">
        <f>SUM(R209,R210,R211,R212)</f>
        <v/>
      </c>
      <c r="S213" s="379">
        <f>AVERAGE(O213:R213)</f>
        <v/>
      </c>
      <c r="T213" s="379">
        <f>SUM(T209,T210,T211,T212)</f>
        <v/>
      </c>
      <c r="U213" s="379">
        <f>SUM(U209,U210,U211,U212)</f>
        <v/>
      </c>
      <c r="V213" s="379">
        <f>SUM(V209,V210,V211,V212)</f>
        <v/>
      </c>
      <c r="W213" s="379">
        <f>SUM(W209,W210,W211,W212)</f>
        <v/>
      </c>
      <c r="X213" s="379">
        <f>AVERAGE(T213:W213)</f>
        <v/>
      </c>
      <c r="Y213" s="379">
        <f>SUM(Y209,Y210,Y211,Y212)</f>
        <v/>
      </c>
      <c r="Z213" s="379">
        <f>SUM(Z209,Z210,Z211,Z212)</f>
        <v/>
      </c>
      <c r="AA213" s="379">
        <f>SUM(AA209,AA210,AA211,AA212)</f>
        <v/>
      </c>
      <c r="AB213" s="379">
        <f>SUM(AB209,AB210,AB211,AB212)</f>
        <v/>
      </c>
      <c r="AC213" s="379">
        <f>AVERAGE(Y213:AB213)</f>
        <v/>
      </c>
      <c r="AD213" s="379">
        <f>SUM(AD209,AD210,AD211,AD212)</f>
        <v/>
      </c>
      <c r="AE213" s="379">
        <f>SUM(AE209,AE210,AE211,AE212)</f>
        <v/>
      </c>
      <c r="AF213" s="379">
        <f>SUM(AF209,AF210,AF211,AF212)</f>
        <v/>
      </c>
      <c r="AG213" s="379">
        <f>SUM(AG209,AG210,AG211,AG212)</f>
        <v/>
      </c>
      <c r="AH213" s="379">
        <f>AVERAGE(AD213:AG213)</f>
        <v/>
      </c>
      <c r="AI213" s="379">
        <f>SUM(AI209,AI210,AI211,AI212)</f>
        <v/>
      </c>
      <c r="AJ213" s="379">
        <f>SUM(AJ209,AJ210,AJ211,AJ212)</f>
        <v/>
      </c>
      <c r="AK213" s="379">
        <f>SUM(AK209,AK210,AK211,AK212)</f>
        <v/>
      </c>
      <c r="AL213" s="379">
        <f>SUM(AL209,AL210,AL211,AL212)</f>
        <v/>
      </c>
      <c r="AM213" s="379">
        <f>AVERAGE(AI213:AL213)</f>
        <v/>
      </c>
      <c r="AN213" s="379">
        <f>SUM(AN209,AN210,AN211,AN212)</f>
        <v/>
      </c>
      <c r="AO213" s="379">
        <f>SUM(AO209,AO210,AO211,AO212)</f>
        <v/>
      </c>
      <c r="AP213" s="379">
        <f>SUM(AP209,AP210,AP211,AP212)</f>
        <v/>
      </c>
      <c r="AQ213" s="379">
        <f>SUM(AQ209,AQ210,AQ211,AQ212)</f>
        <v/>
      </c>
      <c r="AR213" s="379">
        <f>AVERAGE(AN213:AQ213)</f>
        <v/>
      </c>
    </row>
    <row r="214" ht="4.5" customHeight="1" s="290"/>
    <row r="215" ht="15" customHeight="1" s="290">
      <c r="A215" s="307" t="inlineStr">
        <is>
          <t xml:space="preserve">    RAW HEADCOUNT BY BUSINESS LINE</t>
        </is>
      </c>
    </row>
    <row r="216" ht="3" customHeight="1" s="290"/>
    <row r="217" ht="13.5" customHeight="1" s="290">
      <c r="A217" s="339" t="n"/>
      <c r="B217" s="370" t="inlineStr">
        <is>
          <t xml:space="preserve">  Raw HC — Leasing</t>
        </is>
      </c>
      <c r="C217" s="371" t="inlineStr">
        <is>
          <t>#</t>
        </is>
      </c>
      <c r="D217" s="372" t="inlineStr">
        <is>
          <t>← row 51</t>
        </is>
      </c>
      <c r="E217" s="361">
        <f>E51</f>
        <v/>
      </c>
      <c r="F217" s="361">
        <f>F51</f>
        <v/>
      </c>
      <c r="G217" s="361">
        <f>G51</f>
        <v/>
      </c>
      <c r="H217" s="361">
        <f>H51</f>
        <v/>
      </c>
      <c r="I217" s="361">
        <f>AVERAGE(E217:H217)</f>
        <v/>
      </c>
      <c r="J217" s="361">
        <f>J51</f>
        <v/>
      </c>
      <c r="K217" s="361">
        <f>K51</f>
        <v/>
      </c>
      <c r="L217" s="361">
        <f>L51</f>
        <v/>
      </c>
      <c r="M217" s="361">
        <f>M51</f>
        <v/>
      </c>
      <c r="N217" s="361">
        <f>AVERAGE(J217:M217)</f>
        <v/>
      </c>
      <c r="O217" s="361">
        <f>O51</f>
        <v/>
      </c>
      <c r="P217" s="361">
        <f>P51</f>
        <v/>
      </c>
      <c r="Q217" s="361">
        <f>Q51</f>
        <v/>
      </c>
      <c r="R217" s="361">
        <f>R51</f>
        <v/>
      </c>
      <c r="S217" s="361">
        <f>AVERAGE(O217:R217)</f>
        <v/>
      </c>
      <c r="T217" s="361">
        <f>T51</f>
        <v/>
      </c>
      <c r="U217" s="361">
        <f>U51</f>
        <v/>
      </c>
      <c r="V217" s="361">
        <f>V51</f>
        <v/>
      </c>
      <c r="W217" s="361">
        <f>W51</f>
        <v/>
      </c>
      <c r="X217" s="361">
        <f>AVERAGE(T217:W217)</f>
        <v/>
      </c>
      <c r="Y217" s="361">
        <f>Y51</f>
        <v/>
      </c>
      <c r="Z217" s="361">
        <f>Z51</f>
        <v/>
      </c>
      <c r="AA217" s="361">
        <f>AA51</f>
        <v/>
      </c>
      <c r="AB217" s="361">
        <f>AB51</f>
        <v/>
      </c>
      <c r="AC217" s="361">
        <f>AVERAGE(Y217:AB217)</f>
        <v/>
      </c>
      <c r="AD217" s="361">
        <f>AD51</f>
        <v/>
      </c>
      <c r="AE217" s="361">
        <f>AE51</f>
        <v/>
      </c>
      <c r="AF217" s="361">
        <f>AF51</f>
        <v/>
      </c>
      <c r="AG217" s="361">
        <f>AG51</f>
        <v/>
      </c>
      <c r="AH217" s="361">
        <f>AVERAGE(AD217:AG217)</f>
        <v/>
      </c>
      <c r="AI217" s="361">
        <f>AI51</f>
        <v/>
      </c>
      <c r="AJ217" s="361">
        <f>AJ51</f>
        <v/>
      </c>
      <c r="AK217" s="361">
        <f>AK51</f>
        <v/>
      </c>
      <c r="AL217" s="361">
        <f>AL51</f>
        <v/>
      </c>
      <c r="AM217" s="361">
        <f>AVERAGE(AI217:AL217)</f>
        <v/>
      </c>
      <c r="AN217" s="361">
        <f>AN51</f>
        <v/>
      </c>
      <c r="AO217" s="361">
        <f>AO51</f>
        <v/>
      </c>
      <c r="AP217" s="361">
        <f>AP51</f>
        <v/>
      </c>
      <c r="AQ217" s="361">
        <f>AQ51</f>
        <v/>
      </c>
      <c r="AR217" s="361">
        <f>AVERAGE(AN217:AQ217)</f>
        <v/>
      </c>
    </row>
    <row r="218" ht="13.5" customHeight="1" s="290">
      <c r="A218" s="339" t="n"/>
      <c r="B218" s="370" t="inlineStr">
        <is>
          <t xml:space="preserve">  Raw HC — Investment Sales</t>
        </is>
      </c>
      <c r="C218" s="371" t="inlineStr">
        <is>
          <t>#</t>
        </is>
      </c>
      <c r="D218" s="372" t="inlineStr">
        <is>
          <t>← row 103</t>
        </is>
      </c>
      <c r="E218" s="361">
        <f>E103</f>
        <v/>
      </c>
      <c r="F218" s="361">
        <f>F103</f>
        <v/>
      </c>
      <c r="G218" s="361">
        <f>G103</f>
        <v/>
      </c>
      <c r="H218" s="361">
        <f>H103</f>
        <v/>
      </c>
      <c r="I218" s="361">
        <f>AVERAGE(E218:H218)</f>
        <v/>
      </c>
      <c r="J218" s="361">
        <f>J103</f>
        <v/>
      </c>
      <c r="K218" s="361">
        <f>K103</f>
        <v/>
      </c>
      <c r="L218" s="361">
        <f>L103</f>
        <v/>
      </c>
      <c r="M218" s="361">
        <f>M103</f>
        <v/>
      </c>
      <c r="N218" s="361">
        <f>AVERAGE(J218:M218)</f>
        <v/>
      </c>
      <c r="O218" s="361">
        <f>O103</f>
        <v/>
      </c>
      <c r="P218" s="361">
        <f>P103</f>
        <v/>
      </c>
      <c r="Q218" s="361">
        <f>Q103</f>
        <v/>
      </c>
      <c r="R218" s="361">
        <f>R103</f>
        <v/>
      </c>
      <c r="S218" s="361">
        <f>AVERAGE(O218:R218)</f>
        <v/>
      </c>
      <c r="T218" s="361">
        <f>T103</f>
        <v/>
      </c>
      <c r="U218" s="361">
        <f>U103</f>
        <v/>
      </c>
      <c r="V218" s="361">
        <f>V103</f>
        <v/>
      </c>
      <c r="W218" s="361">
        <f>W103</f>
        <v/>
      </c>
      <c r="X218" s="361">
        <f>AVERAGE(T218:W218)</f>
        <v/>
      </c>
      <c r="Y218" s="361">
        <f>Y103</f>
        <v/>
      </c>
      <c r="Z218" s="361">
        <f>Z103</f>
        <v/>
      </c>
      <c r="AA218" s="361">
        <f>AA103</f>
        <v/>
      </c>
      <c r="AB218" s="361">
        <f>AB103</f>
        <v/>
      </c>
      <c r="AC218" s="361">
        <f>AVERAGE(Y218:AB218)</f>
        <v/>
      </c>
      <c r="AD218" s="361">
        <f>AD103</f>
        <v/>
      </c>
      <c r="AE218" s="361">
        <f>AE103</f>
        <v/>
      </c>
      <c r="AF218" s="361">
        <f>AF103</f>
        <v/>
      </c>
      <c r="AG218" s="361">
        <f>AG103</f>
        <v/>
      </c>
      <c r="AH218" s="361">
        <f>AVERAGE(AD218:AG218)</f>
        <v/>
      </c>
      <c r="AI218" s="361">
        <f>AI103</f>
        <v/>
      </c>
      <c r="AJ218" s="361">
        <f>AJ103</f>
        <v/>
      </c>
      <c r="AK218" s="361">
        <f>AK103</f>
        <v/>
      </c>
      <c r="AL218" s="361">
        <f>AL103</f>
        <v/>
      </c>
      <c r="AM218" s="361">
        <f>AVERAGE(AI218:AL218)</f>
        <v/>
      </c>
      <c r="AN218" s="361">
        <f>AN103</f>
        <v/>
      </c>
      <c r="AO218" s="361">
        <f>AO103</f>
        <v/>
      </c>
      <c r="AP218" s="361">
        <f>AP103</f>
        <v/>
      </c>
      <c r="AQ218" s="361">
        <f>AQ103</f>
        <v/>
      </c>
      <c r="AR218" s="361">
        <f>AVERAGE(AN218:AQ218)</f>
        <v/>
      </c>
    </row>
    <row r="219" ht="13.5" customHeight="1" s="290">
      <c r="A219" s="339" t="n"/>
      <c r="B219" s="370" t="inlineStr">
        <is>
          <t xml:space="preserve">  Raw HC — Debt &amp; Equity</t>
        </is>
      </c>
      <c r="C219" s="371" t="inlineStr">
        <is>
          <t>#</t>
        </is>
      </c>
      <c r="D219" s="372" t="inlineStr">
        <is>
          <t>← row 155</t>
        </is>
      </c>
      <c r="E219" s="361">
        <f>E155</f>
        <v/>
      </c>
      <c r="F219" s="361">
        <f>F155</f>
        <v/>
      </c>
      <c r="G219" s="361">
        <f>G155</f>
        <v/>
      </c>
      <c r="H219" s="361">
        <f>H155</f>
        <v/>
      </c>
      <c r="I219" s="361">
        <f>AVERAGE(E219:H219)</f>
        <v/>
      </c>
      <c r="J219" s="361">
        <f>J155</f>
        <v/>
      </c>
      <c r="K219" s="361">
        <f>K155</f>
        <v/>
      </c>
      <c r="L219" s="361">
        <f>L155</f>
        <v/>
      </c>
      <c r="M219" s="361">
        <f>M155</f>
        <v/>
      </c>
      <c r="N219" s="361">
        <f>AVERAGE(J219:M219)</f>
        <v/>
      </c>
      <c r="O219" s="361">
        <f>O155</f>
        <v/>
      </c>
      <c r="P219" s="361">
        <f>P155</f>
        <v/>
      </c>
      <c r="Q219" s="361">
        <f>Q155</f>
        <v/>
      </c>
      <c r="R219" s="361">
        <f>R155</f>
        <v/>
      </c>
      <c r="S219" s="361">
        <f>AVERAGE(O219:R219)</f>
        <v/>
      </c>
      <c r="T219" s="361">
        <f>T155</f>
        <v/>
      </c>
      <c r="U219" s="361">
        <f>U155</f>
        <v/>
      </c>
      <c r="V219" s="361">
        <f>V155</f>
        <v/>
      </c>
      <c r="W219" s="361">
        <f>W155</f>
        <v/>
      </c>
      <c r="X219" s="361">
        <f>AVERAGE(T219:W219)</f>
        <v/>
      </c>
      <c r="Y219" s="361">
        <f>Y155</f>
        <v/>
      </c>
      <c r="Z219" s="361">
        <f>Z155</f>
        <v/>
      </c>
      <c r="AA219" s="361">
        <f>AA155</f>
        <v/>
      </c>
      <c r="AB219" s="361">
        <f>AB155</f>
        <v/>
      </c>
      <c r="AC219" s="361">
        <f>AVERAGE(Y219:AB219)</f>
        <v/>
      </c>
      <c r="AD219" s="361">
        <f>AD155</f>
        <v/>
      </c>
      <c r="AE219" s="361">
        <f>AE155</f>
        <v/>
      </c>
      <c r="AF219" s="361">
        <f>AF155</f>
        <v/>
      </c>
      <c r="AG219" s="361">
        <f>AG155</f>
        <v/>
      </c>
      <c r="AH219" s="361">
        <f>AVERAGE(AD219:AG219)</f>
        <v/>
      </c>
      <c r="AI219" s="361">
        <f>AI155</f>
        <v/>
      </c>
      <c r="AJ219" s="361">
        <f>AJ155</f>
        <v/>
      </c>
      <c r="AK219" s="361">
        <f>AK155</f>
        <v/>
      </c>
      <c r="AL219" s="361">
        <f>AL155</f>
        <v/>
      </c>
      <c r="AM219" s="361">
        <f>AVERAGE(AI219:AL219)</f>
        <v/>
      </c>
      <c r="AN219" s="361">
        <f>AN155</f>
        <v/>
      </c>
      <c r="AO219" s="361">
        <f>AO155</f>
        <v/>
      </c>
      <c r="AP219" s="361">
        <f>AP155</f>
        <v/>
      </c>
      <c r="AQ219" s="361">
        <f>AQ155</f>
        <v/>
      </c>
      <c r="AR219" s="361">
        <f>AVERAGE(AN219:AQ219)</f>
        <v/>
      </c>
    </row>
    <row r="220" ht="13.5" customHeight="1" s="290">
      <c r="A220" s="339" t="n"/>
      <c r="B220" s="370" t="inlineStr">
        <is>
          <t xml:space="preserve">  Raw HC — Valuation &amp; Advisory</t>
        </is>
      </c>
      <c r="C220" s="371" t="inlineStr">
        <is>
          <t>#</t>
        </is>
      </c>
      <c r="D220" s="372" t="inlineStr">
        <is>
          <t>← row 198</t>
        </is>
      </c>
      <c r="E220" s="361">
        <f>E198</f>
        <v/>
      </c>
      <c r="F220" s="361">
        <f>F198</f>
        <v/>
      </c>
      <c r="G220" s="361">
        <f>G198</f>
        <v/>
      </c>
      <c r="H220" s="361">
        <f>H198</f>
        <v/>
      </c>
      <c r="I220" s="361">
        <f>AVERAGE(E220:H220)</f>
        <v/>
      </c>
      <c r="J220" s="361">
        <f>J198</f>
        <v/>
      </c>
      <c r="K220" s="361">
        <f>K198</f>
        <v/>
      </c>
      <c r="L220" s="361">
        <f>L198</f>
        <v/>
      </c>
      <c r="M220" s="361">
        <f>M198</f>
        <v/>
      </c>
      <c r="N220" s="361">
        <f>AVERAGE(J220:M220)</f>
        <v/>
      </c>
      <c r="O220" s="361">
        <f>O198</f>
        <v/>
      </c>
      <c r="P220" s="361">
        <f>P198</f>
        <v/>
      </c>
      <c r="Q220" s="361">
        <f>Q198</f>
        <v/>
      </c>
      <c r="R220" s="361">
        <f>R198</f>
        <v/>
      </c>
      <c r="S220" s="361">
        <f>AVERAGE(O220:R220)</f>
        <v/>
      </c>
      <c r="T220" s="361">
        <f>T198</f>
        <v/>
      </c>
      <c r="U220" s="361">
        <f>U198</f>
        <v/>
      </c>
      <c r="V220" s="361">
        <f>V198</f>
        <v/>
      </c>
      <c r="W220" s="361">
        <f>W198</f>
        <v/>
      </c>
      <c r="X220" s="361">
        <f>AVERAGE(T220:W220)</f>
        <v/>
      </c>
      <c r="Y220" s="361">
        <f>Y198</f>
        <v/>
      </c>
      <c r="Z220" s="361">
        <f>Z198</f>
        <v/>
      </c>
      <c r="AA220" s="361">
        <f>AA198</f>
        <v/>
      </c>
      <c r="AB220" s="361">
        <f>AB198</f>
        <v/>
      </c>
      <c r="AC220" s="361">
        <f>AVERAGE(Y220:AB220)</f>
        <v/>
      </c>
      <c r="AD220" s="361">
        <f>AD198</f>
        <v/>
      </c>
      <c r="AE220" s="361">
        <f>AE198</f>
        <v/>
      </c>
      <c r="AF220" s="361">
        <f>AF198</f>
        <v/>
      </c>
      <c r="AG220" s="361">
        <f>AG198</f>
        <v/>
      </c>
      <c r="AH220" s="361">
        <f>AVERAGE(AD220:AG220)</f>
        <v/>
      </c>
      <c r="AI220" s="361">
        <f>AI198</f>
        <v/>
      </c>
      <c r="AJ220" s="361">
        <f>AJ198</f>
        <v/>
      </c>
      <c r="AK220" s="361">
        <f>AK198</f>
        <v/>
      </c>
      <c r="AL220" s="361">
        <f>AL198</f>
        <v/>
      </c>
      <c r="AM220" s="361">
        <f>AVERAGE(AI220:AL220)</f>
        <v/>
      </c>
      <c r="AN220" s="361">
        <f>AN198</f>
        <v/>
      </c>
      <c r="AO220" s="361">
        <f>AO198</f>
        <v/>
      </c>
      <c r="AP220" s="361">
        <f>AP198</f>
        <v/>
      </c>
      <c r="AQ220" s="361">
        <f>AQ198</f>
        <v/>
      </c>
      <c r="AR220" s="361">
        <f>AVERAGE(AN220:AQ220)</f>
        <v/>
      </c>
    </row>
    <row r="221" ht="13.5" customHeight="1" s="290">
      <c r="A221" s="339" t="n"/>
      <c r="B221" s="385" t="inlineStr">
        <is>
          <t xml:space="preserve">  ★ TOTAL FIRM HEADCOUNT</t>
        </is>
      </c>
      <c r="C221" s="386" t="inlineStr">
        <is>
          <t>#</t>
        </is>
      </c>
      <c r="D221" s="375" t="inlineStr">
        <is>
          <t xml:space="preserve"> sum of all line headcounts</t>
        </is>
      </c>
      <c r="E221" s="387">
        <f>SUM(E217,E218,E219,E220)</f>
        <v/>
      </c>
      <c r="F221" s="387">
        <f>SUM(F217,F218,F219,F220)</f>
        <v/>
      </c>
      <c r="G221" s="387">
        <f>SUM(G217,G218,G219,G220)</f>
        <v/>
      </c>
      <c r="H221" s="387">
        <f>SUM(H217,H218,H219,H220)</f>
        <v/>
      </c>
      <c r="I221" s="387">
        <f>AVERAGE(E221:H221)</f>
        <v/>
      </c>
      <c r="J221" s="387">
        <f>SUM(J217,J218,J219,J220)</f>
        <v/>
      </c>
      <c r="K221" s="387">
        <f>SUM(K217,K218,K219,K220)</f>
        <v/>
      </c>
      <c r="L221" s="387">
        <f>SUM(L217,L218,L219,L220)</f>
        <v/>
      </c>
      <c r="M221" s="387">
        <f>SUM(M217,M218,M219,M220)</f>
        <v/>
      </c>
      <c r="N221" s="387">
        <f>AVERAGE(J221:M221)</f>
        <v/>
      </c>
      <c r="O221" s="387">
        <f>SUM(O217,O218,O219,O220)</f>
        <v/>
      </c>
      <c r="P221" s="387">
        <f>SUM(P217,P218,P219,P220)</f>
        <v/>
      </c>
      <c r="Q221" s="387">
        <f>SUM(Q217,Q218,Q219,Q220)</f>
        <v/>
      </c>
      <c r="R221" s="387">
        <f>SUM(R217,R218,R219,R220)</f>
        <v/>
      </c>
      <c r="S221" s="387">
        <f>AVERAGE(O221:R221)</f>
        <v/>
      </c>
      <c r="T221" s="387">
        <f>SUM(T217,T218,T219,T220)</f>
        <v/>
      </c>
      <c r="U221" s="387">
        <f>SUM(U217,U218,U219,U220)</f>
        <v/>
      </c>
      <c r="V221" s="387">
        <f>SUM(V217,V218,V219,V220)</f>
        <v/>
      </c>
      <c r="W221" s="387">
        <f>SUM(W217,W218,W219,W220)</f>
        <v/>
      </c>
      <c r="X221" s="387">
        <f>AVERAGE(T221:W221)</f>
        <v/>
      </c>
      <c r="Y221" s="387">
        <f>SUM(Y217,Y218,Y219,Y220)</f>
        <v/>
      </c>
      <c r="Z221" s="387">
        <f>SUM(Z217,Z218,Z219,Z220)</f>
        <v/>
      </c>
      <c r="AA221" s="387">
        <f>SUM(AA217,AA218,AA219,AA220)</f>
        <v/>
      </c>
      <c r="AB221" s="387">
        <f>SUM(AB217,AB218,AB219,AB220)</f>
        <v/>
      </c>
      <c r="AC221" s="387">
        <f>AVERAGE(Y221:AB221)</f>
        <v/>
      </c>
      <c r="AD221" s="387">
        <f>SUM(AD217,AD218,AD219,AD220)</f>
        <v/>
      </c>
      <c r="AE221" s="387">
        <f>SUM(AE217,AE218,AE219,AE220)</f>
        <v/>
      </c>
      <c r="AF221" s="387">
        <f>SUM(AF217,AF218,AF219,AF220)</f>
        <v/>
      </c>
      <c r="AG221" s="387">
        <f>SUM(AG217,AG218,AG219,AG220)</f>
        <v/>
      </c>
      <c r="AH221" s="387">
        <f>AVERAGE(AD221:AG221)</f>
        <v/>
      </c>
      <c r="AI221" s="387">
        <f>SUM(AI217,AI218,AI219,AI220)</f>
        <v/>
      </c>
      <c r="AJ221" s="387">
        <f>SUM(AJ217,AJ218,AJ219,AJ220)</f>
        <v/>
      </c>
      <c r="AK221" s="387">
        <f>SUM(AK217,AK218,AK219,AK220)</f>
        <v/>
      </c>
      <c r="AL221" s="387">
        <f>SUM(AL217,AL218,AL219,AL220)</f>
        <v/>
      </c>
      <c r="AM221" s="387">
        <f>AVERAGE(AI221:AL221)</f>
        <v/>
      </c>
      <c r="AN221" s="387">
        <f>SUM(AN217,AN218,AN219,AN220)</f>
        <v/>
      </c>
      <c r="AO221" s="387">
        <f>SUM(AO217,AO218,AO219,AO220)</f>
        <v/>
      </c>
      <c r="AP221" s="387">
        <f>SUM(AP217,AP218,AP219,AP220)</f>
        <v/>
      </c>
      <c r="AQ221" s="387">
        <f>SUM(AQ217,AQ218,AQ219,AQ220)</f>
        <v/>
      </c>
      <c r="AR221" s="387">
        <f>AVERAGE(AN221:AQ221)</f>
        <v/>
      </c>
    </row>
    <row r="222" ht="4.5" customHeight="1" s="290"/>
    <row r="223" ht="15" customHeight="1" s="290">
      <c r="A223" s="307" t="inlineStr">
        <is>
          <t xml:space="preserve">    RAMP DRAG BY BUSINESS LINE</t>
        </is>
      </c>
    </row>
    <row r="224" ht="3" customHeight="1" s="290"/>
    <row r="225" ht="13.5" customHeight="1" s="290">
      <c r="A225" s="339" t="n"/>
      <c r="B225" s="370" t="inlineStr">
        <is>
          <t xml:space="preserve">  Ramp Drag — Leasing</t>
        </is>
      </c>
      <c r="C225" s="371" t="inlineStr">
        <is>
          <t>#</t>
        </is>
      </c>
      <c r="D225" s="372" t="inlineStr">
        <is>
          <t>← row 52</t>
        </is>
      </c>
      <c r="E225" s="361">
        <f>E52</f>
        <v/>
      </c>
      <c r="F225" s="361">
        <f>F52</f>
        <v/>
      </c>
      <c r="G225" s="361">
        <f>G52</f>
        <v/>
      </c>
      <c r="H225" s="361">
        <f>H52</f>
        <v/>
      </c>
      <c r="I225" s="361">
        <f>SUM(E225:H225)</f>
        <v/>
      </c>
      <c r="J225" s="361">
        <f>J52</f>
        <v/>
      </c>
      <c r="K225" s="361">
        <f>K52</f>
        <v/>
      </c>
      <c r="L225" s="361">
        <f>L52</f>
        <v/>
      </c>
      <c r="M225" s="361">
        <f>M52</f>
        <v/>
      </c>
      <c r="N225" s="361">
        <f>SUM(J225:M225)</f>
        <v/>
      </c>
      <c r="O225" s="361">
        <f>O52</f>
        <v/>
      </c>
      <c r="P225" s="361">
        <f>P52</f>
        <v/>
      </c>
      <c r="Q225" s="361">
        <f>Q52</f>
        <v/>
      </c>
      <c r="R225" s="361">
        <f>R52</f>
        <v/>
      </c>
      <c r="S225" s="361">
        <f>SUM(O225:R225)</f>
        <v/>
      </c>
      <c r="T225" s="361">
        <f>T52</f>
        <v/>
      </c>
      <c r="U225" s="361">
        <f>U52</f>
        <v/>
      </c>
      <c r="V225" s="361">
        <f>V52</f>
        <v/>
      </c>
      <c r="W225" s="361">
        <f>W52</f>
        <v/>
      </c>
      <c r="X225" s="361">
        <f>SUM(T225:W225)</f>
        <v/>
      </c>
      <c r="Y225" s="361">
        <f>Y52</f>
        <v/>
      </c>
      <c r="Z225" s="361">
        <f>Z52</f>
        <v/>
      </c>
      <c r="AA225" s="361">
        <f>AA52</f>
        <v/>
      </c>
      <c r="AB225" s="361">
        <f>AB52</f>
        <v/>
      </c>
      <c r="AC225" s="361">
        <f>SUM(Y225:AB225)</f>
        <v/>
      </c>
      <c r="AD225" s="361">
        <f>AD52</f>
        <v/>
      </c>
      <c r="AE225" s="361">
        <f>AE52</f>
        <v/>
      </c>
      <c r="AF225" s="361">
        <f>AF52</f>
        <v/>
      </c>
      <c r="AG225" s="361">
        <f>AG52</f>
        <v/>
      </c>
      <c r="AH225" s="361">
        <f>SUM(AD225:AG225)</f>
        <v/>
      </c>
      <c r="AI225" s="361">
        <f>AI52</f>
        <v/>
      </c>
      <c r="AJ225" s="361">
        <f>AJ52</f>
        <v/>
      </c>
      <c r="AK225" s="361">
        <f>AK52</f>
        <v/>
      </c>
      <c r="AL225" s="361">
        <f>AL52</f>
        <v/>
      </c>
      <c r="AM225" s="361">
        <f>SUM(AI225:AL225)</f>
        <v/>
      </c>
      <c r="AN225" s="361">
        <f>AN52</f>
        <v/>
      </c>
      <c r="AO225" s="361">
        <f>AO52</f>
        <v/>
      </c>
      <c r="AP225" s="361">
        <f>AP52</f>
        <v/>
      </c>
      <c r="AQ225" s="361">
        <f>AQ52</f>
        <v/>
      </c>
      <c r="AR225" s="361">
        <f>SUM(AN225:AQ225)</f>
        <v/>
      </c>
    </row>
    <row r="226" ht="13.5" customHeight="1" s="290">
      <c r="A226" s="339" t="n"/>
      <c r="B226" s="370" t="inlineStr">
        <is>
          <t xml:space="preserve">  Ramp Drag — Investment Sales</t>
        </is>
      </c>
      <c r="C226" s="371" t="inlineStr">
        <is>
          <t>#</t>
        </is>
      </c>
      <c r="D226" s="372" t="inlineStr">
        <is>
          <t>← row 104</t>
        </is>
      </c>
      <c r="E226" s="361">
        <f>E104</f>
        <v/>
      </c>
      <c r="F226" s="361">
        <f>F104</f>
        <v/>
      </c>
      <c r="G226" s="361">
        <f>G104</f>
        <v/>
      </c>
      <c r="H226" s="361">
        <f>H104</f>
        <v/>
      </c>
      <c r="I226" s="361">
        <f>SUM(E226:H226)</f>
        <v/>
      </c>
      <c r="J226" s="361">
        <f>J104</f>
        <v/>
      </c>
      <c r="K226" s="361">
        <f>K104</f>
        <v/>
      </c>
      <c r="L226" s="361">
        <f>L104</f>
        <v/>
      </c>
      <c r="M226" s="361">
        <f>M104</f>
        <v/>
      </c>
      <c r="N226" s="361">
        <f>SUM(J226:M226)</f>
        <v/>
      </c>
      <c r="O226" s="361">
        <f>O104</f>
        <v/>
      </c>
      <c r="P226" s="361">
        <f>P104</f>
        <v/>
      </c>
      <c r="Q226" s="361">
        <f>Q104</f>
        <v/>
      </c>
      <c r="R226" s="361">
        <f>R104</f>
        <v/>
      </c>
      <c r="S226" s="361">
        <f>SUM(O226:R226)</f>
        <v/>
      </c>
      <c r="T226" s="361">
        <f>T104</f>
        <v/>
      </c>
      <c r="U226" s="361">
        <f>U104</f>
        <v/>
      </c>
      <c r="V226" s="361">
        <f>V104</f>
        <v/>
      </c>
      <c r="W226" s="361">
        <f>W104</f>
        <v/>
      </c>
      <c r="X226" s="361">
        <f>SUM(T226:W226)</f>
        <v/>
      </c>
      <c r="Y226" s="361">
        <f>Y104</f>
        <v/>
      </c>
      <c r="Z226" s="361">
        <f>Z104</f>
        <v/>
      </c>
      <c r="AA226" s="361">
        <f>AA104</f>
        <v/>
      </c>
      <c r="AB226" s="361">
        <f>AB104</f>
        <v/>
      </c>
      <c r="AC226" s="361">
        <f>SUM(Y226:AB226)</f>
        <v/>
      </c>
      <c r="AD226" s="361">
        <f>AD104</f>
        <v/>
      </c>
      <c r="AE226" s="361">
        <f>AE104</f>
        <v/>
      </c>
      <c r="AF226" s="361">
        <f>AF104</f>
        <v/>
      </c>
      <c r="AG226" s="361">
        <f>AG104</f>
        <v/>
      </c>
      <c r="AH226" s="361">
        <f>SUM(AD226:AG226)</f>
        <v/>
      </c>
      <c r="AI226" s="361">
        <f>AI104</f>
        <v/>
      </c>
      <c r="AJ226" s="361">
        <f>AJ104</f>
        <v/>
      </c>
      <c r="AK226" s="361">
        <f>AK104</f>
        <v/>
      </c>
      <c r="AL226" s="361">
        <f>AL104</f>
        <v/>
      </c>
      <c r="AM226" s="361">
        <f>SUM(AI226:AL226)</f>
        <v/>
      </c>
      <c r="AN226" s="361">
        <f>AN104</f>
        <v/>
      </c>
      <c r="AO226" s="361">
        <f>AO104</f>
        <v/>
      </c>
      <c r="AP226" s="361">
        <f>AP104</f>
        <v/>
      </c>
      <c r="AQ226" s="361">
        <f>AQ104</f>
        <v/>
      </c>
      <c r="AR226" s="361">
        <f>SUM(AN226:AQ226)</f>
        <v/>
      </c>
    </row>
    <row r="227" ht="13.5" customHeight="1" s="290">
      <c r="A227" s="339" t="n"/>
      <c r="B227" s="370" t="inlineStr">
        <is>
          <t xml:space="preserve">  Ramp Drag — Debt &amp; Equity</t>
        </is>
      </c>
      <c r="C227" s="371" t="inlineStr">
        <is>
          <t>#</t>
        </is>
      </c>
      <c r="D227" s="372" t="inlineStr">
        <is>
          <t>← row 156</t>
        </is>
      </c>
      <c r="E227" s="361">
        <f>E156</f>
        <v/>
      </c>
      <c r="F227" s="361">
        <f>F156</f>
        <v/>
      </c>
      <c r="G227" s="361">
        <f>G156</f>
        <v/>
      </c>
      <c r="H227" s="361">
        <f>H156</f>
        <v/>
      </c>
      <c r="I227" s="361">
        <f>SUM(E227:H227)</f>
        <v/>
      </c>
      <c r="J227" s="361">
        <f>J156</f>
        <v/>
      </c>
      <c r="K227" s="361">
        <f>K156</f>
        <v/>
      </c>
      <c r="L227" s="361">
        <f>L156</f>
        <v/>
      </c>
      <c r="M227" s="361">
        <f>M156</f>
        <v/>
      </c>
      <c r="N227" s="361">
        <f>SUM(J227:M227)</f>
        <v/>
      </c>
      <c r="O227" s="361">
        <f>O156</f>
        <v/>
      </c>
      <c r="P227" s="361">
        <f>P156</f>
        <v/>
      </c>
      <c r="Q227" s="361">
        <f>Q156</f>
        <v/>
      </c>
      <c r="R227" s="361">
        <f>R156</f>
        <v/>
      </c>
      <c r="S227" s="361">
        <f>SUM(O227:R227)</f>
        <v/>
      </c>
      <c r="T227" s="361">
        <f>T156</f>
        <v/>
      </c>
      <c r="U227" s="361">
        <f>U156</f>
        <v/>
      </c>
      <c r="V227" s="361">
        <f>V156</f>
        <v/>
      </c>
      <c r="W227" s="361">
        <f>W156</f>
        <v/>
      </c>
      <c r="X227" s="361">
        <f>SUM(T227:W227)</f>
        <v/>
      </c>
      <c r="Y227" s="361">
        <f>Y156</f>
        <v/>
      </c>
      <c r="Z227" s="361">
        <f>Z156</f>
        <v/>
      </c>
      <c r="AA227" s="361">
        <f>AA156</f>
        <v/>
      </c>
      <c r="AB227" s="361">
        <f>AB156</f>
        <v/>
      </c>
      <c r="AC227" s="361">
        <f>SUM(Y227:AB227)</f>
        <v/>
      </c>
      <c r="AD227" s="361">
        <f>AD156</f>
        <v/>
      </c>
      <c r="AE227" s="361">
        <f>AE156</f>
        <v/>
      </c>
      <c r="AF227" s="361">
        <f>AF156</f>
        <v/>
      </c>
      <c r="AG227" s="361">
        <f>AG156</f>
        <v/>
      </c>
      <c r="AH227" s="361">
        <f>SUM(AD227:AG227)</f>
        <v/>
      </c>
      <c r="AI227" s="361">
        <f>AI156</f>
        <v/>
      </c>
      <c r="AJ227" s="361">
        <f>AJ156</f>
        <v/>
      </c>
      <c r="AK227" s="361">
        <f>AK156</f>
        <v/>
      </c>
      <c r="AL227" s="361">
        <f>AL156</f>
        <v/>
      </c>
      <c r="AM227" s="361">
        <f>SUM(AI227:AL227)</f>
        <v/>
      </c>
      <c r="AN227" s="361">
        <f>AN156</f>
        <v/>
      </c>
      <c r="AO227" s="361">
        <f>AO156</f>
        <v/>
      </c>
      <c r="AP227" s="361">
        <f>AP156</f>
        <v/>
      </c>
      <c r="AQ227" s="361">
        <f>AQ156</f>
        <v/>
      </c>
      <c r="AR227" s="361">
        <f>SUM(AN227:AQ227)</f>
        <v/>
      </c>
    </row>
    <row r="228" ht="13.5" customHeight="1" s="290">
      <c r="A228" s="339" t="n"/>
      <c r="B228" s="370" t="inlineStr">
        <is>
          <t xml:space="preserve">  Ramp Drag — Valuation &amp; Advisory</t>
        </is>
      </c>
      <c r="C228" s="371" t="inlineStr">
        <is>
          <t>#</t>
        </is>
      </c>
      <c r="D228" s="372" t="inlineStr">
        <is>
          <t>← row 199</t>
        </is>
      </c>
      <c r="E228" s="361">
        <f>E199</f>
        <v/>
      </c>
      <c r="F228" s="361">
        <f>F199</f>
        <v/>
      </c>
      <c r="G228" s="361">
        <f>G199</f>
        <v/>
      </c>
      <c r="H228" s="361">
        <f>H199</f>
        <v/>
      </c>
      <c r="I228" s="361">
        <f>SUM(E228:H228)</f>
        <v/>
      </c>
      <c r="J228" s="361">
        <f>J199</f>
        <v/>
      </c>
      <c r="K228" s="361">
        <f>K199</f>
        <v/>
      </c>
      <c r="L228" s="361">
        <f>L199</f>
        <v/>
      </c>
      <c r="M228" s="361">
        <f>M199</f>
        <v/>
      </c>
      <c r="N228" s="361">
        <f>SUM(J228:M228)</f>
        <v/>
      </c>
      <c r="O228" s="361">
        <f>O199</f>
        <v/>
      </c>
      <c r="P228" s="361">
        <f>P199</f>
        <v/>
      </c>
      <c r="Q228" s="361">
        <f>Q199</f>
        <v/>
      </c>
      <c r="R228" s="361">
        <f>R199</f>
        <v/>
      </c>
      <c r="S228" s="361">
        <f>SUM(O228:R228)</f>
        <v/>
      </c>
      <c r="T228" s="361">
        <f>T199</f>
        <v/>
      </c>
      <c r="U228" s="361">
        <f>U199</f>
        <v/>
      </c>
      <c r="V228" s="361">
        <f>V199</f>
        <v/>
      </c>
      <c r="W228" s="361">
        <f>W199</f>
        <v/>
      </c>
      <c r="X228" s="361">
        <f>SUM(T228:W228)</f>
        <v/>
      </c>
      <c r="Y228" s="361">
        <f>Y199</f>
        <v/>
      </c>
      <c r="Z228" s="361">
        <f>Z199</f>
        <v/>
      </c>
      <c r="AA228" s="361">
        <f>AA199</f>
        <v/>
      </c>
      <c r="AB228" s="361">
        <f>AB199</f>
        <v/>
      </c>
      <c r="AC228" s="361">
        <f>SUM(Y228:AB228)</f>
        <v/>
      </c>
      <c r="AD228" s="361">
        <f>AD199</f>
        <v/>
      </c>
      <c r="AE228" s="361">
        <f>AE199</f>
        <v/>
      </c>
      <c r="AF228" s="361">
        <f>AF199</f>
        <v/>
      </c>
      <c r="AG228" s="361">
        <f>AG199</f>
        <v/>
      </c>
      <c r="AH228" s="361">
        <f>SUM(AD228:AG228)</f>
        <v/>
      </c>
      <c r="AI228" s="361">
        <f>AI199</f>
        <v/>
      </c>
      <c r="AJ228" s="361">
        <f>AJ199</f>
        <v/>
      </c>
      <c r="AK228" s="361">
        <f>AK199</f>
        <v/>
      </c>
      <c r="AL228" s="361">
        <f>AL199</f>
        <v/>
      </c>
      <c r="AM228" s="361">
        <f>SUM(AI228:AL228)</f>
        <v/>
      </c>
      <c r="AN228" s="361">
        <f>AN199</f>
        <v/>
      </c>
      <c r="AO228" s="361">
        <f>AO199</f>
        <v/>
      </c>
      <c r="AP228" s="361">
        <f>AP199</f>
        <v/>
      </c>
      <c r="AQ228" s="361">
        <f>AQ199</f>
        <v/>
      </c>
      <c r="AR228" s="361">
        <f>SUM(AN228:AQ228)</f>
        <v/>
      </c>
    </row>
    <row r="229" ht="13.5" customHeight="1" s="290">
      <c r="A229" s="339" t="n"/>
      <c r="B229" s="385" t="inlineStr">
        <is>
          <t xml:space="preserve">  Total Firm Ramp Drag</t>
        </is>
      </c>
      <c r="C229" s="386" t="inlineStr">
        <is>
          <t>#</t>
        </is>
      </c>
      <c r="D229" s="375" t="inlineStr">
        <is>
          <t xml:space="preserve"> sum of all line ramp drags</t>
        </is>
      </c>
      <c r="E229" s="387">
        <f>SUM(E225,E226,E227,E228)</f>
        <v/>
      </c>
      <c r="F229" s="387">
        <f>SUM(F225,F226,F227,F228)</f>
        <v/>
      </c>
      <c r="G229" s="387">
        <f>SUM(G225,G226,G227,G228)</f>
        <v/>
      </c>
      <c r="H229" s="387">
        <f>SUM(H225,H226,H227,H228)</f>
        <v/>
      </c>
      <c r="I229" s="387">
        <f>SUM(E229:H229)</f>
        <v/>
      </c>
      <c r="J229" s="387">
        <f>SUM(J225,J226,J227,J228)</f>
        <v/>
      </c>
      <c r="K229" s="387">
        <f>SUM(K225,K226,K227,K228)</f>
        <v/>
      </c>
      <c r="L229" s="387">
        <f>SUM(L225,L226,L227,L228)</f>
        <v/>
      </c>
      <c r="M229" s="387">
        <f>SUM(M225,M226,M227,M228)</f>
        <v/>
      </c>
      <c r="N229" s="387">
        <f>SUM(J229:M229)</f>
        <v/>
      </c>
      <c r="O229" s="387">
        <f>SUM(O225,O226,O227,O228)</f>
        <v/>
      </c>
      <c r="P229" s="387">
        <f>SUM(P225,P226,P227,P228)</f>
        <v/>
      </c>
      <c r="Q229" s="387">
        <f>SUM(Q225,Q226,Q227,Q228)</f>
        <v/>
      </c>
      <c r="R229" s="387">
        <f>SUM(R225,R226,R227,R228)</f>
        <v/>
      </c>
      <c r="S229" s="387">
        <f>SUM(O229:R229)</f>
        <v/>
      </c>
      <c r="T229" s="387">
        <f>SUM(T225,T226,T227,T228)</f>
        <v/>
      </c>
      <c r="U229" s="387">
        <f>SUM(U225,U226,U227,U228)</f>
        <v/>
      </c>
      <c r="V229" s="387">
        <f>SUM(V225,V226,V227,V228)</f>
        <v/>
      </c>
      <c r="W229" s="387">
        <f>SUM(W225,W226,W227,W228)</f>
        <v/>
      </c>
      <c r="X229" s="387">
        <f>SUM(T229:W229)</f>
        <v/>
      </c>
      <c r="Y229" s="387">
        <f>SUM(Y225,Y226,Y227,Y228)</f>
        <v/>
      </c>
      <c r="Z229" s="387">
        <f>SUM(Z225,Z226,Z227,Z228)</f>
        <v/>
      </c>
      <c r="AA229" s="387">
        <f>SUM(AA225,AA226,AA227,AA228)</f>
        <v/>
      </c>
      <c r="AB229" s="387">
        <f>SUM(AB225,AB226,AB227,AB228)</f>
        <v/>
      </c>
      <c r="AC229" s="387">
        <f>SUM(Y229:AB229)</f>
        <v/>
      </c>
      <c r="AD229" s="387">
        <f>SUM(AD225,AD226,AD227,AD228)</f>
        <v/>
      </c>
      <c r="AE229" s="387">
        <f>SUM(AE225,AE226,AE227,AE228)</f>
        <v/>
      </c>
      <c r="AF229" s="387">
        <f>SUM(AF225,AF226,AF227,AF228)</f>
        <v/>
      </c>
      <c r="AG229" s="387">
        <f>SUM(AG225,AG226,AG227,AG228)</f>
        <v/>
      </c>
      <c r="AH229" s="387">
        <f>SUM(AD229:AG229)</f>
        <v/>
      </c>
      <c r="AI229" s="387">
        <f>SUM(AI225,AI226,AI227,AI228)</f>
        <v/>
      </c>
      <c r="AJ229" s="387">
        <f>SUM(AJ225,AJ226,AJ227,AJ228)</f>
        <v/>
      </c>
      <c r="AK229" s="387">
        <f>SUM(AK225,AK226,AK227,AK228)</f>
        <v/>
      </c>
      <c r="AL229" s="387">
        <f>SUM(AL225,AL226,AL227,AL228)</f>
        <v/>
      </c>
      <c r="AM229" s="387">
        <f>SUM(AI229:AL229)</f>
        <v/>
      </c>
      <c r="AN229" s="387">
        <f>SUM(AN225,AN226,AN227,AN228)</f>
        <v/>
      </c>
      <c r="AO229" s="387">
        <f>SUM(AO225,AO226,AO227,AO228)</f>
        <v/>
      </c>
      <c r="AP229" s="387">
        <f>SUM(AP225,AP226,AP227,AP228)</f>
        <v/>
      </c>
      <c r="AQ229" s="387">
        <f>SUM(AQ225,AQ226,AQ227,AQ228)</f>
        <v/>
      </c>
      <c r="AR229" s="387">
        <f>SUM(AN229:AQ229)</f>
        <v/>
      </c>
    </row>
    <row r="230" ht="4.5" customHeight="1" s="290"/>
    <row r="231" ht="15" customHeight="1" s="290">
      <c r="A231" s="307" t="inlineStr">
        <is>
          <t xml:space="preserve">    BOOK LOSS GCI DRAG — TRANSACTION LINES ONLY</t>
        </is>
      </c>
    </row>
    <row r="232" ht="3" customHeight="1" s="290"/>
    <row r="233" ht="13.5" customHeight="1" s="290">
      <c r="A233" s="339" t="n"/>
      <c r="B233" s="370" t="inlineStr">
        <is>
          <t xml:space="preserve">  Book Loss GCI Drag — Leasing</t>
        </is>
      </c>
      <c r="C233" s="371" t="inlineStr">
        <is>
          <t>$K</t>
        </is>
      </c>
      <c r="D233" s="372" t="inlineStr">
        <is>
          <t>← row 53 (negative value)</t>
        </is>
      </c>
      <c r="E233" s="361">
        <f>E53</f>
        <v/>
      </c>
      <c r="F233" s="361">
        <f>F53</f>
        <v/>
      </c>
      <c r="G233" s="361">
        <f>G53</f>
        <v/>
      </c>
      <c r="H233" s="361">
        <f>H53</f>
        <v/>
      </c>
      <c r="I233" s="361">
        <f>SUM(E233:H233)</f>
        <v/>
      </c>
      <c r="J233" s="361">
        <f>J53</f>
        <v/>
      </c>
      <c r="K233" s="361">
        <f>K53</f>
        <v/>
      </c>
      <c r="L233" s="361">
        <f>L53</f>
        <v/>
      </c>
      <c r="M233" s="361">
        <f>M53</f>
        <v/>
      </c>
      <c r="N233" s="361">
        <f>SUM(J233:M233)</f>
        <v/>
      </c>
      <c r="O233" s="361">
        <f>O53</f>
        <v/>
      </c>
      <c r="P233" s="361">
        <f>P53</f>
        <v/>
      </c>
      <c r="Q233" s="361">
        <f>Q53</f>
        <v/>
      </c>
      <c r="R233" s="361">
        <f>R53</f>
        <v/>
      </c>
      <c r="S233" s="361">
        <f>SUM(O233:R233)</f>
        <v/>
      </c>
      <c r="T233" s="361">
        <f>T53</f>
        <v/>
      </c>
      <c r="U233" s="361">
        <f>U53</f>
        <v/>
      </c>
      <c r="V233" s="361">
        <f>V53</f>
        <v/>
      </c>
      <c r="W233" s="361">
        <f>W53</f>
        <v/>
      </c>
      <c r="X233" s="361">
        <f>SUM(T233:W233)</f>
        <v/>
      </c>
      <c r="Y233" s="361">
        <f>Y53</f>
        <v/>
      </c>
      <c r="Z233" s="361">
        <f>Z53</f>
        <v/>
      </c>
      <c r="AA233" s="361">
        <f>AA53</f>
        <v/>
      </c>
      <c r="AB233" s="361">
        <f>AB53</f>
        <v/>
      </c>
      <c r="AC233" s="361">
        <f>SUM(Y233:AB233)</f>
        <v/>
      </c>
      <c r="AD233" s="361">
        <f>AD53</f>
        <v/>
      </c>
      <c r="AE233" s="361">
        <f>AE53</f>
        <v/>
      </c>
      <c r="AF233" s="361">
        <f>AF53</f>
        <v/>
      </c>
      <c r="AG233" s="361">
        <f>AG53</f>
        <v/>
      </c>
      <c r="AH233" s="361">
        <f>SUM(AD233:AG233)</f>
        <v/>
      </c>
      <c r="AI233" s="361">
        <f>AI53</f>
        <v/>
      </c>
      <c r="AJ233" s="361">
        <f>AJ53</f>
        <v/>
      </c>
      <c r="AK233" s="361">
        <f>AK53</f>
        <v/>
      </c>
      <c r="AL233" s="361">
        <f>AL53</f>
        <v/>
      </c>
      <c r="AM233" s="361">
        <f>SUM(AI233:AL233)</f>
        <v/>
      </c>
      <c r="AN233" s="361">
        <f>AN53</f>
        <v/>
      </c>
      <c r="AO233" s="361">
        <f>AO53</f>
        <v/>
      </c>
      <c r="AP233" s="361">
        <f>AP53</f>
        <v/>
      </c>
      <c r="AQ233" s="361">
        <f>AQ53</f>
        <v/>
      </c>
      <c r="AR233" s="361">
        <f>SUM(AN233:AQ233)</f>
        <v/>
      </c>
    </row>
    <row r="234" ht="13.5" customHeight="1" s="290">
      <c r="A234" s="339" t="n"/>
      <c r="B234" s="370" t="inlineStr">
        <is>
          <t xml:space="preserve">  Book Loss GCI Drag — Investment Sales</t>
        </is>
      </c>
      <c r="C234" s="371" t="inlineStr">
        <is>
          <t>$K</t>
        </is>
      </c>
      <c r="D234" s="372" t="inlineStr">
        <is>
          <t>← row 105 (negative value)</t>
        </is>
      </c>
      <c r="E234" s="361">
        <f>E105</f>
        <v/>
      </c>
      <c r="F234" s="361">
        <f>F105</f>
        <v/>
      </c>
      <c r="G234" s="361">
        <f>G105</f>
        <v/>
      </c>
      <c r="H234" s="361">
        <f>H105</f>
        <v/>
      </c>
      <c r="I234" s="361">
        <f>SUM(E234:H234)</f>
        <v/>
      </c>
      <c r="J234" s="361">
        <f>J105</f>
        <v/>
      </c>
      <c r="K234" s="361">
        <f>K105</f>
        <v/>
      </c>
      <c r="L234" s="361">
        <f>L105</f>
        <v/>
      </c>
      <c r="M234" s="361">
        <f>M105</f>
        <v/>
      </c>
      <c r="N234" s="361">
        <f>SUM(J234:M234)</f>
        <v/>
      </c>
      <c r="O234" s="361">
        <f>O105</f>
        <v/>
      </c>
      <c r="P234" s="361">
        <f>P105</f>
        <v/>
      </c>
      <c r="Q234" s="361">
        <f>Q105</f>
        <v/>
      </c>
      <c r="R234" s="361">
        <f>R105</f>
        <v/>
      </c>
      <c r="S234" s="361">
        <f>SUM(O234:R234)</f>
        <v/>
      </c>
      <c r="T234" s="361">
        <f>T105</f>
        <v/>
      </c>
      <c r="U234" s="361">
        <f>U105</f>
        <v/>
      </c>
      <c r="V234" s="361">
        <f>V105</f>
        <v/>
      </c>
      <c r="W234" s="361">
        <f>W105</f>
        <v/>
      </c>
      <c r="X234" s="361">
        <f>SUM(T234:W234)</f>
        <v/>
      </c>
      <c r="Y234" s="361">
        <f>Y105</f>
        <v/>
      </c>
      <c r="Z234" s="361">
        <f>Z105</f>
        <v/>
      </c>
      <c r="AA234" s="361">
        <f>AA105</f>
        <v/>
      </c>
      <c r="AB234" s="361">
        <f>AB105</f>
        <v/>
      </c>
      <c r="AC234" s="361">
        <f>SUM(Y234:AB234)</f>
        <v/>
      </c>
      <c r="AD234" s="361">
        <f>AD105</f>
        <v/>
      </c>
      <c r="AE234" s="361">
        <f>AE105</f>
        <v/>
      </c>
      <c r="AF234" s="361">
        <f>AF105</f>
        <v/>
      </c>
      <c r="AG234" s="361">
        <f>AG105</f>
        <v/>
      </c>
      <c r="AH234" s="361">
        <f>SUM(AD234:AG234)</f>
        <v/>
      </c>
      <c r="AI234" s="361">
        <f>AI105</f>
        <v/>
      </c>
      <c r="AJ234" s="361">
        <f>AJ105</f>
        <v/>
      </c>
      <c r="AK234" s="361">
        <f>AK105</f>
        <v/>
      </c>
      <c r="AL234" s="361">
        <f>AL105</f>
        <v/>
      </c>
      <c r="AM234" s="361">
        <f>SUM(AI234:AL234)</f>
        <v/>
      </c>
      <c r="AN234" s="361">
        <f>AN105</f>
        <v/>
      </c>
      <c r="AO234" s="361">
        <f>AO105</f>
        <v/>
      </c>
      <c r="AP234" s="361">
        <f>AP105</f>
        <v/>
      </c>
      <c r="AQ234" s="361">
        <f>AQ105</f>
        <v/>
      </c>
      <c r="AR234" s="361">
        <f>SUM(AN234:AQ234)</f>
        <v/>
      </c>
    </row>
    <row r="235" ht="13.5" customHeight="1" s="290">
      <c r="A235" s="339" t="n"/>
      <c r="B235" s="370" t="inlineStr">
        <is>
          <t xml:space="preserve">  Book Loss GCI Drag — Debt &amp; Equity</t>
        </is>
      </c>
      <c r="C235" s="371" t="inlineStr">
        <is>
          <t>$K</t>
        </is>
      </c>
      <c r="D235" s="372" t="inlineStr">
        <is>
          <t>← row 157 (negative value)</t>
        </is>
      </c>
      <c r="E235" s="361">
        <f>E157</f>
        <v/>
      </c>
      <c r="F235" s="361">
        <f>F157</f>
        <v/>
      </c>
      <c r="G235" s="361">
        <f>G157</f>
        <v/>
      </c>
      <c r="H235" s="361">
        <f>H157</f>
        <v/>
      </c>
      <c r="I235" s="361">
        <f>SUM(E235:H235)</f>
        <v/>
      </c>
      <c r="J235" s="361">
        <f>J157</f>
        <v/>
      </c>
      <c r="K235" s="361">
        <f>K157</f>
        <v/>
      </c>
      <c r="L235" s="361">
        <f>L157</f>
        <v/>
      </c>
      <c r="M235" s="361">
        <f>M157</f>
        <v/>
      </c>
      <c r="N235" s="361">
        <f>SUM(J235:M235)</f>
        <v/>
      </c>
      <c r="O235" s="361">
        <f>O157</f>
        <v/>
      </c>
      <c r="P235" s="361">
        <f>P157</f>
        <v/>
      </c>
      <c r="Q235" s="361">
        <f>Q157</f>
        <v/>
      </c>
      <c r="R235" s="361">
        <f>R157</f>
        <v/>
      </c>
      <c r="S235" s="361">
        <f>SUM(O235:R235)</f>
        <v/>
      </c>
      <c r="T235" s="361">
        <f>T157</f>
        <v/>
      </c>
      <c r="U235" s="361">
        <f>U157</f>
        <v/>
      </c>
      <c r="V235" s="361">
        <f>V157</f>
        <v/>
      </c>
      <c r="W235" s="361">
        <f>W157</f>
        <v/>
      </c>
      <c r="X235" s="361">
        <f>SUM(T235:W235)</f>
        <v/>
      </c>
      <c r="Y235" s="361">
        <f>Y157</f>
        <v/>
      </c>
      <c r="Z235" s="361">
        <f>Z157</f>
        <v/>
      </c>
      <c r="AA235" s="361">
        <f>AA157</f>
        <v/>
      </c>
      <c r="AB235" s="361">
        <f>AB157</f>
        <v/>
      </c>
      <c r="AC235" s="361">
        <f>SUM(Y235:AB235)</f>
        <v/>
      </c>
      <c r="AD235" s="361">
        <f>AD157</f>
        <v/>
      </c>
      <c r="AE235" s="361">
        <f>AE157</f>
        <v/>
      </c>
      <c r="AF235" s="361">
        <f>AF157</f>
        <v/>
      </c>
      <c r="AG235" s="361">
        <f>AG157</f>
        <v/>
      </c>
      <c r="AH235" s="361">
        <f>SUM(AD235:AG235)</f>
        <v/>
      </c>
      <c r="AI235" s="361">
        <f>AI157</f>
        <v/>
      </c>
      <c r="AJ235" s="361">
        <f>AJ157</f>
        <v/>
      </c>
      <c r="AK235" s="361">
        <f>AK157</f>
        <v/>
      </c>
      <c r="AL235" s="361">
        <f>AL157</f>
        <v/>
      </c>
      <c r="AM235" s="361">
        <f>SUM(AI235:AL235)</f>
        <v/>
      </c>
      <c r="AN235" s="361">
        <f>AN157</f>
        <v/>
      </c>
      <c r="AO235" s="361">
        <f>AO157</f>
        <v/>
      </c>
      <c r="AP235" s="361">
        <f>AP157</f>
        <v/>
      </c>
      <c r="AQ235" s="361">
        <f>AQ157</f>
        <v/>
      </c>
      <c r="AR235" s="361">
        <f>SUM(AN235:AQ235)</f>
        <v/>
      </c>
    </row>
    <row r="236" ht="13.5" customHeight="1" s="290">
      <c r="A236" s="339" t="n"/>
      <c r="B236" s="373" t="inlineStr">
        <is>
          <t xml:space="preserve">  Book Loss GCI Drag — Valuation &amp; Advisory</t>
        </is>
      </c>
      <c r="C236" s="374" t="inlineStr">
        <is>
          <t>$K</t>
        </is>
      </c>
      <c r="D236" s="375" t="inlineStr">
        <is>
          <t xml:space="preserve"> = 0 (salaried — no book loss)</t>
        </is>
      </c>
      <c r="E236" s="376">
        <f>0</f>
        <v/>
      </c>
      <c r="F236" s="376">
        <f>0</f>
        <v/>
      </c>
      <c r="G236" s="376">
        <f>0</f>
        <v/>
      </c>
      <c r="H236" s="376">
        <f>0</f>
        <v/>
      </c>
      <c r="I236" s="344">
        <f>SUM(E236:H236)</f>
        <v/>
      </c>
      <c r="J236" s="376">
        <f>0</f>
        <v/>
      </c>
      <c r="K236" s="376">
        <f>0</f>
        <v/>
      </c>
      <c r="L236" s="376">
        <f>0</f>
        <v/>
      </c>
      <c r="M236" s="376">
        <f>0</f>
        <v/>
      </c>
      <c r="N236" s="344">
        <f>SUM(J236:M236)</f>
        <v/>
      </c>
      <c r="O236" s="376">
        <f>0</f>
        <v/>
      </c>
      <c r="P236" s="376">
        <f>0</f>
        <v/>
      </c>
      <c r="Q236" s="376">
        <f>0</f>
        <v/>
      </c>
      <c r="R236" s="376">
        <f>0</f>
        <v/>
      </c>
      <c r="S236" s="344">
        <f>SUM(O236:R236)</f>
        <v/>
      </c>
      <c r="T236" s="376">
        <f>0</f>
        <v/>
      </c>
      <c r="U236" s="376">
        <f>0</f>
        <v/>
      </c>
      <c r="V236" s="376">
        <f>0</f>
        <v/>
      </c>
      <c r="W236" s="376">
        <f>0</f>
        <v/>
      </c>
      <c r="X236" s="344">
        <f>SUM(T236:W236)</f>
        <v/>
      </c>
      <c r="Y236" s="376">
        <f>0</f>
        <v/>
      </c>
      <c r="Z236" s="376">
        <f>0</f>
        <v/>
      </c>
      <c r="AA236" s="376">
        <f>0</f>
        <v/>
      </c>
      <c r="AB236" s="376">
        <f>0</f>
        <v/>
      </c>
      <c r="AC236" s="344">
        <f>SUM(Y236:AB236)</f>
        <v/>
      </c>
      <c r="AD236" s="376">
        <f>0</f>
        <v/>
      </c>
      <c r="AE236" s="376">
        <f>0</f>
        <v/>
      </c>
      <c r="AF236" s="376">
        <f>0</f>
        <v/>
      </c>
      <c r="AG236" s="376">
        <f>0</f>
        <v/>
      </c>
      <c r="AH236" s="344">
        <f>SUM(AD236:AG236)</f>
        <v/>
      </c>
      <c r="AI236" s="376">
        <f>0</f>
        <v/>
      </c>
      <c r="AJ236" s="376">
        <f>0</f>
        <v/>
      </c>
      <c r="AK236" s="376">
        <f>0</f>
        <v/>
      </c>
      <c r="AL236" s="376">
        <f>0</f>
        <v/>
      </c>
      <c r="AM236" s="344">
        <f>SUM(AI236:AL236)</f>
        <v/>
      </c>
      <c r="AN236" s="376">
        <f>0</f>
        <v/>
      </c>
      <c r="AO236" s="376">
        <f>0</f>
        <v/>
      </c>
      <c r="AP236" s="376">
        <f>0</f>
        <v/>
      </c>
      <c r="AQ236" s="376">
        <f>0</f>
        <v/>
      </c>
      <c r="AR236" s="344">
        <f>SUM(AN236:AQ236)</f>
        <v/>
      </c>
    </row>
    <row r="237" ht="13.5" customHeight="1" s="290">
      <c r="A237" s="339" t="n"/>
      <c r="B237" s="385" t="inlineStr">
        <is>
          <t xml:space="preserve">  ★ TOTAL BOOK LOSS GCI DRAG — All Lines</t>
        </is>
      </c>
      <c r="C237" s="386" t="inlineStr">
        <is>
          <t>$K</t>
        </is>
      </c>
      <c r="D237" s="375" t="inlineStr">
        <is>
          <t xml:space="preserve"> sum of all line book loss drags (negative)</t>
        </is>
      </c>
      <c r="E237" s="387">
        <f>SUM(E233,E234,E235,E236)</f>
        <v/>
      </c>
      <c r="F237" s="387">
        <f>SUM(F233,F234,F235,F236)</f>
        <v/>
      </c>
      <c r="G237" s="387">
        <f>SUM(G233,G234,G235,G236)</f>
        <v/>
      </c>
      <c r="H237" s="387">
        <f>SUM(H233,H234,H235,H236)</f>
        <v/>
      </c>
      <c r="I237" s="387">
        <f>SUM(E237:H237)</f>
        <v/>
      </c>
      <c r="J237" s="387">
        <f>SUM(J233,J234,J235,J236)</f>
        <v/>
      </c>
      <c r="K237" s="387">
        <f>SUM(K233,K234,K235,K236)</f>
        <v/>
      </c>
      <c r="L237" s="387">
        <f>SUM(L233,L234,L235,L236)</f>
        <v/>
      </c>
      <c r="M237" s="387">
        <f>SUM(M233,M234,M235,M236)</f>
        <v/>
      </c>
      <c r="N237" s="387">
        <f>SUM(J237:M237)</f>
        <v/>
      </c>
      <c r="O237" s="387">
        <f>SUM(O233,O234,O235,O236)</f>
        <v/>
      </c>
      <c r="P237" s="387">
        <f>SUM(P233,P234,P235,P236)</f>
        <v/>
      </c>
      <c r="Q237" s="387">
        <f>SUM(Q233,Q234,Q235,Q236)</f>
        <v/>
      </c>
      <c r="R237" s="387">
        <f>SUM(R233,R234,R235,R236)</f>
        <v/>
      </c>
      <c r="S237" s="387">
        <f>SUM(O237:R237)</f>
        <v/>
      </c>
      <c r="T237" s="387">
        <f>SUM(T233,T234,T235,T236)</f>
        <v/>
      </c>
      <c r="U237" s="387">
        <f>SUM(U233,U234,U235,U236)</f>
        <v/>
      </c>
      <c r="V237" s="387">
        <f>SUM(V233,V234,V235,V236)</f>
        <v/>
      </c>
      <c r="W237" s="387">
        <f>SUM(W233,W234,W235,W236)</f>
        <v/>
      </c>
      <c r="X237" s="387">
        <f>SUM(T237:W237)</f>
        <v/>
      </c>
      <c r="Y237" s="387">
        <f>SUM(Y233,Y234,Y235,Y236)</f>
        <v/>
      </c>
      <c r="Z237" s="387">
        <f>SUM(Z233,Z234,Z235,Z236)</f>
        <v/>
      </c>
      <c r="AA237" s="387">
        <f>SUM(AA233,AA234,AA235,AA236)</f>
        <v/>
      </c>
      <c r="AB237" s="387">
        <f>SUM(AB233,AB234,AB235,AB236)</f>
        <v/>
      </c>
      <c r="AC237" s="387">
        <f>SUM(Y237:AB237)</f>
        <v/>
      </c>
      <c r="AD237" s="387">
        <f>SUM(AD233,AD234,AD235,AD236)</f>
        <v/>
      </c>
      <c r="AE237" s="387">
        <f>SUM(AE233,AE234,AE235,AE236)</f>
        <v/>
      </c>
      <c r="AF237" s="387">
        <f>SUM(AF233,AF234,AF235,AF236)</f>
        <v/>
      </c>
      <c r="AG237" s="387">
        <f>SUM(AG233,AG234,AG235,AG236)</f>
        <v/>
      </c>
      <c r="AH237" s="387">
        <f>SUM(AD237:AG237)</f>
        <v/>
      </c>
      <c r="AI237" s="387">
        <f>SUM(AI233,AI234,AI235,AI236)</f>
        <v/>
      </c>
      <c r="AJ237" s="387">
        <f>SUM(AJ233,AJ234,AJ235,AJ236)</f>
        <v/>
      </c>
      <c r="AK237" s="387">
        <f>SUM(AK233,AK234,AK235,AK236)</f>
        <v/>
      </c>
      <c r="AL237" s="387">
        <f>SUM(AL233,AL234,AL235,AL236)</f>
        <v/>
      </c>
      <c r="AM237" s="387">
        <f>SUM(AI237:AL237)</f>
        <v/>
      </c>
      <c r="AN237" s="387">
        <f>SUM(AN233,AN234,AN235,AN236)</f>
        <v/>
      </c>
      <c r="AO237" s="387">
        <f>SUM(AO233,AO234,AO235,AO236)</f>
        <v/>
      </c>
      <c r="AP237" s="387">
        <f>SUM(AP233,AP234,AP235,AP236)</f>
        <v/>
      </c>
      <c r="AQ237" s="387">
        <f>SUM(AQ233,AQ234,AQ235,AQ236)</f>
        <v/>
      </c>
      <c r="AR237" s="387">
        <f>SUM(AN237:AQ237)</f>
        <v/>
      </c>
    </row>
    <row r="238" ht="4.5" customHeight="1" s="290"/>
    <row r="239" ht="3" customHeight="1" s="290">
      <c r="A239" s="293" t="n"/>
    </row>
    <row r="240" ht="4.5" customHeight="1" s="290"/>
    <row r="241" ht="15.75" customHeight="1" s="290">
      <c r="A241" s="338" t="inlineStr">
        <is>
          <t xml:space="preserve">  PRODUCER ENGINE CHECKS  [ Results feed Tab 11 — Checks ]</t>
        </is>
      </c>
    </row>
    <row r="242" ht="3.75" customHeight="1" s="290"/>
    <row r="243" ht="13.5" customHeight="1" s="290">
      <c r="A243" s="348" t="inlineStr">
        <is>
          <t xml:space="preserve">  Checks run on the consolidated summary rows. Annual columns shown; checks apply to all periods. FAIL in any column = data or formula error requiring investigation before running downstream tabs.</t>
        </is>
      </c>
    </row>
    <row r="244" ht="3.75" customHeight="1" s="290"/>
    <row r="245" ht="15" customHeight="1" s="290">
      <c r="B245" s="358" t="inlineStr">
        <is>
          <t>Check Description</t>
        </is>
      </c>
      <c r="D245" s="358" t="inlineStr">
        <is>
          <t>Logic</t>
        </is>
      </c>
      <c r="I245" s="358" t="inlineStr">
        <is>
          <t>2023A</t>
        </is>
      </c>
      <c r="N245" s="358" t="inlineStr">
        <is>
          <t>2024A</t>
        </is>
      </c>
      <c r="S245" s="358" t="inlineStr">
        <is>
          <t>2025A</t>
        </is>
      </c>
      <c r="X245" s="358" t="inlineStr">
        <is>
          <t>2026E</t>
        </is>
      </c>
      <c r="AC245" s="358" t="inlineStr">
        <is>
          <t>2027E</t>
        </is>
      </c>
      <c r="AH245" s="358" t="inlineStr">
        <is>
          <t>2028E</t>
        </is>
      </c>
      <c r="AM245" s="358" t="inlineStr">
        <is>
          <t>2029E</t>
        </is>
      </c>
      <c r="AR245" s="358" t="inlineStr">
        <is>
          <t>2030E</t>
        </is>
      </c>
    </row>
    <row r="246" ht="3" customHeight="1" s="290"/>
    <row r="247" ht="13.5" customHeight="1" s="290">
      <c r="A247" s="359" t="n"/>
      <c r="B247" s="353" t="inlineStr">
        <is>
          <t xml:space="preserve">  ✔  Total Firm EPE ≥ 0</t>
        </is>
      </c>
      <c r="D247" s="354" t="inlineStr">
        <is>
          <t>Ref: row 213</t>
        </is>
      </c>
      <c r="E247" s="368" t="inlineStr">
        <is>
          <t>—</t>
        </is>
      </c>
      <c r="F247" s="368" t="inlineStr">
        <is>
          <t>—</t>
        </is>
      </c>
      <c r="G247" s="368" t="inlineStr">
        <is>
          <t>—</t>
        </is>
      </c>
      <c r="H247" s="368" t="inlineStr">
        <is>
          <t>—</t>
        </is>
      </c>
      <c r="I247" s="356">
        <f>IF(X213&gt;=0,"PASS","FAIL — NEGATIVE EPE")</f>
        <v/>
      </c>
      <c r="J247" s="368" t="inlineStr">
        <is>
          <t>—</t>
        </is>
      </c>
      <c r="K247" s="368" t="inlineStr">
        <is>
          <t>—</t>
        </is>
      </c>
      <c r="L247" s="368" t="inlineStr">
        <is>
          <t>—</t>
        </is>
      </c>
      <c r="M247" s="368" t="inlineStr">
        <is>
          <t>—</t>
        </is>
      </c>
      <c r="N247" s="356">
        <f>IF(X213&gt;=0,"PASS","FAIL — NEGATIVE EPE")</f>
        <v/>
      </c>
      <c r="O247" s="368" t="inlineStr">
        <is>
          <t>—</t>
        </is>
      </c>
      <c r="P247" s="368" t="inlineStr">
        <is>
          <t>—</t>
        </is>
      </c>
      <c r="Q247" s="368" t="inlineStr">
        <is>
          <t>—</t>
        </is>
      </c>
      <c r="R247" s="368" t="inlineStr">
        <is>
          <t>—</t>
        </is>
      </c>
      <c r="S247" s="356">
        <f>IF(X213&gt;=0,"PASS","FAIL — NEGATIVE EPE")</f>
        <v/>
      </c>
      <c r="T247" s="368" t="inlineStr">
        <is>
          <t>—</t>
        </is>
      </c>
      <c r="U247" s="368" t="inlineStr">
        <is>
          <t>—</t>
        </is>
      </c>
      <c r="V247" s="368" t="inlineStr">
        <is>
          <t>—</t>
        </is>
      </c>
      <c r="W247" s="368" t="inlineStr">
        <is>
          <t>—</t>
        </is>
      </c>
      <c r="X247" s="356">
        <f>IF(X213&gt;=0,"PASS","FAIL — NEGATIVE EPE")</f>
        <v/>
      </c>
      <c r="Y247" s="368" t="inlineStr">
        <is>
          <t>—</t>
        </is>
      </c>
      <c r="Z247" s="368" t="inlineStr">
        <is>
          <t>—</t>
        </is>
      </c>
      <c r="AA247" s="368" t="inlineStr">
        <is>
          <t>—</t>
        </is>
      </c>
      <c r="AB247" s="368" t="inlineStr">
        <is>
          <t>—</t>
        </is>
      </c>
      <c r="AC247" s="356">
        <f>IF(X213&gt;=0,"PASS","FAIL — NEGATIVE EPE")</f>
        <v/>
      </c>
      <c r="AD247" s="368" t="inlineStr">
        <is>
          <t>—</t>
        </is>
      </c>
      <c r="AE247" s="368" t="inlineStr">
        <is>
          <t>—</t>
        </is>
      </c>
      <c r="AF247" s="368" t="inlineStr">
        <is>
          <t>—</t>
        </is>
      </c>
      <c r="AG247" s="368" t="inlineStr">
        <is>
          <t>—</t>
        </is>
      </c>
      <c r="AH247" s="356">
        <f>IF(X213&gt;=0,"PASS","FAIL — NEGATIVE EPE")</f>
        <v/>
      </c>
      <c r="AI247" s="368" t="inlineStr">
        <is>
          <t>—</t>
        </is>
      </c>
      <c r="AJ247" s="368" t="inlineStr">
        <is>
          <t>—</t>
        </is>
      </c>
      <c r="AK247" s="368" t="inlineStr">
        <is>
          <t>—</t>
        </is>
      </c>
      <c r="AL247" s="368" t="inlineStr">
        <is>
          <t>—</t>
        </is>
      </c>
      <c r="AM247" s="356">
        <f>IF(X213&gt;=0,"PASS","FAIL — NEGATIVE EPE")</f>
        <v/>
      </c>
      <c r="AN247" s="368" t="inlineStr">
        <is>
          <t>—</t>
        </is>
      </c>
      <c r="AO247" s="368" t="inlineStr">
        <is>
          <t>—</t>
        </is>
      </c>
      <c r="AP247" s="368" t="inlineStr">
        <is>
          <t>—</t>
        </is>
      </c>
      <c r="AQ247" s="368" t="inlineStr">
        <is>
          <t>—</t>
        </is>
      </c>
      <c r="AR247" s="356">
        <f>IF(X213&gt;=0,"PASS","FAIL — NEGATIVE EPE")</f>
        <v/>
      </c>
    </row>
    <row r="248" ht="13.5" customHeight="1" s="290">
      <c r="A248" s="359" t="n"/>
      <c r="B248" s="353" t="inlineStr">
        <is>
          <t xml:space="preserve">  ✔  Total Firm Headcount ≥ 0</t>
        </is>
      </c>
      <c r="D248" s="354" t="inlineStr">
        <is>
          <t>Ref: row 221</t>
        </is>
      </c>
      <c r="E248" s="368" t="inlineStr">
        <is>
          <t>—</t>
        </is>
      </c>
      <c r="F248" s="368" t="inlineStr">
        <is>
          <t>—</t>
        </is>
      </c>
      <c r="G248" s="368" t="inlineStr">
        <is>
          <t>—</t>
        </is>
      </c>
      <c r="H248" s="368" t="inlineStr">
        <is>
          <t>—</t>
        </is>
      </c>
      <c r="I248" s="356">
        <f>IF(I221&gt;=0,"PASS","FAIL — NEGATIVE HC")</f>
        <v/>
      </c>
      <c r="J248" s="368" t="inlineStr">
        <is>
          <t>—</t>
        </is>
      </c>
      <c r="K248" s="368" t="inlineStr">
        <is>
          <t>—</t>
        </is>
      </c>
      <c r="L248" s="368" t="inlineStr">
        <is>
          <t>—</t>
        </is>
      </c>
      <c r="M248" s="368" t="inlineStr">
        <is>
          <t>—</t>
        </is>
      </c>
      <c r="N248" s="356">
        <f>IF(N221&gt;=0,"PASS","FAIL — NEGATIVE HC")</f>
        <v/>
      </c>
      <c r="O248" s="368" t="inlineStr">
        <is>
          <t>—</t>
        </is>
      </c>
      <c r="P248" s="368" t="inlineStr">
        <is>
          <t>—</t>
        </is>
      </c>
      <c r="Q248" s="368" t="inlineStr">
        <is>
          <t>—</t>
        </is>
      </c>
      <c r="R248" s="368" t="inlineStr">
        <is>
          <t>—</t>
        </is>
      </c>
      <c r="S248" s="356">
        <f>IF(S221&gt;=0,"PASS","FAIL — NEGATIVE HC")</f>
        <v/>
      </c>
      <c r="T248" s="368" t="inlineStr">
        <is>
          <t>—</t>
        </is>
      </c>
      <c r="U248" s="368" t="inlineStr">
        <is>
          <t>—</t>
        </is>
      </c>
      <c r="V248" s="368" t="inlineStr">
        <is>
          <t>—</t>
        </is>
      </c>
      <c r="W248" s="368" t="inlineStr">
        <is>
          <t>—</t>
        </is>
      </c>
      <c r="X248" s="356">
        <f>IF(X221&gt;=0,"PASS","FAIL — NEGATIVE HC")</f>
        <v/>
      </c>
      <c r="Y248" s="368" t="inlineStr">
        <is>
          <t>—</t>
        </is>
      </c>
      <c r="Z248" s="368" t="inlineStr">
        <is>
          <t>—</t>
        </is>
      </c>
      <c r="AA248" s="368" t="inlineStr">
        <is>
          <t>—</t>
        </is>
      </c>
      <c r="AB248" s="368" t="inlineStr">
        <is>
          <t>—</t>
        </is>
      </c>
      <c r="AC248" s="356">
        <f>IF(AC221&gt;=0,"PASS","FAIL — NEGATIVE HC")</f>
        <v/>
      </c>
      <c r="AD248" s="368" t="inlineStr">
        <is>
          <t>—</t>
        </is>
      </c>
      <c r="AE248" s="368" t="inlineStr">
        <is>
          <t>—</t>
        </is>
      </c>
      <c r="AF248" s="368" t="inlineStr">
        <is>
          <t>—</t>
        </is>
      </c>
      <c r="AG248" s="368" t="inlineStr">
        <is>
          <t>—</t>
        </is>
      </c>
      <c r="AH248" s="356">
        <f>IF(AH221&gt;=0,"PASS","FAIL — NEGATIVE HC")</f>
        <v/>
      </c>
      <c r="AI248" s="368" t="inlineStr">
        <is>
          <t>—</t>
        </is>
      </c>
      <c r="AJ248" s="368" t="inlineStr">
        <is>
          <t>—</t>
        </is>
      </c>
      <c r="AK248" s="368" t="inlineStr">
        <is>
          <t>—</t>
        </is>
      </c>
      <c r="AL248" s="368" t="inlineStr">
        <is>
          <t>—</t>
        </is>
      </c>
      <c r="AM248" s="356">
        <f>IF(AM221&gt;=0,"PASS","FAIL — NEGATIVE HC")</f>
        <v/>
      </c>
      <c r="AN248" s="368" t="inlineStr">
        <is>
          <t>—</t>
        </is>
      </c>
      <c r="AO248" s="368" t="inlineStr">
        <is>
          <t>—</t>
        </is>
      </c>
      <c r="AP248" s="368" t="inlineStr">
        <is>
          <t>—</t>
        </is>
      </c>
      <c r="AQ248" s="368" t="inlineStr">
        <is>
          <t>—</t>
        </is>
      </c>
      <c r="AR248" s="356">
        <f>IF(AR221&gt;=0,"PASS","FAIL — NEGATIVE HC")</f>
        <v/>
      </c>
    </row>
    <row r="249" ht="13.5" customHeight="1" s="290">
      <c r="A249" s="359" t="n"/>
      <c r="B249" s="353" t="inlineStr">
        <is>
          <t xml:space="preserve">  ✔  Total EPE ≤ Total Headcount  (Ramp ≤ 100%)</t>
        </is>
      </c>
      <c r="D249" s="354" t="inlineStr">
        <is>
          <t>EPE row 213 vs HC row 221</t>
        </is>
      </c>
      <c r="E249" s="368" t="inlineStr">
        <is>
          <t>—</t>
        </is>
      </c>
      <c r="F249" s="368" t="inlineStr">
        <is>
          <t>—</t>
        </is>
      </c>
      <c r="G249" s="368" t="inlineStr">
        <is>
          <t>—</t>
        </is>
      </c>
      <c r="H249" s="368" t="inlineStr">
        <is>
          <t>—</t>
        </is>
      </c>
      <c r="I249" s="356">
        <f>IF(I213&lt;=I221,"PASS","FAIL — EPE &gt; HC")</f>
        <v/>
      </c>
      <c r="J249" s="368" t="inlineStr">
        <is>
          <t>—</t>
        </is>
      </c>
      <c r="K249" s="368" t="inlineStr">
        <is>
          <t>—</t>
        </is>
      </c>
      <c r="L249" s="368" t="inlineStr">
        <is>
          <t>—</t>
        </is>
      </c>
      <c r="M249" s="368" t="inlineStr">
        <is>
          <t>—</t>
        </is>
      </c>
      <c r="N249" s="356">
        <f>IF(N213&lt;=N221,"PASS","FAIL — EPE &gt; HC")</f>
        <v/>
      </c>
      <c r="O249" s="368" t="inlineStr">
        <is>
          <t>—</t>
        </is>
      </c>
      <c r="P249" s="368" t="inlineStr">
        <is>
          <t>—</t>
        </is>
      </c>
      <c r="Q249" s="368" t="inlineStr">
        <is>
          <t>—</t>
        </is>
      </c>
      <c r="R249" s="368" t="inlineStr">
        <is>
          <t>—</t>
        </is>
      </c>
      <c r="S249" s="356">
        <f>IF(S213&lt;=S221,"PASS","FAIL — EPE &gt; HC")</f>
        <v/>
      </c>
      <c r="T249" s="368" t="inlineStr">
        <is>
          <t>—</t>
        </is>
      </c>
      <c r="U249" s="368" t="inlineStr">
        <is>
          <t>—</t>
        </is>
      </c>
      <c r="V249" s="368" t="inlineStr">
        <is>
          <t>—</t>
        </is>
      </c>
      <c r="W249" s="368" t="inlineStr">
        <is>
          <t>—</t>
        </is>
      </c>
      <c r="X249" s="356">
        <f>IF(X213&lt;=X221,"PASS","FAIL — EPE &gt; HC")</f>
        <v/>
      </c>
      <c r="Y249" s="368" t="inlineStr">
        <is>
          <t>—</t>
        </is>
      </c>
      <c r="Z249" s="368" t="inlineStr">
        <is>
          <t>—</t>
        </is>
      </c>
      <c r="AA249" s="368" t="inlineStr">
        <is>
          <t>—</t>
        </is>
      </c>
      <c r="AB249" s="368" t="inlineStr">
        <is>
          <t>—</t>
        </is>
      </c>
      <c r="AC249" s="356">
        <f>IF(AC213&lt;=AC221,"PASS","FAIL — EPE &gt; HC")</f>
        <v/>
      </c>
      <c r="AD249" s="368" t="inlineStr">
        <is>
          <t>—</t>
        </is>
      </c>
      <c r="AE249" s="368" t="inlineStr">
        <is>
          <t>—</t>
        </is>
      </c>
      <c r="AF249" s="368" t="inlineStr">
        <is>
          <t>—</t>
        </is>
      </c>
      <c r="AG249" s="368" t="inlineStr">
        <is>
          <t>—</t>
        </is>
      </c>
      <c r="AH249" s="356">
        <f>IF(AH213&lt;=AH221,"PASS","FAIL — EPE &gt; HC")</f>
        <v/>
      </c>
      <c r="AI249" s="368" t="inlineStr">
        <is>
          <t>—</t>
        </is>
      </c>
      <c r="AJ249" s="368" t="inlineStr">
        <is>
          <t>—</t>
        </is>
      </c>
      <c r="AK249" s="368" t="inlineStr">
        <is>
          <t>—</t>
        </is>
      </c>
      <c r="AL249" s="368" t="inlineStr">
        <is>
          <t>—</t>
        </is>
      </c>
      <c r="AM249" s="356">
        <f>IF(AM213&lt;=AM221,"PASS","FAIL — EPE &gt; HC")</f>
        <v/>
      </c>
      <c r="AN249" s="368" t="inlineStr">
        <is>
          <t>—</t>
        </is>
      </c>
      <c r="AO249" s="368" t="inlineStr">
        <is>
          <t>—</t>
        </is>
      </c>
      <c r="AP249" s="368" t="inlineStr">
        <is>
          <t>—</t>
        </is>
      </c>
      <c r="AQ249" s="368" t="inlineStr">
        <is>
          <t>—</t>
        </is>
      </c>
      <c r="AR249" s="356">
        <f>IF(AR213&lt;=AR221,"PASS","FAIL — EPE &gt; HC")</f>
        <v/>
      </c>
    </row>
    <row r="250" ht="13.5" customHeight="1" s="290">
      <c r="A250" s="359" t="n"/>
      <c r="B250" s="353" t="inlineStr">
        <is>
          <t xml:space="preserve">  ✔  Total Ramp Drag ≥ 0  (HC − EPE cannot be negative)</t>
        </is>
      </c>
      <c r="D250" s="354" t="inlineStr">
        <is>
          <t>Ref: row 229</t>
        </is>
      </c>
      <c r="E250" s="368" t="inlineStr">
        <is>
          <t>—</t>
        </is>
      </c>
      <c r="F250" s="368" t="inlineStr">
        <is>
          <t>—</t>
        </is>
      </c>
      <c r="G250" s="368" t="inlineStr">
        <is>
          <t>—</t>
        </is>
      </c>
      <c r="H250" s="368" t="inlineStr">
        <is>
          <t>—</t>
        </is>
      </c>
      <c r="I250" s="356">
        <f>IF(I229&gt;=0,"PASS","FAIL — NEGATIVE RAMP DRAG")</f>
        <v/>
      </c>
      <c r="J250" s="368" t="inlineStr">
        <is>
          <t>—</t>
        </is>
      </c>
      <c r="K250" s="368" t="inlineStr">
        <is>
          <t>—</t>
        </is>
      </c>
      <c r="L250" s="368" t="inlineStr">
        <is>
          <t>—</t>
        </is>
      </c>
      <c r="M250" s="368" t="inlineStr">
        <is>
          <t>—</t>
        </is>
      </c>
      <c r="N250" s="356">
        <f>IF(N229&gt;=0,"PASS","FAIL — NEGATIVE RAMP DRAG")</f>
        <v/>
      </c>
      <c r="O250" s="368" t="inlineStr">
        <is>
          <t>—</t>
        </is>
      </c>
      <c r="P250" s="368" t="inlineStr">
        <is>
          <t>—</t>
        </is>
      </c>
      <c r="Q250" s="368" t="inlineStr">
        <is>
          <t>—</t>
        </is>
      </c>
      <c r="R250" s="368" t="inlineStr">
        <is>
          <t>—</t>
        </is>
      </c>
      <c r="S250" s="356">
        <f>IF(S229&gt;=0,"PASS","FAIL — NEGATIVE RAMP DRAG")</f>
        <v/>
      </c>
      <c r="T250" s="368" t="inlineStr">
        <is>
          <t>—</t>
        </is>
      </c>
      <c r="U250" s="368" t="inlineStr">
        <is>
          <t>—</t>
        </is>
      </c>
      <c r="V250" s="368" t="inlineStr">
        <is>
          <t>—</t>
        </is>
      </c>
      <c r="W250" s="368" t="inlineStr">
        <is>
          <t>—</t>
        </is>
      </c>
      <c r="X250" s="356">
        <f>IF(X229&gt;=0,"PASS","FAIL — NEGATIVE RAMP DRAG")</f>
        <v/>
      </c>
      <c r="Y250" s="368" t="inlineStr">
        <is>
          <t>—</t>
        </is>
      </c>
      <c r="Z250" s="368" t="inlineStr">
        <is>
          <t>—</t>
        </is>
      </c>
      <c r="AA250" s="368" t="inlineStr">
        <is>
          <t>—</t>
        </is>
      </c>
      <c r="AB250" s="368" t="inlineStr">
        <is>
          <t>—</t>
        </is>
      </c>
      <c r="AC250" s="356">
        <f>IF(AC229&gt;=0,"PASS","FAIL — NEGATIVE RAMP DRAG")</f>
        <v/>
      </c>
      <c r="AD250" s="368" t="inlineStr">
        <is>
          <t>—</t>
        </is>
      </c>
      <c r="AE250" s="368" t="inlineStr">
        <is>
          <t>—</t>
        </is>
      </c>
      <c r="AF250" s="368" t="inlineStr">
        <is>
          <t>—</t>
        </is>
      </c>
      <c r="AG250" s="368" t="inlineStr">
        <is>
          <t>—</t>
        </is>
      </c>
      <c r="AH250" s="356">
        <f>IF(AH229&gt;=0,"PASS","FAIL — NEGATIVE RAMP DRAG")</f>
        <v/>
      </c>
      <c r="AI250" s="368" t="inlineStr">
        <is>
          <t>—</t>
        </is>
      </c>
      <c r="AJ250" s="368" t="inlineStr">
        <is>
          <t>—</t>
        </is>
      </c>
      <c r="AK250" s="368" t="inlineStr">
        <is>
          <t>—</t>
        </is>
      </c>
      <c r="AL250" s="368" t="inlineStr">
        <is>
          <t>—</t>
        </is>
      </c>
      <c r="AM250" s="356">
        <f>IF(AM229&gt;=0,"PASS","FAIL — NEGATIVE RAMP DRAG")</f>
        <v/>
      </c>
      <c r="AN250" s="368" t="inlineStr">
        <is>
          <t>—</t>
        </is>
      </c>
      <c r="AO250" s="368" t="inlineStr">
        <is>
          <t>—</t>
        </is>
      </c>
      <c r="AP250" s="368" t="inlineStr">
        <is>
          <t>—</t>
        </is>
      </c>
      <c r="AQ250" s="368" t="inlineStr">
        <is>
          <t>—</t>
        </is>
      </c>
      <c r="AR250" s="356">
        <f>IF(AR229&gt;=0,"PASS","FAIL — NEGATIVE RAMP DRAG")</f>
        <v/>
      </c>
    </row>
    <row r="251" ht="13.5" customHeight="1" s="290">
      <c r="A251" s="359" t="n"/>
      <c r="B251" s="353" t="inlineStr">
        <is>
          <t xml:space="preserve">  ✔  Total Book Loss Drag ≤ 0  (must be zero or negative)</t>
        </is>
      </c>
      <c r="D251" s="354" t="inlineStr">
        <is>
          <t>Ref: row 237</t>
        </is>
      </c>
      <c r="E251" s="368" t="inlineStr">
        <is>
          <t>—</t>
        </is>
      </c>
      <c r="F251" s="368" t="inlineStr">
        <is>
          <t>—</t>
        </is>
      </c>
      <c r="G251" s="368" t="inlineStr">
        <is>
          <t>—</t>
        </is>
      </c>
      <c r="H251" s="368" t="inlineStr">
        <is>
          <t>—</t>
        </is>
      </c>
      <c r="I251" s="356">
        <f>IF(I237&lt;=0,"PASS","FAIL — POSITIVE BOOK LOSS")</f>
        <v/>
      </c>
      <c r="J251" s="368" t="inlineStr">
        <is>
          <t>—</t>
        </is>
      </c>
      <c r="K251" s="368" t="inlineStr">
        <is>
          <t>—</t>
        </is>
      </c>
      <c r="L251" s="368" t="inlineStr">
        <is>
          <t>—</t>
        </is>
      </c>
      <c r="M251" s="368" t="inlineStr">
        <is>
          <t>—</t>
        </is>
      </c>
      <c r="N251" s="356">
        <f>IF(N237&lt;=0,"PASS","FAIL — POSITIVE BOOK LOSS")</f>
        <v/>
      </c>
      <c r="O251" s="368" t="inlineStr">
        <is>
          <t>—</t>
        </is>
      </c>
      <c r="P251" s="368" t="inlineStr">
        <is>
          <t>—</t>
        </is>
      </c>
      <c r="Q251" s="368" t="inlineStr">
        <is>
          <t>—</t>
        </is>
      </c>
      <c r="R251" s="368" t="inlineStr">
        <is>
          <t>—</t>
        </is>
      </c>
      <c r="S251" s="356">
        <f>IF(S237&lt;=0,"PASS","FAIL — POSITIVE BOOK LOSS")</f>
        <v/>
      </c>
      <c r="T251" s="368" t="inlineStr">
        <is>
          <t>—</t>
        </is>
      </c>
      <c r="U251" s="368" t="inlineStr">
        <is>
          <t>—</t>
        </is>
      </c>
      <c r="V251" s="368" t="inlineStr">
        <is>
          <t>—</t>
        </is>
      </c>
      <c r="W251" s="368" t="inlineStr">
        <is>
          <t>—</t>
        </is>
      </c>
      <c r="X251" s="356">
        <f>IF(X237&lt;=0,"PASS","FAIL — POSITIVE BOOK LOSS")</f>
        <v/>
      </c>
      <c r="Y251" s="368" t="inlineStr">
        <is>
          <t>—</t>
        </is>
      </c>
      <c r="Z251" s="368" t="inlineStr">
        <is>
          <t>—</t>
        </is>
      </c>
      <c r="AA251" s="368" t="inlineStr">
        <is>
          <t>—</t>
        </is>
      </c>
      <c r="AB251" s="368" t="inlineStr">
        <is>
          <t>—</t>
        </is>
      </c>
      <c r="AC251" s="356">
        <f>IF(AC237&lt;=0,"PASS","FAIL — POSITIVE BOOK LOSS")</f>
        <v/>
      </c>
      <c r="AD251" s="368" t="inlineStr">
        <is>
          <t>—</t>
        </is>
      </c>
      <c r="AE251" s="368" t="inlineStr">
        <is>
          <t>—</t>
        </is>
      </c>
      <c r="AF251" s="368" t="inlineStr">
        <is>
          <t>—</t>
        </is>
      </c>
      <c r="AG251" s="368" t="inlineStr">
        <is>
          <t>—</t>
        </is>
      </c>
      <c r="AH251" s="356">
        <f>IF(AH237&lt;=0,"PASS","FAIL — POSITIVE BOOK LOSS")</f>
        <v/>
      </c>
      <c r="AI251" s="368" t="inlineStr">
        <is>
          <t>—</t>
        </is>
      </c>
      <c r="AJ251" s="368" t="inlineStr">
        <is>
          <t>—</t>
        </is>
      </c>
      <c r="AK251" s="368" t="inlineStr">
        <is>
          <t>—</t>
        </is>
      </c>
      <c r="AL251" s="368" t="inlineStr">
        <is>
          <t>—</t>
        </is>
      </c>
      <c r="AM251" s="356">
        <f>IF(AM237&lt;=0,"PASS","FAIL — POSITIVE BOOK LOSS")</f>
        <v/>
      </c>
      <c r="AN251" s="368" t="inlineStr">
        <is>
          <t>—</t>
        </is>
      </c>
      <c r="AO251" s="368" t="inlineStr">
        <is>
          <t>—</t>
        </is>
      </c>
      <c r="AP251" s="368" t="inlineStr">
        <is>
          <t>—</t>
        </is>
      </c>
      <c r="AQ251" s="368" t="inlineStr">
        <is>
          <t>—</t>
        </is>
      </c>
      <c r="AR251" s="356">
        <f>IF(AR237&lt;=0,"PASS","FAIL — POSITIVE BOOK LOSS")</f>
        <v/>
      </c>
    </row>
    <row r="252" ht="13.5" customHeight="1" s="290">
      <c r="A252" s="359" t="n"/>
      <c r="B252" s="353" t="inlineStr">
        <is>
          <t xml:space="preserve">  ✔  Advisory Book Loss = 0  (salaried — no book loss)</t>
        </is>
      </c>
      <c r="D252" s="354" t="inlineStr">
        <is>
          <t>Ref: row 236</t>
        </is>
      </c>
      <c r="E252" s="368" t="inlineStr">
        <is>
          <t>—</t>
        </is>
      </c>
      <c r="F252" s="368" t="inlineStr">
        <is>
          <t>—</t>
        </is>
      </c>
      <c r="G252" s="368" t="inlineStr">
        <is>
          <t>—</t>
        </is>
      </c>
      <c r="H252" s="368" t="inlineStr">
        <is>
          <t>—</t>
        </is>
      </c>
      <c r="I252" s="356">
        <f>IF(I236=0,"PASS","FAIL — ADVISORY BOOK LOSS ≠ 0")</f>
        <v/>
      </c>
      <c r="J252" s="368" t="inlineStr">
        <is>
          <t>—</t>
        </is>
      </c>
      <c r="K252" s="368" t="inlineStr">
        <is>
          <t>—</t>
        </is>
      </c>
      <c r="L252" s="368" t="inlineStr">
        <is>
          <t>—</t>
        </is>
      </c>
      <c r="M252" s="368" t="inlineStr">
        <is>
          <t>—</t>
        </is>
      </c>
      <c r="N252" s="356">
        <f>IF(N236=0,"PASS","FAIL — ADVISORY BOOK LOSS ≠ 0")</f>
        <v/>
      </c>
      <c r="O252" s="368" t="inlineStr">
        <is>
          <t>—</t>
        </is>
      </c>
      <c r="P252" s="368" t="inlineStr">
        <is>
          <t>—</t>
        </is>
      </c>
      <c r="Q252" s="368" t="inlineStr">
        <is>
          <t>—</t>
        </is>
      </c>
      <c r="R252" s="368" t="inlineStr">
        <is>
          <t>—</t>
        </is>
      </c>
      <c r="S252" s="356">
        <f>IF(S236=0,"PASS","FAIL — ADVISORY BOOK LOSS ≠ 0")</f>
        <v/>
      </c>
      <c r="T252" s="368" t="inlineStr">
        <is>
          <t>—</t>
        </is>
      </c>
      <c r="U252" s="368" t="inlineStr">
        <is>
          <t>—</t>
        </is>
      </c>
      <c r="V252" s="368" t="inlineStr">
        <is>
          <t>—</t>
        </is>
      </c>
      <c r="W252" s="368" t="inlineStr">
        <is>
          <t>—</t>
        </is>
      </c>
      <c r="X252" s="356">
        <f>IF(X236=0,"PASS","FAIL — ADVISORY BOOK LOSS ≠ 0")</f>
        <v/>
      </c>
      <c r="Y252" s="368" t="inlineStr">
        <is>
          <t>—</t>
        </is>
      </c>
      <c r="Z252" s="368" t="inlineStr">
        <is>
          <t>—</t>
        </is>
      </c>
      <c r="AA252" s="368" t="inlineStr">
        <is>
          <t>—</t>
        </is>
      </c>
      <c r="AB252" s="368" t="inlineStr">
        <is>
          <t>—</t>
        </is>
      </c>
      <c r="AC252" s="356">
        <f>IF(AC236=0,"PASS","FAIL — ADVISORY BOOK LOSS ≠ 0")</f>
        <v/>
      </c>
      <c r="AD252" s="368" t="inlineStr">
        <is>
          <t>—</t>
        </is>
      </c>
      <c r="AE252" s="368" t="inlineStr">
        <is>
          <t>—</t>
        </is>
      </c>
      <c r="AF252" s="368" t="inlineStr">
        <is>
          <t>—</t>
        </is>
      </c>
      <c r="AG252" s="368" t="inlineStr">
        <is>
          <t>—</t>
        </is>
      </c>
      <c r="AH252" s="356">
        <f>IF(AH236=0,"PASS","FAIL — ADVISORY BOOK LOSS ≠ 0")</f>
        <v/>
      </c>
      <c r="AI252" s="368" t="inlineStr">
        <is>
          <t>—</t>
        </is>
      </c>
      <c r="AJ252" s="368" t="inlineStr">
        <is>
          <t>—</t>
        </is>
      </c>
      <c r="AK252" s="368" t="inlineStr">
        <is>
          <t>—</t>
        </is>
      </c>
      <c r="AL252" s="368" t="inlineStr">
        <is>
          <t>—</t>
        </is>
      </c>
      <c r="AM252" s="356">
        <f>IF(AM236=0,"PASS","FAIL — ADVISORY BOOK LOSS ≠ 0")</f>
        <v/>
      </c>
      <c r="AN252" s="368" t="inlineStr">
        <is>
          <t>—</t>
        </is>
      </c>
      <c r="AO252" s="368" t="inlineStr">
        <is>
          <t>—</t>
        </is>
      </c>
      <c r="AP252" s="368" t="inlineStr">
        <is>
          <t>—</t>
        </is>
      </c>
      <c r="AQ252" s="368" t="inlineStr">
        <is>
          <t>—</t>
        </is>
      </c>
      <c r="AR252" s="356">
        <f>IF(AR236=0,"PASS","FAIL — ADVISORY BOOK LOSS ≠ 0")</f>
        <v/>
      </c>
    </row>
    <row r="253" ht="13.5" customHeight="1" s="290">
      <c r="A253" s="359" t="n"/>
      <c r="B253" s="353" t="inlineStr">
        <is>
          <t xml:space="preserve">  ✔  Leasing EPE ≥ 0</t>
        </is>
      </c>
      <c r="D253" s="354" t="inlineStr">
        <is>
          <t>Ref: row 209</t>
        </is>
      </c>
      <c r="E253" s="368" t="inlineStr">
        <is>
          <t>—</t>
        </is>
      </c>
      <c r="F253" s="368" t="inlineStr">
        <is>
          <t>—</t>
        </is>
      </c>
      <c r="G253" s="368" t="inlineStr">
        <is>
          <t>—</t>
        </is>
      </c>
      <c r="H253" s="368" t="inlineStr">
        <is>
          <t>—</t>
        </is>
      </c>
      <c r="I253" s="356">
        <f>IF(I209&gt;=0,"PASS","FAIL — NEGATIVE LEASING EPE")</f>
        <v/>
      </c>
      <c r="J253" s="368" t="inlineStr">
        <is>
          <t>—</t>
        </is>
      </c>
      <c r="K253" s="368" t="inlineStr">
        <is>
          <t>—</t>
        </is>
      </c>
      <c r="L253" s="368" t="inlineStr">
        <is>
          <t>—</t>
        </is>
      </c>
      <c r="M253" s="368" t="inlineStr">
        <is>
          <t>—</t>
        </is>
      </c>
      <c r="N253" s="356">
        <f>IF(N209&gt;=0,"PASS","FAIL — NEGATIVE LEASING EPE")</f>
        <v/>
      </c>
      <c r="O253" s="368" t="inlineStr">
        <is>
          <t>—</t>
        </is>
      </c>
      <c r="P253" s="368" t="inlineStr">
        <is>
          <t>—</t>
        </is>
      </c>
      <c r="Q253" s="368" t="inlineStr">
        <is>
          <t>—</t>
        </is>
      </c>
      <c r="R253" s="368" t="inlineStr">
        <is>
          <t>—</t>
        </is>
      </c>
      <c r="S253" s="356">
        <f>IF(S209&gt;=0,"PASS","FAIL — NEGATIVE LEASING EPE")</f>
        <v/>
      </c>
      <c r="T253" s="368" t="inlineStr">
        <is>
          <t>—</t>
        </is>
      </c>
      <c r="U253" s="368" t="inlineStr">
        <is>
          <t>—</t>
        </is>
      </c>
      <c r="V253" s="368" t="inlineStr">
        <is>
          <t>—</t>
        </is>
      </c>
      <c r="W253" s="368" t="inlineStr">
        <is>
          <t>—</t>
        </is>
      </c>
      <c r="X253" s="356">
        <f>IF(X209&gt;=0,"PASS","FAIL — NEGATIVE LEASING EPE")</f>
        <v/>
      </c>
      <c r="Y253" s="368" t="inlineStr">
        <is>
          <t>—</t>
        </is>
      </c>
      <c r="Z253" s="368" t="inlineStr">
        <is>
          <t>—</t>
        </is>
      </c>
      <c r="AA253" s="368" t="inlineStr">
        <is>
          <t>—</t>
        </is>
      </c>
      <c r="AB253" s="368" t="inlineStr">
        <is>
          <t>—</t>
        </is>
      </c>
      <c r="AC253" s="356">
        <f>IF(AC209&gt;=0,"PASS","FAIL — NEGATIVE LEASING EPE")</f>
        <v/>
      </c>
      <c r="AD253" s="368" t="inlineStr">
        <is>
          <t>—</t>
        </is>
      </c>
      <c r="AE253" s="368" t="inlineStr">
        <is>
          <t>—</t>
        </is>
      </c>
      <c r="AF253" s="368" t="inlineStr">
        <is>
          <t>—</t>
        </is>
      </c>
      <c r="AG253" s="368" t="inlineStr">
        <is>
          <t>—</t>
        </is>
      </c>
      <c r="AH253" s="356">
        <f>IF(AH209&gt;=0,"PASS","FAIL — NEGATIVE LEASING EPE")</f>
        <v/>
      </c>
      <c r="AI253" s="368" t="inlineStr">
        <is>
          <t>—</t>
        </is>
      </c>
      <c r="AJ253" s="368" t="inlineStr">
        <is>
          <t>—</t>
        </is>
      </c>
      <c r="AK253" s="368" t="inlineStr">
        <is>
          <t>—</t>
        </is>
      </c>
      <c r="AL253" s="368" t="inlineStr">
        <is>
          <t>—</t>
        </is>
      </c>
      <c r="AM253" s="356">
        <f>IF(AM209&gt;=0,"PASS","FAIL — NEGATIVE LEASING EPE")</f>
        <v/>
      </c>
      <c r="AN253" s="368" t="inlineStr">
        <is>
          <t>—</t>
        </is>
      </c>
      <c r="AO253" s="368" t="inlineStr">
        <is>
          <t>—</t>
        </is>
      </c>
      <c r="AP253" s="368" t="inlineStr">
        <is>
          <t>—</t>
        </is>
      </c>
      <c r="AQ253" s="368" t="inlineStr">
        <is>
          <t>—</t>
        </is>
      </c>
      <c r="AR253" s="356">
        <f>IF(AR209&gt;=0,"PASS","FAIL — NEGATIVE LEASING EPE")</f>
        <v/>
      </c>
    </row>
    <row r="254" ht="13.5" customHeight="1" s="290">
      <c r="A254" s="359" t="n"/>
      <c r="B254" s="353" t="inlineStr">
        <is>
          <t xml:space="preserve">  ✔  Investment Sales EPE ≥ 0</t>
        </is>
      </c>
      <c r="D254" s="354" t="inlineStr">
        <is>
          <t>Ref: row 210</t>
        </is>
      </c>
      <c r="E254" s="368" t="inlineStr">
        <is>
          <t>—</t>
        </is>
      </c>
      <c r="F254" s="368" t="inlineStr">
        <is>
          <t>—</t>
        </is>
      </c>
      <c r="G254" s="368" t="inlineStr">
        <is>
          <t>—</t>
        </is>
      </c>
      <c r="H254" s="368" t="inlineStr">
        <is>
          <t>—</t>
        </is>
      </c>
      <c r="I254" s="356">
        <f>IF(I210&gt;=0,"PASS","FAIL — NEGATIVE IS EPE")</f>
        <v/>
      </c>
      <c r="J254" s="368" t="inlineStr">
        <is>
          <t>—</t>
        </is>
      </c>
      <c r="K254" s="368" t="inlineStr">
        <is>
          <t>—</t>
        </is>
      </c>
      <c r="L254" s="368" t="inlineStr">
        <is>
          <t>—</t>
        </is>
      </c>
      <c r="M254" s="368" t="inlineStr">
        <is>
          <t>—</t>
        </is>
      </c>
      <c r="N254" s="356">
        <f>IF(N210&gt;=0,"PASS","FAIL — NEGATIVE IS EPE")</f>
        <v/>
      </c>
      <c r="O254" s="368" t="inlineStr">
        <is>
          <t>—</t>
        </is>
      </c>
      <c r="P254" s="368" t="inlineStr">
        <is>
          <t>—</t>
        </is>
      </c>
      <c r="Q254" s="368" t="inlineStr">
        <is>
          <t>—</t>
        </is>
      </c>
      <c r="R254" s="368" t="inlineStr">
        <is>
          <t>—</t>
        </is>
      </c>
      <c r="S254" s="356">
        <f>IF(S210&gt;=0,"PASS","FAIL — NEGATIVE IS EPE")</f>
        <v/>
      </c>
      <c r="T254" s="368" t="inlineStr">
        <is>
          <t>—</t>
        </is>
      </c>
      <c r="U254" s="368" t="inlineStr">
        <is>
          <t>—</t>
        </is>
      </c>
      <c r="V254" s="368" t="inlineStr">
        <is>
          <t>—</t>
        </is>
      </c>
      <c r="W254" s="368" t="inlineStr">
        <is>
          <t>—</t>
        </is>
      </c>
      <c r="X254" s="356">
        <f>IF(X210&gt;=0,"PASS","FAIL — NEGATIVE IS EPE")</f>
        <v/>
      </c>
      <c r="Y254" s="368" t="inlineStr">
        <is>
          <t>—</t>
        </is>
      </c>
      <c r="Z254" s="368" t="inlineStr">
        <is>
          <t>—</t>
        </is>
      </c>
      <c r="AA254" s="368" t="inlineStr">
        <is>
          <t>—</t>
        </is>
      </c>
      <c r="AB254" s="368" t="inlineStr">
        <is>
          <t>—</t>
        </is>
      </c>
      <c r="AC254" s="356">
        <f>IF(AC210&gt;=0,"PASS","FAIL — NEGATIVE IS EPE")</f>
        <v/>
      </c>
      <c r="AD254" s="368" t="inlineStr">
        <is>
          <t>—</t>
        </is>
      </c>
      <c r="AE254" s="368" t="inlineStr">
        <is>
          <t>—</t>
        </is>
      </c>
      <c r="AF254" s="368" t="inlineStr">
        <is>
          <t>—</t>
        </is>
      </c>
      <c r="AG254" s="368" t="inlineStr">
        <is>
          <t>—</t>
        </is>
      </c>
      <c r="AH254" s="356">
        <f>IF(AH210&gt;=0,"PASS","FAIL — NEGATIVE IS EPE")</f>
        <v/>
      </c>
      <c r="AI254" s="368" t="inlineStr">
        <is>
          <t>—</t>
        </is>
      </c>
      <c r="AJ254" s="368" t="inlineStr">
        <is>
          <t>—</t>
        </is>
      </c>
      <c r="AK254" s="368" t="inlineStr">
        <is>
          <t>—</t>
        </is>
      </c>
      <c r="AL254" s="368" t="inlineStr">
        <is>
          <t>—</t>
        </is>
      </c>
      <c r="AM254" s="356">
        <f>IF(AM210&gt;=0,"PASS","FAIL — NEGATIVE IS EPE")</f>
        <v/>
      </c>
      <c r="AN254" s="368" t="inlineStr">
        <is>
          <t>—</t>
        </is>
      </c>
      <c r="AO254" s="368" t="inlineStr">
        <is>
          <t>—</t>
        </is>
      </c>
      <c r="AP254" s="368" t="inlineStr">
        <is>
          <t>—</t>
        </is>
      </c>
      <c r="AQ254" s="368" t="inlineStr">
        <is>
          <t>—</t>
        </is>
      </c>
      <c r="AR254" s="356">
        <f>IF(AR210&gt;=0,"PASS","FAIL — NEGATIVE IS EPE")</f>
        <v/>
      </c>
    </row>
    <row r="255" ht="13.5" customHeight="1" s="290">
      <c r="A255" s="359" t="n"/>
      <c r="B255" s="353" t="inlineStr">
        <is>
          <t xml:space="preserve">  ✔  Debt &amp; Equity EPE ≥ 0</t>
        </is>
      </c>
      <c r="D255" s="354" t="inlineStr">
        <is>
          <t>Ref: row 211</t>
        </is>
      </c>
      <c r="E255" s="368" t="inlineStr">
        <is>
          <t>—</t>
        </is>
      </c>
      <c r="F255" s="368" t="inlineStr">
        <is>
          <t>—</t>
        </is>
      </c>
      <c r="G255" s="368" t="inlineStr">
        <is>
          <t>—</t>
        </is>
      </c>
      <c r="H255" s="368" t="inlineStr">
        <is>
          <t>—</t>
        </is>
      </c>
      <c r="I255" s="356">
        <f>IF(I211&gt;=0,"PASS","FAIL — NEGATIVE D&amp;E EPE")</f>
        <v/>
      </c>
      <c r="J255" s="368" t="inlineStr">
        <is>
          <t>—</t>
        </is>
      </c>
      <c r="K255" s="368" t="inlineStr">
        <is>
          <t>—</t>
        </is>
      </c>
      <c r="L255" s="368" t="inlineStr">
        <is>
          <t>—</t>
        </is>
      </c>
      <c r="M255" s="368" t="inlineStr">
        <is>
          <t>—</t>
        </is>
      </c>
      <c r="N255" s="356">
        <f>IF(N211&gt;=0,"PASS","FAIL — NEGATIVE D&amp;E EPE")</f>
        <v/>
      </c>
      <c r="O255" s="368" t="inlineStr">
        <is>
          <t>—</t>
        </is>
      </c>
      <c r="P255" s="368" t="inlineStr">
        <is>
          <t>—</t>
        </is>
      </c>
      <c r="Q255" s="368" t="inlineStr">
        <is>
          <t>—</t>
        </is>
      </c>
      <c r="R255" s="368" t="inlineStr">
        <is>
          <t>—</t>
        </is>
      </c>
      <c r="S255" s="356">
        <f>IF(S211&gt;=0,"PASS","FAIL — NEGATIVE D&amp;E EPE")</f>
        <v/>
      </c>
      <c r="T255" s="368" t="inlineStr">
        <is>
          <t>—</t>
        </is>
      </c>
      <c r="U255" s="368" t="inlineStr">
        <is>
          <t>—</t>
        </is>
      </c>
      <c r="V255" s="368" t="inlineStr">
        <is>
          <t>—</t>
        </is>
      </c>
      <c r="W255" s="368" t="inlineStr">
        <is>
          <t>—</t>
        </is>
      </c>
      <c r="X255" s="356">
        <f>IF(X211&gt;=0,"PASS","FAIL — NEGATIVE D&amp;E EPE")</f>
        <v/>
      </c>
      <c r="Y255" s="368" t="inlineStr">
        <is>
          <t>—</t>
        </is>
      </c>
      <c r="Z255" s="368" t="inlineStr">
        <is>
          <t>—</t>
        </is>
      </c>
      <c r="AA255" s="368" t="inlineStr">
        <is>
          <t>—</t>
        </is>
      </c>
      <c r="AB255" s="368" t="inlineStr">
        <is>
          <t>—</t>
        </is>
      </c>
      <c r="AC255" s="356">
        <f>IF(AC211&gt;=0,"PASS","FAIL — NEGATIVE D&amp;E EPE")</f>
        <v/>
      </c>
      <c r="AD255" s="368" t="inlineStr">
        <is>
          <t>—</t>
        </is>
      </c>
      <c r="AE255" s="368" t="inlineStr">
        <is>
          <t>—</t>
        </is>
      </c>
      <c r="AF255" s="368" t="inlineStr">
        <is>
          <t>—</t>
        </is>
      </c>
      <c r="AG255" s="368" t="inlineStr">
        <is>
          <t>—</t>
        </is>
      </c>
      <c r="AH255" s="356">
        <f>IF(AH211&gt;=0,"PASS","FAIL — NEGATIVE D&amp;E EPE")</f>
        <v/>
      </c>
      <c r="AI255" s="368" t="inlineStr">
        <is>
          <t>—</t>
        </is>
      </c>
      <c r="AJ255" s="368" t="inlineStr">
        <is>
          <t>—</t>
        </is>
      </c>
      <c r="AK255" s="368" t="inlineStr">
        <is>
          <t>—</t>
        </is>
      </c>
      <c r="AL255" s="368" t="inlineStr">
        <is>
          <t>—</t>
        </is>
      </c>
      <c r="AM255" s="356">
        <f>IF(AM211&gt;=0,"PASS","FAIL — NEGATIVE D&amp;E EPE")</f>
        <v/>
      </c>
      <c r="AN255" s="368" t="inlineStr">
        <is>
          <t>—</t>
        </is>
      </c>
      <c r="AO255" s="368" t="inlineStr">
        <is>
          <t>—</t>
        </is>
      </c>
      <c r="AP255" s="368" t="inlineStr">
        <is>
          <t>—</t>
        </is>
      </c>
      <c r="AQ255" s="368" t="inlineStr">
        <is>
          <t>—</t>
        </is>
      </c>
      <c r="AR255" s="356">
        <f>IF(AR211&gt;=0,"PASS","FAIL — NEGATIVE D&amp;E EPE")</f>
        <v/>
      </c>
    </row>
    <row r="256" ht="13.5" customHeight="1" s="290">
      <c r="A256" s="359" t="n"/>
      <c r="B256" s="353" t="inlineStr">
        <is>
          <t xml:space="preserve">  ✔  Advisory EPE (Eff. FTEs) ≥ 0</t>
        </is>
      </c>
      <c r="D256" s="354" t="inlineStr">
        <is>
          <t>Ref: row 212</t>
        </is>
      </c>
      <c r="E256" s="368" t="inlineStr">
        <is>
          <t>—</t>
        </is>
      </c>
      <c r="F256" s="368" t="inlineStr">
        <is>
          <t>—</t>
        </is>
      </c>
      <c r="G256" s="368" t="inlineStr">
        <is>
          <t>—</t>
        </is>
      </c>
      <c r="H256" s="368" t="inlineStr">
        <is>
          <t>—</t>
        </is>
      </c>
      <c r="I256" s="356">
        <f>IF(I212&gt;=0,"PASS","FAIL — NEGATIVE ADVISORY FTEs")</f>
        <v/>
      </c>
      <c r="J256" s="368" t="inlineStr">
        <is>
          <t>—</t>
        </is>
      </c>
      <c r="K256" s="368" t="inlineStr">
        <is>
          <t>—</t>
        </is>
      </c>
      <c r="L256" s="368" t="inlineStr">
        <is>
          <t>—</t>
        </is>
      </c>
      <c r="M256" s="368" t="inlineStr">
        <is>
          <t>—</t>
        </is>
      </c>
      <c r="N256" s="356">
        <f>IF(N212&gt;=0,"PASS","FAIL — NEGATIVE ADVISORY FTEs")</f>
        <v/>
      </c>
      <c r="O256" s="368" t="inlineStr">
        <is>
          <t>—</t>
        </is>
      </c>
      <c r="P256" s="368" t="inlineStr">
        <is>
          <t>—</t>
        </is>
      </c>
      <c r="Q256" s="368" t="inlineStr">
        <is>
          <t>—</t>
        </is>
      </c>
      <c r="R256" s="368" t="inlineStr">
        <is>
          <t>—</t>
        </is>
      </c>
      <c r="S256" s="356">
        <f>IF(S212&gt;=0,"PASS","FAIL — NEGATIVE ADVISORY FTEs")</f>
        <v/>
      </c>
      <c r="T256" s="368" t="inlineStr">
        <is>
          <t>—</t>
        </is>
      </c>
      <c r="U256" s="368" t="inlineStr">
        <is>
          <t>—</t>
        </is>
      </c>
      <c r="V256" s="368" t="inlineStr">
        <is>
          <t>—</t>
        </is>
      </c>
      <c r="W256" s="368" t="inlineStr">
        <is>
          <t>—</t>
        </is>
      </c>
      <c r="X256" s="356">
        <f>IF(X212&gt;=0,"PASS","FAIL — NEGATIVE ADVISORY FTEs")</f>
        <v/>
      </c>
      <c r="Y256" s="368" t="inlineStr">
        <is>
          <t>—</t>
        </is>
      </c>
      <c r="Z256" s="368" t="inlineStr">
        <is>
          <t>—</t>
        </is>
      </c>
      <c r="AA256" s="368" t="inlineStr">
        <is>
          <t>—</t>
        </is>
      </c>
      <c r="AB256" s="368" t="inlineStr">
        <is>
          <t>—</t>
        </is>
      </c>
      <c r="AC256" s="356">
        <f>IF(AC212&gt;=0,"PASS","FAIL — NEGATIVE ADVISORY FTEs")</f>
        <v/>
      </c>
      <c r="AD256" s="368" t="inlineStr">
        <is>
          <t>—</t>
        </is>
      </c>
      <c r="AE256" s="368" t="inlineStr">
        <is>
          <t>—</t>
        </is>
      </c>
      <c r="AF256" s="368" t="inlineStr">
        <is>
          <t>—</t>
        </is>
      </c>
      <c r="AG256" s="368" t="inlineStr">
        <is>
          <t>—</t>
        </is>
      </c>
      <c r="AH256" s="356">
        <f>IF(AH212&gt;=0,"PASS","FAIL — NEGATIVE ADVISORY FTEs")</f>
        <v/>
      </c>
      <c r="AI256" s="368" t="inlineStr">
        <is>
          <t>—</t>
        </is>
      </c>
      <c r="AJ256" s="368" t="inlineStr">
        <is>
          <t>—</t>
        </is>
      </c>
      <c r="AK256" s="368" t="inlineStr">
        <is>
          <t>—</t>
        </is>
      </c>
      <c r="AL256" s="368" t="inlineStr">
        <is>
          <t>—</t>
        </is>
      </c>
      <c r="AM256" s="356">
        <f>IF(AM212&gt;=0,"PASS","FAIL — NEGATIVE ADVISORY FTEs")</f>
        <v/>
      </c>
      <c r="AN256" s="368" t="inlineStr">
        <is>
          <t>—</t>
        </is>
      </c>
      <c r="AO256" s="368" t="inlineStr">
        <is>
          <t>—</t>
        </is>
      </c>
      <c r="AP256" s="368" t="inlineStr">
        <is>
          <t>—</t>
        </is>
      </c>
      <c r="AQ256" s="368" t="inlineStr">
        <is>
          <t>—</t>
        </is>
      </c>
      <c r="AR256" s="356">
        <f>IF(AR212&gt;=0,"PASS","FAIL — NEGATIVE ADVISORY FTEs")</f>
        <v/>
      </c>
    </row>
    <row r="257" ht="13.5" customHeight="1" s="290">
      <c r="A257" s="389" t="n"/>
      <c r="B257" s="390" t="inlineStr">
        <is>
          <t xml:space="preserve">  ⚠  Mature GCI/EPE — All Placeholders Zero?  (Book-Loss Drag Inactive)</t>
        </is>
      </c>
      <c r="C257" s="391" t="inlineStr">
        <is>
          <t>info</t>
        </is>
      </c>
      <c r="D257" s="392" t="inlineStr">
        <is>
          <t>WARN = all placeholders zero (book-loss inactive). Populate after running Tab 05.</t>
        </is>
      </c>
      <c r="I257" s="393">
        <f>IF((E19+E32+E45+E71+E84+E97+E123+E136+E149)=0,"WARN — Book-Loss Inactive (populate Mature GCI/EPE)","PASS — Book-Loss Active")</f>
        <v/>
      </c>
      <c r="N257" s="393">
        <f>IF((J19+J32+J45+J71+J84+J97+J123+J136+J149)=0,"WARN — Book-Loss Inactive (populate Mature GCI/EPE)","PASS — Book-Loss Active")</f>
        <v/>
      </c>
      <c r="S257" s="393">
        <f>IF((O19+O32+O45+O71+O84+O97+O123+O136+O149)=0,"WARN — Book-Loss Inactive (populate Mature GCI/EPE)","PASS — Book-Loss Active")</f>
        <v/>
      </c>
      <c r="X257" s="393">
        <f>IF((T19+T32+T45+T71+T84+T97+T123+T136+T149)=0,"WARN — Book-Loss Inactive (populate Mature GCI/EPE)","PASS — Book-Loss Active")</f>
        <v/>
      </c>
      <c r="AC257" s="393">
        <f>IF((Y19+Y32+Y45+Y71+Y84+Y97+Y123+Y136+Y149)=0,"WARN — Book-Loss Inactive (populate Mature GCI/EPE)","PASS — Book-Loss Active")</f>
        <v/>
      </c>
      <c r="AH257" s="393">
        <f>IF((AD19+AD32+AD45+AD71+AD84+AD97+AD123+AD136+AD149)=0,"WARN — Book-Loss Inactive (populate Mature GCI/EPE)","PASS — Book-Loss Active")</f>
        <v/>
      </c>
      <c r="AM257" s="393">
        <f>IF((AI19+AI32+AI45+AI71+AI84+AI97+AI123+AI136+AI149)=0,"WARN — Book-Loss Inactive (populate Mature GCI/EPE)","PASS — Book-Loss Active")</f>
        <v/>
      </c>
      <c r="AR257" s="393">
        <f>IF((AN19+AN32+AN45+AN71+AN84+AN97+AN123+AN136+AN149)=0,"WARN — Book-Loss Inactive (populate Mature GCI/EPE)","PASS — Book-Loss Active")</f>
        <v/>
      </c>
    </row>
    <row r="258" ht="15.75" customHeight="1" s="290">
      <c r="A258" s="360" t="inlineStr">
        <is>
          <t xml:space="preserve">  All 10 checks above feed Tab 11 — Checks (Section A, Structural Integrity). EPE rows in the Consolidated Summary feed Tab 05 Revenue Engine. Book Loss Drag rows feed Tab 05 as revenue adjustments.</t>
        </is>
      </c>
    </row>
    <row r="259" ht="4.5" customHeight="1" s="290"/>
    <row r="260" ht="3" customHeight="1" s="290">
      <c r="A260" s="293" t="n"/>
    </row>
  </sheetData>
  <mergeCells count="41">
    <mergeCell ref="A109:AR109"/>
    <mergeCell ref="A165:AR165"/>
    <mergeCell ref="A231:AR231"/>
    <mergeCell ref="A161:AR161"/>
    <mergeCell ref="A9:AR9"/>
    <mergeCell ref="A111:AR111"/>
    <mergeCell ref="A258:AR258"/>
    <mergeCell ref="A201:AR201"/>
    <mergeCell ref="A59:AR59"/>
    <mergeCell ref="A49:AR49"/>
    <mergeCell ref="A107:AR107"/>
    <mergeCell ref="A260:AR260"/>
    <mergeCell ref="A207:AR207"/>
    <mergeCell ref="A1:AR1"/>
    <mergeCell ref="A241:AR241"/>
    <mergeCell ref="A61:AR61"/>
    <mergeCell ref="A153:AR153"/>
    <mergeCell ref="A205:AR205"/>
    <mergeCell ref="A87:AR87"/>
    <mergeCell ref="A7:AR7"/>
    <mergeCell ref="A196:AR196"/>
    <mergeCell ref="A243:AR243"/>
    <mergeCell ref="A74:AR74"/>
    <mergeCell ref="A163:AR163"/>
    <mergeCell ref="A101:AR101"/>
    <mergeCell ref="A139:AR139"/>
    <mergeCell ref="A223:AR223"/>
    <mergeCell ref="A55:AR55"/>
    <mergeCell ref="A239:AR239"/>
    <mergeCell ref="A57:AR57"/>
    <mergeCell ref="A113:AR113"/>
    <mergeCell ref="A2:AR2"/>
    <mergeCell ref="A175:AR175"/>
    <mergeCell ref="A185:AR185"/>
    <mergeCell ref="A203:AR203"/>
    <mergeCell ref="A5:AR5"/>
    <mergeCell ref="A126:AR126"/>
    <mergeCell ref="A159:AR159"/>
    <mergeCell ref="A22:AR22"/>
    <mergeCell ref="A35:AR35"/>
    <mergeCell ref="A215:AR215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FF8C00"/>
    <outlinePr summaryBelow="1" summaryRight="1"/>
    <pageSetUpPr fitToPage="1"/>
  </sheetPr>
  <dimension ref="A1:AR25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2" customWidth="1" style="289" min="1" max="1"/>
    <col width="38" customWidth="1" style="289" min="2" max="2"/>
    <col width="10" customWidth="1" style="289" min="3" max="3"/>
    <col width="20" customWidth="1" style="289" min="4" max="4"/>
    <col width="8.800000000000001" customWidth="1" style="289" min="5" max="8"/>
    <col width="10.51" customWidth="1" style="289" min="9" max="9"/>
    <col width="8.800000000000001" customWidth="1" style="289" min="10" max="13"/>
    <col width="10.51" customWidth="1" style="289" min="14" max="14"/>
    <col width="8.800000000000001" customWidth="1" style="289" min="15" max="18"/>
    <col width="10.51" customWidth="1" style="289" min="19" max="19"/>
    <col width="8.800000000000001" customWidth="1" style="289" min="20" max="23"/>
    <col width="10.51" customWidth="1" style="289" min="24" max="24"/>
    <col width="8.800000000000001" customWidth="1" style="289" min="25" max="28"/>
    <col width="10.51" customWidth="1" style="289" min="29" max="29"/>
    <col width="8.800000000000001" customWidth="1" style="289" min="30" max="33"/>
    <col width="10.51" customWidth="1" style="289" min="34" max="34"/>
    <col width="8.800000000000001" customWidth="1" style="289" min="35" max="38"/>
    <col width="10.51" customWidth="1" style="289" min="39" max="39"/>
    <col width="8.800000000000001" customWidth="1" style="289" min="40" max="43"/>
    <col width="10.51" customWidth="1" style="289" min="44" max="44"/>
  </cols>
  <sheetData>
    <row r="1" ht="25.5" customHeight="1" s="290">
      <c r="A1" s="330" t="inlineStr">
        <is>
          <t xml:space="preserve">  05  |  REVENUE ENGINE  —  GCI by Business Line</t>
        </is>
      </c>
    </row>
    <row r="2" ht="15" customHeight="1" s="290">
      <c r="A2" s="331" t="inlineStr">
        <is>
          <t xml:space="preserve">  Green = link from Tab 02/03/04  |  Black = calculation  |  Sections: A=Leasing  B=IS  C=D&amp;E  D=Advisory  E=Revenue Summary  F=Checks</t>
        </is>
      </c>
    </row>
    <row r="3" ht="30" customHeight="1" s="290">
      <c r="A3" s="332" t="n"/>
      <c r="B3" s="333" t="inlineStr">
        <is>
          <t>Row Description</t>
        </is>
      </c>
      <c r="C3" s="333" t="inlineStr">
        <is>
          <t>Units</t>
        </is>
      </c>
      <c r="D3" s="333" t="inlineStr">
        <is>
          <t>Source / Note</t>
        </is>
      </c>
      <c r="E3" s="334" t="inlineStr">
        <is>
          <t>2023A
Q1</t>
        </is>
      </c>
      <c r="F3" s="334" t="inlineStr">
        <is>
          <t>2023A
Q2</t>
        </is>
      </c>
      <c r="G3" s="334" t="inlineStr">
        <is>
          <t>2023A
Q3</t>
        </is>
      </c>
      <c r="H3" s="334" t="inlineStr">
        <is>
          <t>2023A
Q4</t>
        </is>
      </c>
      <c r="I3" s="335" t="inlineStr">
        <is>
          <t>2023A
Annual</t>
        </is>
      </c>
      <c r="J3" s="334" t="inlineStr">
        <is>
          <t>2024A
Q1</t>
        </is>
      </c>
      <c r="K3" s="334" t="inlineStr">
        <is>
          <t>2024A
Q2</t>
        </is>
      </c>
      <c r="L3" s="334" t="inlineStr">
        <is>
          <t>2024A
Q3</t>
        </is>
      </c>
      <c r="M3" s="334" t="inlineStr">
        <is>
          <t>2024A
Q4</t>
        </is>
      </c>
      <c r="N3" s="335" t="inlineStr">
        <is>
          <t>2024A
Annual</t>
        </is>
      </c>
      <c r="O3" s="334" t="inlineStr">
        <is>
          <t>2025A
Q1</t>
        </is>
      </c>
      <c r="P3" s="334" t="inlineStr">
        <is>
          <t>2025A
Q2</t>
        </is>
      </c>
      <c r="Q3" s="334" t="inlineStr">
        <is>
          <t>2025A
Q3</t>
        </is>
      </c>
      <c r="R3" s="334" t="inlineStr">
        <is>
          <t>2025A
Q4</t>
        </is>
      </c>
      <c r="S3" s="335" t="inlineStr">
        <is>
          <t>2025A
Annual</t>
        </is>
      </c>
      <c r="T3" s="336" t="inlineStr">
        <is>
          <t>2026E
Q1</t>
        </is>
      </c>
      <c r="U3" s="336" t="inlineStr">
        <is>
          <t>2026E
Q2</t>
        </is>
      </c>
      <c r="V3" s="336" t="inlineStr">
        <is>
          <t>2026E
Q3</t>
        </is>
      </c>
      <c r="W3" s="336" t="inlineStr">
        <is>
          <t>2026E
Q4</t>
        </is>
      </c>
      <c r="X3" s="337" t="inlineStr">
        <is>
          <t>2026E
Annual</t>
        </is>
      </c>
      <c r="Y3" s="336" t="inlineStr">
        <is>
          <t>2027E
Q1</t>
        </is>
      </c>
      <c r="Z3" s="336" t="inlineStr">
        <is>
          <t>2027E
Q2</t>
        </is>
      </c>
      <c r="AA3" s="336" t="inlineStr">
        <is>
          <t>2027E
Q3</t>
        </is>
      </c>
      <c r="AB3" s="336" t="inlineStr">
        <is>
          <t>2027E
Q4</t>
        </is>
      </c>
      <c r="AC3" s="337" t="inlineStr">
        <is>
          <t>2027E
Annual</t>
        </is>
      </c>
      <c r="AD3" s="336" t="inlineStr">
        <is>
          <t>2028E
Q1</t>
        </is>
      </c>
      <c r="AE3" s="336" t="inlineStr">
        <is>
          <t>2028E
Q2</t>
        </is>
      </c>
      <c r="AF3" s="336" t="inlineStr">
        <is>
          <t>2028E
Q3</t>
        </is>
      </c>
      <c r="AG3" s="336" t="inlineStr">
        <is>
          <t>2028E
Q4</t>
        </is>
      </c>
      <c r="AH3" s="337" t="inlineStr">
        <is>
          <t>2028E
Annual</t>
        </is>
      </c>
      <c r="AI3" s="336" t="inlineStr">
        <is>
          <t>2029E
Q1</t>
        </is>
      </c>
      <c r="AJ3" s="336" t="inlineStr">
        <is>
          <t>2029E
Q2</t>
        </is>
      </c>
      <c r="AK3" s="336" t="inlineStr">
        <is>
          <t>2029E
Q3</t>
        </is>
      </c>
      <c r="AL3" s="336" t="inlineStr">
        <is>
          <t>2029E
Q4</t>
        </is>
      </c>
      <c r="AM3" s="337" t="inlineStr">
        <is>
          <t>2029E
Annual</t>
        </is>
      </c>
      <c r="AN3" s="336" t="inlineStr">
        <is>
          <t>2030E
Q1</t>
        </is>
      </c>
      <c r="AO3" s="336" t="inlineStr">
        <is>
          <t>2030E
Q2</t>
        </is>
      </c>
      <c r="AP3" s="336" t="inlineStr">
        <is>
          <t>2030E
Q3</t>
        </is>
      </c>
      <c r="AQ3" s="336" t="inlineStr">
        <is>
          <t>2030E
Q4</t>
        </is>
      </c>
      <c r="AR3" s="337" t="inlineStr">
        <is>
          <t>2030E
Annual</t>
        </is>
      </c>
    </row>
    <row r="4" ht="4.5" customHeight="1" s="290"/>
    <row r="5" ht="15.75" customHeight="1" s="290">
      <c r="A5" s="338" t="inlineStr">
        <is>
          <t xml:space="preserve">  SECTION A — LEASING REVENUE</t>
        </is>
      </c>
    </row>
    <row r="6" ht="3.75" customHeight="1" s="290"/>
    <row r="7" ht="15" customHeight="1" s="290">
      <c r="A7" s="307" t="inlineStr">
        <is>
          <t xml:space="preserve">    A1 — INPUT LINKS</t>
        </is>
      </c>
    </row>
    <row r="8" ht="3" customHeight="1" s="290"/>
    <row r="9" ht="13.5" customHeight="1" s="290">
      <c r="A9" s="345" t="n"/>
      <c r="B9" s="370" t="inlineStr">
        <is>
          <t xml:space="preserve">  EPE — Leasing Rainmaker</t>
        </is>
      </c>
      <c r="C9" s="371" t="inlineStr">
        <is>
          <t>EPE</t>
        </is>
      </c>
      <c r="D9" s="394" t="inlineStr">
        <is>
          <t>← Tab 04 row 15</t>
        </is>
      </c>
      <c r="E9" s="361">
        <f>'04 Producer Engine'!E15</f>
        <v/>
      </c>
      <c r="F9" s="361">
        <f>'04 Producer Engine'!F15</f>
        <v/>
      </c>
      <c r="G9" s="361">
        <f>'04 Producer Engine'!G15</f>
        <v/>
      </c>
      <c r="H9" s="361">
        <f>'04 Producer Engine'!H15</f>
        <v/>
      </c>
      <c r="I9" s="361">
        <f>AVERAGE(E9:H9)</f>
        <v/>
      </c>
      <c r="J9" s="361">
        <f>'04 Producer Engine'!J15</f>
        <v/>
      </c>
      <c r="K9" s="361">
        <f>'04 Producer Engine'!K15</f>
        <v/>
      </c>
      <c r="L9" s="361">
        <f>'04 Producer Engine'!L15</f>
        <v/>
      </c>
      <c r="M9" s="361">
        <f>'04 Producer Engine'!M15</f>
        <v/>
      </c>
      <c r="N9" s="361">
        <f>AVERAGE(J9:M9)</f>
        <v/>
      </c>
      <c r="O9" s="361">
        <f>'04 Producer Engine'!O15</f>
        <v/>
      </c>
      <c r="P9" s="361">
        <f>'04 Producer Engine'!P15</f>
        <v/>
      </c>
      <c r="Q9" s="361">
        <f>'04 Producer Engine'!Q15</f>
        <v/>
      </c>
      <c r="R9" s="361">
        <f>'04 Producer Engine'!R15</f>
        <v/>
      </c>
      <c r="S9" s="361">
        <f>AVERAGE(O9:R9)</f>
        <v/>
      </c>
      <c r="T9" s="361">
        <f>'04 Producer Engine'!T15</f>
        <v/>
      </c>
      <c r="U9" s="361">
        <f>'04 Producer Engine'!U15</f>
        <v/>
      </c>
      <c r="V9" s="361">
        <f>'04 Producer Engine'!V15</f>
        <v/>
      </c>
      <c r="W9" s="361">
        <f>'04 Producer Engine'!W15</f>
        <v/>
      </c>
      <c r="X9" s="361">
        <f>AVERAGE(T9:W9)</f>
        <v/>
      </c>
      <c r="Y9" s="361">
        <f>'04 Producer Engine'!Y15</f>
        <v/>
      </c>
      <c r="Z9" s="361">
        <f>'04 Producer Engine'!Z15</f>
        <v/>
      </c>
      <c r="AA9" s="361">
        <f>'04 Producer Engine'!AA15</f>
        <v/>
      </c>
      <c r="AB9" s="361">
        <f>'04 Producer Engine'!AB15</f>
        <v/>
      </c>
      <c r="AC9" s="361">
        <f>AVERAGE(Y9:AB9)</f>
        <v/>
      </c>
      <c r="AD9" s="361">
        <f>'04 Producer Engine'!AD15</f>
        <v/>
      </c>
      <c r="AE9" s="361">
        <f>'04 Producer Engine'!AE15</f>
        <v/>
      </c>
      <c r="AF9" s="361">
        <f>'04 Producer Engine'!AF15</f>
        <v/>
      </c>
      <c r="AG9" s="361">
        <f>'04 Producer Engine'!AG15</f>
        <v/>
      </c>
      <c r="AH9" s="361">
        <f>AVERAGE(AD9:AG9)</f>
        <v/>
      </c>
      <c r="AI9" s="361">
        <f>'04 Producer Engine'!AI15</f>
        <v/>
      </c>
      <c r="AJ9" s="361">
        <f>'04 Producer Engine'!AJ15</f>
        <v/>
      </c>
      <c r="AK9" s="361">
        <f>'04 Producer Engine'!AK15</f>
        <v/>
      </c>
      <c r="AL9" s="361">
        <f>'04 Producer Engine'!AL15</f>
        <v/>
      </c>
      <c r="AM9" s="361">
        <f>AVERAGE(AI9:AL9)</f>
        <v/>
      </c>
      <c r="AN9" s="361">
        <f>'04 Producer Engine'!AN15</f>
        <v/>
      </c>
      <c r="AO9" s="361">
        <f>'04 Producer Engine'!AO15</f>
        <v/>
      </c>
      <c r="AP9" s="361">
        <f>'04 Producer Engine'!AP15</f>
        <v/>
      </c>
      <c r="AQ9" s="361">
        <f>'04 Producer Engine'!AQ15</f>
        <v/>
      </c>
      <c r="AR9" s="361">
        <f>AVERAGE(AN9:AQ9)</f>
        <v/>
      </c>
    </row>
    <row r="10" ht="13.5" customHeight="1" s="290">
      <c r="A10" s="345" t="n"/>
      <c r="B10" s="370" t="inlineStr">
        <is>
          <t xml:space="preserve">  EPE — Leasing Core</t>
        </is>
      </c>
      <c r="C10" s="371" t="inlineStr">
        <is>
          <t>EPE</t>
        </is>
      </c>
      <c r="D10" s="394" t="inlineStr">
        <is>
          <t>← Tab 04 row 28</t>
        </is>
      </c>
      <c r="E10" s="361">
        <f>'04 Producer Engine'!E28</f>
        <v/>
      </c>
      <c r="F10" s="361">
        <f>'04 Producer Engine'!F28</f>
        <v/>
      </c>
      <c r="G10" s="361">
        <f>'04 Producer Engine'!G28</f>
        <v/>
      </c>
      <c r="H10" s="361">
        <f>'04 Producer Engine'!H28</f>
        <v/>
      </c>
      <c r="I10" s="361">
        <f>AVERAGE(E10:H10)</f>
        <v/>
      </c>
      <c r="J10" s="361">
        <f>'04 Producer Engine'!J28</f>
        <v/>
      </c>
      <c r="K10" s="361">
        <f>'04 Producer Engine'!K28</f>
        <v/>
      </c>
      <c r="L10" s="361">
        <f>'04 Producer Engine'!L28</f>
        <v/>
      </c>
      <c r="M10" s="361">
        <f>'04 Producer Engine'!M28</f>
        <v/>
      </c>
      <c r="N10" s="361">
        <f>AVERAGE(J10:M10)</f>
        <v/>
      </c>
      <c r="O10" s="361">
        <f>'04 Producer Engine'!O28</f>
        <v/>
      </c>
      <c r="P10" s="361">
        <f>'04 Producer Engine'!P28</f>
        <v/>
      </c>
      <c r="Q10" s="361">
        <f>'04 Producer Engine'!Q28</f>
        <v/>
      </c>
      <c r="R10" s="361">
        <f>'04 Producer Engine'!R28</f>
        <v/>
      </c>
      <c r="S10" s="361">
        <f>AVERAGE(O10:R10)</f>
        <v/>
      </c>
      <c r="T10" s="361">
        <f>'04 Producer Engine'!T28</f>
        <v/>
      </c>
      <c r="U10" s="361">
        <f>'04 Producer Engine'!U28</f>
        <v/>
      </c>
      <c r="V10" s="361">
        <f>'04 Producer Engine'!V28</f>
        <v/>
      </c>
      <c r="W10" s="361">
        <f>'04 Producer Engine'!W28</f>
        <v/>
      </c>
      <c r="X10" s="361">
        <f>AVERAGE(T10:W10)</f>
        <v/>
      </c>
      <c r="Y10" s="361">
        <f>'04 Producer Engine'!Y28</f>
        <v/>
      </c>
      <c r="Z10" s="361">
        <f>'04 Producer Engine'!Z28</f>
        <v/>
      </c>
      <c r="AA10" s="361">
        <f>'04 Producer Engine'!AA28</f>
        <v/>
      </c>
      <c r="AB10" s="361">
        <f>'04 Producer Engine'!AB28</f>
        <v/>
      </c>
      <c r="AC10" s="361">
        <f>AVERAGE(Y10:AB10)</f>
        <v/>
      </c>
      <c r="AD10" s="361">
        <f>'04 Producer Engine'!AD28</f>
        <v/>
      </c>
      <c r="AE10" s="361">
        <f>'04 Producer Engine'!AE28</f>
        <v/>
      </c>
      <c r="AF10" s="361">
        <f>'04 Producer Engine'!AF28</f>
        <v/>
      </c>
      <c r="AG10" s="361">
        <f>'04 Producer Engine'!AG28</f>
        <v/>
      </c>
      <c r="AH10" s="361">
        <f>AVERAGE(AD10:AG10)</f>
        <v/>
      </c>
      <c r="AI10" s="361">
        <f>'04 Producer Engine'!AI28</f>
        <v/>
      </c>
      <c r="AJ10" s="361">
        <f>'04 Producer Engine'!AJ28</f>
        <v/>
      </c>
      <c r="AK10" s="361">
        <f>'04 Producer Engine'!AK28</f>
        <v/>
      </c>
      <c r="AL10" s="361">
        <f>'04 Producer Engine'!AL28</f>
        <v/>
      </c>
      <c r="AM10" s="361">
        <f>AVERAGE(AI10:AL10)</f>
        <v/>
      </c>
      <c r="AN10" s="361">
        <f>'04 Producer Engine'!AN28</f>
        <v/>
      </c>
      <c r="AO10" s="361">
        <f>'04 Producer Engine'!AO28</f>
        <v/>
      </c>
      <c r="AP10" s="361">
        <f>'04 Producer Engine'!AP28</f>
        <v/>
      </c>
      <c r="AQ10" s="361">
        <f>'04 Producer Engine'!AQ28</f>
        <v/>
      </c>
      <c r="AR10" s="361">
        <f>AVERAGE(AN10:AQ10)</f>
        <v/>
      </c>
    </row>
    <row r="11" ht="13.5" customHeight="1" s="290">
      <c r="A11" s="345" t="n"/>
      <c r="B11" s="370" t="inlineStr">
        <is>
          <t xml:space="preserve">  EPE — Leasing Junior</t>
        </is>
      </c>
      <c r="C11" s="371" t="inlineStr">
        <is>
          <t>EPE</t>
        </is>
      </c>
      <c r="D11" s="394" t="inlineStr">
        <is>
          <t>← Tab 04 row 41</t>
        </is>
      </c>
      <c r="E11" s="361">
        <f>'04 Producer Engine'!E41</f>
        <v/>
      </c>
      <c r="F11" s="361">
        <f>'04 Producer Engine'!F41</f>
        <v/>
      </c>
      <c r="G11" s="361">
        <f>'04 Producer Engine'!G41</f>
        <v/>
      </c>
      <c r="H11" s="361">
        <f>'04 Producer Engine'!H41</f>
        <v/>
      </c>
      <c r="I11" s="361">
        <f>AVERAGE(E11:H11)</f>
        <v/>
      </c>
      <c r="J11" s="361">
        <f>'04 Producer Engine'!J41</f>
        <v/>
      </c>
      <c r="K11" s="361">
        <f>'04 Producer Engine'!K41</f>
        <v/>
      </c>
      <c r="L11" s="361">
        <f>'04 Producer Engine'!L41</f>
        <v/>
      </c>
      <c r="M11" s="361">
        <f>'04 Producer Engine'!M41</f>
        <v/>
      </c>
      <c r="N11" s="361">
        <f>AVERAGE(J11:M11)</f>
        <v/>
      </c>
      <c r="O11" s="361">
        <f>'04 Producer Engine'!O41</f>
        <v/>
      </c>
      <c r="P11" s="361">
        <f>'04 Producer Engine'!P41</f>
        <v/>
      </c>
      <c r="Q11" s="361">
        <f>'04 Producer Engine'!Q41</f>
        <v/>
      </c>
      <c r="R11" s="361">
        <f>'04 Producer Engine'!R41</f>
        <v/>
      </c>
      <c r="S11" s="361">
        <f>AVERAGE(O11:R11)</f>
        <v/>
      </c>
      <c r="T11" s="361">
        <f>'04 Producer Engine'!T41</f>
        <v/>
      </c>
      <c r="U11" s="361">
        <f>'04 Producer Engine'!U41</f>
        <v/>
      </c>
      <c r="V11" s="361">
        <f>'04 Producer Engine'!V41</f>
        <v/>
      </c>
      <c r="W11" s="361">
        <f>'04 Producer Engine'!W41</f>
        <v/>
      </c>
      <c r="X11" s="361">
        <f>AVERAGE(T11:W11)</f>
        <v/>
      </c>
      <c r="Y11" s="361">
        <f>'04 Producer Engine'!Y41</f>
        <v/>
      </c>
      <c r="Z11" s="361">
        <f>'04 Producer Engine'!Z41</f>
        <v/>
      </c>
      <c r="AA11" s="361">
        <f>'04 Producer Engine'!AA41</f>
        <v/>
      </c>
      <c r="AB11" s="361">
        <f>'04 Producer Engine'!AB41</f>
        <v/>
      </c>
      <c r="AC11" s="361">
        <f>AVERAGE(Y11:AB11)</f>
        <v/>
      </c>
      <c r="AD11" s="361">
        <f>'04 Producer Engine'!AD41</f>
        <v/>
      </c>
      <c r="AE11" s="361">
        <f>'04 Producer Engine'!AE41</f>
        <v/>
      </c>
      <c r="AF11" s="361">
        <f>'04 Producer Engine'!AF41</f>
        <v/>
      </c>
      <c r="AG11" s="361">
        <f>'04 Producer Engine'!AG41</f>
        <v/>
      </c>
      <c r="AH11" s="361">
        <f>AVERAGE(AD11:AG11)</f>
        <v/>
      </c>
      <c r="AI11" s="361">
        <f>'04 Producer Engine'!AI41</f>
        <v/>
      </c>
      <c r="AJ11" s="361">
        <f>'04 Producer Engine'!AJ41</f>
        <v/>
      </c>
      <c r="AK11" s="361">
        <f>'04 Producer Engine'!AK41</f>
        <v/>
      </c>
      <c r="AL11" s="361">
        <f>'04 Producer Engine'!AL41</f>
        <v/>
      </c>
      <c r="AM11" s="361">
        <f>AVERAGE(AI11:AL11)</f>
        <v/>
      </c>
      <c r="AN11" s="361">
        <f>'04 Producer Engine'!AN41</f>
        <v/>
      </c>
      <c r="AO11" s="361">
        <f>'04 Producer Engine'!AO41</f>
        <v/>
      </c>
      <c r="AP11" s="361">
        <f>'04 Producer Engine'!AP41</f>
        <v/>
      </c>
      <c r="AQ11" s="361">
        <f>'04 Producer Engine'!AQ41</f>
        <v/>
      </c>
      <c r="AR11" s="361">
        <f>AVERAGE(AN11:AQ11)</f>
        <v/>
      </c>
    </row>
    <row r="12" ht="13.5" customHeight="1" s="290">
      <c r="A12" s="345" t="n"/>
      <c r="B12" s="370" t="inlineStr">
        <is>
          <t xml:space="preserve">  Deals/EPE/Qtr — Rainmaker (Active)</t>
        </is>
      </c>
      <c r="C12" s="371" t="inlineStr">
        <is>
          <t>#/qtr</t>
        </is>
      </c>
      <c r="D12" s="394" t="inlineStr">
        <is>
          <t>← Tab 03 row 176</t>
        </is>
      </c>
      <c r="E12" s="361">
        <f>'03 Operational Assumptions'!E176</f>
        <v/>
      </c>
      <c r="F12" s="361">
        <f>'03 Operational Assumptions'!F176</f>
        <v/>
      </c>
      <c r="G12" s="361">
        <f>'03 Operational Assumptions'!G176</f>
        <v/>
      </c>
      <c r="H12" s="361">
        <f>'03 Operational Assumptions'!H176</f>
        <v/>
      </c>
      <c r="I12" s="361">
        <f>AVERAGE(E12:H12)</f>
        <v/>
      </c>
      <c r="J12" s="361">
        <f>'03 Operational Assumptions'!J176</f>
        <v/>
      </c>
      <c r="K12" s="361">
        <f>'03 Operational Assumptions'!K176</f>
        <v/>
      </c>
      <c r="L12" s="361">
        <f>'03 Operational Assumptions'!L176</f>
        <v/>
      </c>
      <c r="M12" s="361">
        <f>'03 Operational Assumptions'!M176</f>
        <v/>
      </c>
      <c r="N12" s="361">
        <f>AVERAGE(J12:M12)</f>
        <v/>
      </c>
      <c r="O12" s="361">
        <f>'03 Operational Assumptions'!O176</f>
        <v/>
      </c>
      <c r="P12" s="361">
        <f>'03 Operational Assumptions'!P176</f>
        <v/>
      </c>
      <c r="Q12" s="361">
        <f>'03 Operational Assumptions'!Q176</f>
        <v/>
      </c>
      <c r="R12" s="361">
        <f>'03 Operational Assumptions'!R176</f>
        <v/>
      </c>
      <c r="S12" s="361">
        <f>AVERAGE(O12:R12)</f>
        <v/>
      </c>
      <c r="T12" s="361">
        <f>'03 Operational Assumptions'!T176</f>
        <v/>
      </c>
      <c r="U12" s="361">
        <f>'03 Operational Assumptions'!U176</f>
        <v/>
      </c>
      <c r="V12" s="361">
        <f>'03 Operational Assumptions'!V176</f>
        <v/>
      </c>
      <c r="W12" s="361">
        <f>'03 Operational Assumptions'!W176</f>
        <v/>
      </c>
      <c r="X12" s="361">
        <f>AVERAGE(T12:W12)</f>
        <v/>
      </c>
      <c r="Y12" s="361">
        <f>'03 Operational Assumptions'!Y176</f>
        <v/>
      </c>
      <c r="Z12" s="361">
        <f>'03 Operational Assumptions'!Z176</f>
        <v/>
      </c>
      <c r="AA12" s="361">
        <f>'03 Operational Assumptions'!AA176</f>
        <v/>
      </c>
      <c r="AB12" s="361">
        <f>'03 Operational Assumptions'!AB176</f>
        <v/>
      </c>
      <c r="AC12" s="361">
        <f>AVERAGE(Y12:AB12)</f>
        <v/>
      </c>
      <c r="AD12" s="361">
        <f>'03 Operational Assumptions'!AD176</f>
        <v/>
      </c>
      <c r="AE12" s="361">
        <f>'03 Operational Assumptions'!AE176</f>
        <v/>
      </c>
      <c r="AF12" s="361">
        <f>'03 Operational Assumptions'!AF176</f>
        <v/>
      </c>
      <c r="AG12" s="361">
        <f>'03 Operational Assumptions'!AG176</f>
        <v/>
      </c>
      <c r="AH12" s="361">
        <f>AVERAGE(AD12:AG12)</f>
        <v/>
      </c>
      <c r="AI12" s="361">
        <f>'03 Operational Assumptions'!AI176</f>
        <v/>
      </c>
      <c r="AJ12" s="361">
        <f>'03 Operational Assumptions'!AJ176</f>
        <v/>
      </c>
      <c r="AK12" s="361">
        <f>'03 Operational Assumptions'!AK176</f>
        <v/>
      </c>
      <c r="AL12" s="361">
        <f>'03 Operational Assumptions'!AL176</f>
        <v/>
      </c>
      <c r="AM12" s="361">
        <f>AVERAGE(AI12:AL12)</f>
        <v/>
      </c>
      <c r="AN12" s="361">
        <f>'03 Operational Assumptions'!AN176</f>
        <v/>
      </c>
      <c r="AO12" s="361">
        <f>'03 Operational Assumptions'!AO176</f>
        <v/>
      </c>
      <c r="AP12" s="361">
        <f>'03 Operational Assumptions'!AP176</f>
        <v/>
      </c>
      <c r="AQ12" s="361">
        <f>'03 Operational Assumptions'!AQ176</f>
        <v/>
      </c>
      <c r="AR12" s="361">
        <f>AVERAGE(AN12:AQ12)</f>
        <v/>
      </c>
    </row>
    <row r="13" ht="13.5" customHeight="1" s="290">
      <c r="A13" s="345" t="n"/>
      <c r="B13" s="370" t="inlineStr">
        <is>
          <t xml:space="preserve">  Deals/EPE/Qtr — Core (Active)</t>
        </is>
      </c>
      <c r="C13" s="371" t="inlineStr">
        <is>
          <t>#/qtr</t>
        </is>
      </c>
      <c r="D13" s="394" t="inlineStr">
        <is>
          <t>← Tab 03 row 181</t>
        </is>
      </c>
      <c r="E13" s="361">
        <f>'03 Operational Assumptions'!E181</f>
        <v/>
      </c>
      <c r="F13" s="361">
        <f>'03 Operational Assumptions'!F181</f>
        <v/>
      </c>
      <c r="G13" s="361">
        <f>'03 Operational Assumptions'!G181</f>
        <v/>
      </c>
      <c r="H13" s="361">
        <f>'03 Operational Assumptions'!H181</f>
        <v/>
      </c>
      <c r="I13" s="361">
        <f>AVERAGE(E13:H13)</f>
        <v/>
      </c>
      <c r="J13" s="361">
        <f>'03 Operational Assumptions'!J181</f>
        <v/>
      </c>
      <c r="K13" s="361">
        <f>'03 Operational Assumptions'!K181</f>
        <v/>
      </c>
      <c r="L13" s="361">
        <f>'03 Operational Assumptions'!L181</f>
        <v/>
      </c>
      <c r="M13" s="361">
        <f>'03 Operational Assumptions'!M181</f>
        <v/>
      </c>
      <c r="N13" s="361">
        <f>AVERAGE(J13:M13)</f>
        <v/>
      </c>
      <c r="O13" s="361">
        <f>'03 Operational Assumptions'!O181</f>
        <v/>
      </c>
      <c r="P13" s="361">
        <f>'03 Operational Assumptions'!P181</f>
        <v/>
      </c>
      <c r="Q13" s="361">
        <f>'03 Operational Assumptions'!Q181</f>
        <v/>
      </c>
      <c r="R13" s="361">
        <f>'03 Operational Assumptions'!R181</f>
        <v/>
      </c>
      <c r="S13" s="361">
        <f>AVERAGE(O13:R13)</f>
        <v/>
      </c>
      <c r="T13" s="361">
        <f>'03 Operational Assumptions'!T181</f>
        <v/>
      </c>
      <c r="U13" s="361">
        <f>'03 Operational Assumptions'!U181</f>
        <v/>
      </c>
      <c r="V13" s="361">
        <f>'03 Operational Assumptions'!V181</f>
        <v/>
      </c>
      <c r="W13" s="361">
        <f>'03 Operational Assumptions'!W181</f>
        <v/>
      </c>
      <c r="X13" s="361">
        <f>AVERAGE(T13:W13)</f>
        <v/>
      </c>
      <c r="Y13" s="361">
        <f>'03 Operational Assumptions'!Y181</f>
        <v/>
      </c>
      <c r="Z13" s="361">
        <f>'03 Operational Assumptions'!Z181</f>
        <v/>
      </c>
      <c r="AA13" s="361">
        <f>'03 Operational Assumptions'!AA181</f>
        <v/>
      </c>
      <c r="AB13" s="361">
        <f>'03 Operational Assumptions'!AB181</f>
        <v/>
      </c>
      <c r="AC13" s="361">
        <f>AVERAGE(Y13:AB13)</f>
        <v/>
      </c>
      <c r="AD13" s="361">
        <f>'03 Operational Assumptions'!AD181</f>
        <v/>
      </c>
      <c r="AE13" s="361">
        <f>'03 Operational Assumptions'!AE181</f>
        <v/>
      </c>
      <c r="AF13" s="361">
        <f>'03 Operational Assumptions'!AF181</f>
        <v/>
      </c>
      <c r="AG13" s="361">
        <f>'03 Operational Assumptions'!AG181</f>
        <v/>
      </c>
      <c r="AH13" s="361">
        <f>AVERAGE(AD13:AG13)</f>
        <v/>
      </c>
      <c r="AI13" s="361">
        <f>'03 Operational Assumptions'!AI181</f>
        <v/>
      </c>
      <c r="AJ13" s="361">
        <f>'03 Operational Assumptions'!AJ181</f>
        <v/>
      </c>
      <c r="AK13" s="361">
        <f>'03 Operational Assumptions'!AK181</f>
        <v/>
      </c>
      <c r="AL13" s="361">
        <f>'03 Operational Assumptions'!AL181</f>
        <v/>
      </c>
      <c r="AM13" s="361">
        <f>AVERAGE(AI13:AL13)</f>
        <v/>
      </c>
      <c r="AN13" s="361">
        <f>'03 Operational Assumptions'!AN181</f>
        <v/>
      </c>
      <c r="AO13" s="361">
        <f>'03 Operational Assumptions'!AO181</f>
        <v/>
      </c>
      <c r="AP13" s="361">
        <f>'03 Operational Assumptions'!AP181</f>
        <v/>
      </c>
      <c r="AQ13" s="361">
        <f>'03 Operational Assumptions'!AQ181</f>
        <v/>
      </c>
      <c r="AR13" s="361">
        <f>AVERAGE(AN13:AQ13)</f>
        <v/>
      </c>
    </row>
    <row r="14" ht="13.5" customHeight="1" s="290">
      <c r="A14" s="345" t="n"/>
      <c r="B14" s="370" t="inlineStr">
        <is>
          <t xml:space="preserve">  Deals/EPE/Qtr — Junior (Active)</t>
        </is>
      </c>
      <c r="C14" s="371" t="inlineStr">
        <is>
          <t>#/qtr</t>
        </is>
      </c>
      <c r="D14" s="394" t="inlineStr">
        <is>
          <t>← Tab 03 row 186</t>
        </is>
      </c>
      <c r="E14" s="361">
        <f>'03 Operational Assumptions'!E186</f>
        <v/>
      </c>
      <c r="F14" s="361">
        <f>'03 Operational Assumptions'!F186</f>
        <v/>
      </c>
      <c r="G14" s="361">
        <f>'03 Operational Assumptions'!G186</f>
        <v/>
      </c>
      <c r="H14" s="361">
        <f>'03 Operational Assumptions'!H186</f>
        <v/>
      </c>
      <c r="I14" s="361">
        <f>AVERAGE(E14:H14)</f>
        <v/>
      </c>
      <c r="J14" s="361">
        <f>'03 Operational Assumptions'!J186</f>
        <v/>
      </c>
      <c r="K14" s="361">
        <f>'03 Operational Assumptions'!K186</f>
        <v/>
      </c>
      <c r="L14" s="361">
        <f>'03 Operational Assumptions'!L186</f>
        <v/>
      </c>
      <c r="M14" s="361">
        <f>'03 Operational Assumptions'!M186</f>
        <v/>
      </c>
      <c r="N14" s="361">
        <f>AVERAGE(J14:M14)</f>
        <v/>
      </c>
      <c r="O14" s="361">
        <f>'03 Operational Assumptions'!O186</f>
        <v/>
      </c>
      <c r="P14" s="361">
        <f>'03 Operational Assumptions'!P186</f>
        <v/>
      </c>
      <c r="Q14" s="361">
        <f>'03 Operational Assumptions'!Q186</f>
        <v/>
      </c>
      <c r="R14" s="361">
        <f>'03 Operational Assumptions'!R186</f>
        <v/>
      </c>
      <c r="S14" s="361">
        <f>AVERAGE(O14:R14)</f>
        <v/>
      </c>
      <c r="T14" s="361">
        <f>'03 Operational Assumptions'!T186</f>
        <v/>
      </c>
      <c r="U14" s="361">
        <f>'03 Operational Assumptions'!U186</f>
        <v/>
      </c>
      <c r="V14" s="361">
        <f>'03 Operational Assumptions'!V186</f>
        <v/>
      </c>
      <c r="W14" s="361">
        <f>'03 Operational Assumptions'!W186</f>
        <v/>
      </c>
      <c r="X14" s="361">
        <f>AVERAGE(T14:W14)</f>
        <v/>
      </c>
      <c r="Y14" s="361">
        <f>'03 Operational Assumptions'!Y186</f>
        <v/>
      </c>
      <c r="Z14" s="361">
        <f>'03 Operational Assumptions'!Z186</f>
        <v/>
      </c>
      <c r="AA14" s="361">
        <f>'03 Operational Assumptions'!AA186</f>
        <v/>
      </c>
      <c r="AB14" s="361">
        <f>'03 Operational Assumptions'!AB186</f>
        <v/>
      </c>
      <c r="AC14" s="361">
        <f>AVERAGE(Y14:AB14)</f>
        <v/>
      </c>
      <c r="AD14" s="361">
        <f>'03 Operational Assumptions'!AD186</f>
        <v/>
      </c>
      <c r="AE14" s="361">
        <f>'03 Operational Assumptions'!AE186</f>
        <v/>
      </c>
      <c r="AF14" s="361">
        <f>'03 Operational Assumptions'!AF186</f>
        <v/>
      </c>
      <c r="AG14" s="361">
        <f>'03 Operational Assumptions'!AG186</f>
        <v/>
      </c>
      <c r="AH14" s="361">
        <f>AVERAGE(AD14:AG14)</f>
        <v/>
      </c>
      <c r="AI14" s="361">
        <f>'03 Operational Assumptions'!AI186</f>
        <v/>
      </c>
      <c r="AJ14" s="361">
        <f>'03 Operational Assumptions'!AJ186</f>
        <v/>
      </c>
      <c r="AK14" s="361">
        <f>'03 Operational Assumptions'!AK186</f>
        <v/>
      </c>
      <c r="AL14" s="361">
        <f>'03 Operational Assumptions'!AL186</f>
        <v/>
      </c>
      <c r="AM14" s="361">
        <f>AVERAGE(AI14:AL14)</f>
        <v/>
      </c>
      <c r="AN14" s="361">
        <f>'03 Operational Assumptions'!AN186</f>
        <v/>
      </c>
      <c r="AO14" s="361">
        <f>'03 Operational Assumptions'!AO186</f>
        <v/>
      </c>
      <c r="AP14" s="361">
        <f>'03 Operational Assumptions'!AP186</f>
        <v/>
      </c>
      <c r="AQ14" s="361">
        <f>'03 Operational Assumptions'!AQ186</f>
        <v/>
      </c>
      <c r="AR14" s="361">
        <f>AVERAGE(AN14:AQ14)</f>
        <v/>
      </c>
    </row>
    <row r="15" ht="13.5" customHeight="1" s="290">
      <c r="A15" s="345" t="n"/>
      <c r="B15" s="370" t="inlineStr">
        <is>
          <t xml:space="preserve">  Avg SF per Deal</t>
        </is>
      </c>
      <c r="C15" s="371" t="inlineStr">
        <is>
          <t>SF/deal</t>
        </is>
      </c>
      <c r="D15" s="394" t="inlineStr">
        <is>
          <t>← Tab 03 row 188</t>
        </is>
      </c>
      <c r="E15" s="361">
        <f>'03 Operational Assumptions'!E188</f>
        <v/>
      </c>
      <c r="F15" s="361">
        <f>'03 Operational Assumptions'!F188</f>
        <v/>
      </c>
      <c r="G15" s="361">
        <f>'03 Operational Assumptions'!G188</f>
        <v/>
      </c>
      <c r="H15" s="361">
        <f>'03 Operational Assumptions'!H188</f>
        <v/>
      </c>
      <c r="I15" s="361">
        <f>SUM(E15:H15)</f>
        <v/>
      </c>
      <c r="J15" s="361">
        <f>'03 Operational Assumptions'!J188</f>
        <v/>
      </c>
      <c r="K15" s="361">
        <f>'03 Operational Assumptions'!K188</f>
        <v/>
      </c>
      <c r="L15" s="361">
        <f>'03 Operational Assumptions'!L188</f>
        <v/>
      </c>
      <c r="M15" s="361">
        <f>'03 Operational Assumptions'!M188</f>
        <v/>
      </c>
      <c r="N15" s="361">
        <f>SUM(J15:M15)</f>
        <v/>
      </c>
      <c r="O15" s="361">
        <f>'03 Operational Assumptions'!O188</f>
        <v/>
      </c>
      <c r="P15" s="361">
        <f>'03 Operational Assumptions'!P188</f>
        <v/>
      </c>
      <c r="Q15" s="361">
        <f>'03 Operational Assumptions'!Q188</f>
        <v/>
      </c>
      <c r="R15" s="361">
        <f>'03 Operational Assumptions'!R188</f>
        <v/>
      </c>
      <c r="S15" s="361">
        <f>SUM(O15:R15)</f>
        <v/>
      </c>
      <c r="T15" s="361">
        <f>'03 Operational Assumptions'!T188</f>
        <v/>
      </c>
      <c r="U15" s="361">
        <f>'03 Operational Assumptions'!U188</f>
        <v/>
      </c>
      <c r="V15" s="361">
        <f>'03 Operational Assumptions'!V188</f>
        <v/>
      </c>
      <c r="W15" s="361">
        <f>'03 Operational Assumptions'!W188</f>
        <v/>
      </c>
      <c r="X15" s="361">
        <f>SUM(T15:W15)</f>
        <v/>
      </c>
      <c r="Y15" s="361">
        <f>'03 Operational Assumptions'!Y188</f>
        <v/>
      </c>
      <c r="Z15" s="361">
        <f>'03 Operational Assumptions'!Z188</f>
        <v/>
      </c>
      <c r="AA15" s="361">
        <f>'03 Operational Assumptions'!AA188</f>
        <v/>
      </c>
      <c r="AB15" s="361">
        <f>'03 Operational Assumptions'!AB188</f>
        <v/>
      </c>
      <c r="AC15" s="361">
        <f>SUM(Y15:AB15)</f>
        <v/>
      </c>
      <c r="AD15" s="361">
        <f>'03 Operational Assumptions'!AD188</f>
        <v/>
      </c>
      <c r="AE15" s="361">
        <f>'03 Operational Assumptions'!AE188</f>
        <v/>
      </c>
      <c r="AF15" s="361">
        <f>'03 Operational Assumptions'!AF188</f>
        <v/>
      </c>
      <c r="AG15" s="361">
        <f>'03 Operational Assumptions'!AG188</f>
        <v/>
      </c>
      <c r="AH15" s="361">
        <f>SUM(AD15:AG15)</f>
        <v/>
      </c>
      <c r="AI15" s="361">
        <f>'03 Operational Assumptions'!AI188</f>
        <v/>
      </c>
      <c r="AJ15" s="361">
        <f>'03 Operational Assumptions'!AJ188</f>
        <v/>
      </c>
      <c r="AK15" s="361">
        <f>'03 Operational Assumptions'!AK188</f>
        <v/>
      </c>
      <c r="AL15" s="361">
        <f>'03 Operational Assumptions'!AL188</f>
        <v/>
      </c>
      <c r="AM15" s="361">
        <f>SUM(AI15:AL15)</f>
        <v/>
      </c>
      <c r="AN15" s="361">
        <f>'03 Operational Assumptions'!AN188</f>
        <v/>
      </c>
      <c r="AO15" s="361">
        <f>'03 Operational Assumptions'!AO188</f>
        <v/>
      </c>
      <c r="AP15" s="361">
        <f>'03 Operational Assumptions'!AP188</f>
        <v/>
      </c>
      <c r="AQ15" s="361">
        <f>'03 Operational Assumptions'!AQ188</f>
        <v/>
      </c>
      <c r="AR15" s="361">
        <f>SUM(AN15:AQ15)</f>
        <v/>
      </c>
    </row>
    <row r="16" ht="13.5" customHeight="1" s="290">
      <c r="A16" s="345" t="n"/>
      <c r="B16" s="370" t="inlineStr">
        <is>
          <t xml:space="preserve">  Avg Lease Term</t>
        </is>
      </c>
      <c r="C16" s="371" t="inlineStr">
        <is>
          <t>years</t>
        </is>
      </c>
      <c r="D16" s="394" t="inlineStr">
        <is>
          <t>← Tab 03 row 189</t>
        </is>
      </c>
      <c r="E16" s="361">
        <f>'03 Operational Assumptions'!E189</f>
        <v/>
      </c>
      <c r="F16" s="361">
        <f>'03 Operational Assumptions'!F189</f>
        <v/>
      </c>
      <c r="G16" s="361">
        <f>'03 Operational Assumptions'!G189</f>
        <v/>
      </c>
      <c r="H16" s="361">
        <f>'03 Operational Assumptions'!H189</f>
        <v/>
      </c>
      <c r="I16" s="361">
        <f>SUM(E16:H16)</f>
        <v/>
      </c>
      <c r="J16" s="361">
        <f>'03 Operational Assumptions'!J189</f>
        <v/>
      </c>
      <c r="K16" s="361">
        <f>'03 Operational Assumptions'!K189</f>
        <v/>
      </c>
      <c r="L16" s="361">
        <f>'03 Operational Assumptions'!L189</f>
        <v/>
      </c>
      <c r="M16" s="361">
        <f>'03 Operational Assumptions'!M189</f>
        <v/>
      </c>
      <c r="N16" s="361">
        <f>SUM(J16:M16)</f>
        <v/>
      </c>
      <c r="O16" s="361">
        <f>'03 Operational Assumptions'!O189</f>
        <v/>
      </c>
      <c r="P16" s="361">
        <f>'03 Operational Assumptions'!P189</f>
        <v/>
      </c>
      <c r="Q16" s="361">
        <f>'03 Operational Assumptions'!Q189</f>
        <v/>
      </c>
      <c r="R16" s="361">
        <f>'03 Operational Assumptions'!R189</f>
        <v/>
      </c>
      <c r="S16" s="361">
        <f>SUM(O16:R16)</f>
        <v/>
      </c>
      <c r="T16" s="361">
        <f>'03 Operational Assumptions'!T189</f>
        <v/>
      </c>
      <c r="U16" s="361">
        <f>'03 Operational Assumptions'!U189</f>
        <v/>
      </c>
      <c r="V16" s="361">
        <f>'03 Operational Assumptions'!V189</f>
        <v/>
      </c>
      <c r="W16" s="361">
        <f>'03 Operational Assumptions'!W189</f>
        <v/>
      </c>
      <c r="X16" s="361">
        <f>SUM(T16:W16)</f>
        <v/>
      </c>
      <c r="Y16" s="361">
        <f>'03 Operational Assumptions'!Y189</f>
        <v/>
      </c>
      <c r="Z16" s="361">
        <f>'03 Operational Assumptions'!Z189</f>
        <v/>
      </c>
      <c r="AA16" s="361">
        <f>'03 Operational Assumptions'!AA189</f>
        <v/>
      </c>
      <c r="AB16" s="361">
        <f>'03 Operational Assumptions'!AB189</f>
        <v/>
      </c>
      <c r="AC16" s="361">
        <f>SUM(Y16:AB16)</f>
        <v/>
      </c>
      <c r="AD16" s="361">
        <f>'03 Operational Assumptions'!AD189</f>
        <v/>
      </c>
      <c r="AE16" s="361">
        <f>'03 Operational Assumptions'!AE189</f>
        <v/>
      </c>
      <c r="AF16" s="361">
        <f>'03 Operational Assumptions'!AF189</f>
        <v/>
      </c>
      <c r="AG16" s="361">
        <f>'03 Operational Assumptions'!AG189</f>
        <v/>
      </c>
      <c r="AH16" s="361">
        <f>SUM(AD16:AG16)</f>
        <v/>
      </c>
      <c r="AI16" s="361">
        <f>'03 Operational Assumptions'!AI189</f>
        <v/>
      </c>
      <c r="AJ16" s="361">
        <f>'03 Operational Assumptions'!AJ189</f>
        <v/>
      </c>
      <c r="AK16" s="361">
        <f>'03 Operational Assumptions'!AK189</f>
        <v/>
      </c>
      <c r="AL16" s="361">
        <f>'03 Operational Assumptions'!AL189</f>
        <v/>
      </c>
      <c r="AM16" s="361">
        <f>SUM(AI16:AL16)</f>
        <v/>
      </c>
      <c r="AN16" s="361">
        <f>'03 Operational Assumptions'!AN189</f>
        <v/>
      </c>
      <c r="AO16" s="361">
        <f>'03 Operational Assumptions'!AO189</f>
        <v/>
      </c>
      <c r="AP16" s="361">
        <f>'03 Operational Assumptions'!AP189</f>
        <v/>
      </c>
      <c r="AQ16" s="361">
        <f>'03 Operational Assumptions'!AQ189</f>
        <v/>
      </c>
      <c r="AR16" s="361">
        <f>SUM(AN16:AQ16)</f>
        <v/>
      </c>
    </row>
    <row r="17" ht="13.5" customHeight="1" s="290">
      <c r="A17" s="345" t="n"/>
      <c r="B17" s="370" t="inlineStr">
        <is>
          <t xml:space="preserve">  Tenant Rep Mix (% TR)</t>
        </is>
      </c>
      <c r="C17" s="371" t="inlineStr">
        <is>
          <t>% TR</t>
        </is>
      </c>
      <c r="D17" s="394" t="inlineStr">
        <is>
          <t>← Tab 03 row 190</t>
        </is>
      </c>
      <c r="E17" s="361">
        <f>'03 Operational Assumptions'!E190</f>
        <v/>
      </c>
      <c r="F17" s="361">
        <f>'03 Operational Assumptions'!F190</f>
        <v/>
      </c>
      <c r="G17" s="361">
        <f>'03 Operational Assumptions'!G190</f>
        <v/>
      </c>
      <c r="H17" s="361">
        <f>'03 Operational Assumptions'!H190</f>
        <v/>
      </c>
      <c r="I17" s="361">
        <f>AVERAGE(E17:H17)</f>
        <v/>
      </c>
      <c r="J17" s="361">
        <f>'03 Operational Assumptions'!J190</f>
        <v/>
      </c>
      <c r="K17" s="361">
        <f>'03 Operational Assumptions'!K190</f>
        <v/>
      </c>
      <c r="L17" s="361">
        <f>'03 Operational Assumptions'!L190</f>
        <v/>
      </c>
      <c r="M17" s="361">
        <f>'03 Operational Assumptions'!M190</f>
        <v/>
      </c>
      <c r="N17" s="361">
        <f>AVERAGE(J17:M17)</f>
        <v/>
      </c>
      <c r="O17" s="361">
        <f>'03 Operational Assumptions'!O190</f>
        <v/>
      </c>
      <c r="P17" s="361">
        <f>'03 Operational Assumptions'!P190</f>
        <v/>
      </c>
      <c r="Q17" s="361">
        <f>'03 Operational Assumptions'!Q190</f>
        <v/>
      </c>
      <c r="R17" s="361">
        <f>'03 Operational Assumptions'!R190</f>
        <v/>
      </c>
      <c r="S17" s="361">
        <f>AVERAGE(O17:R17)</f>
        <v/>
      </c>
      <c r="T17" s="361">
        <f>'03 Operational Assumptions'!T190</f>
        <v/>
      </c>
      <c r="U17" s="361">
        <f>'03 Operational Assumptions'!U190</f>
        <v/>
      </c>
      <c r="V17" s="361">
        <f>'03 Operational Assumptions'!V190</f>
        <v/>
      </c>
      <c r="W17" s="361">
        <f>'03 Operational Assumptions'!W190</f>
        <v/>
      </c>
      <c r="X17" s="361">
        <f>AVERAGE(T17:W17)</f>
        <v/>
      </c>
      <c r="Y17" s="361">
        <f>'03 Operational Assumptions'!Y190</f>
        <v/>
      </c>
      <c r="Z17" s="361">
        <f>'03 Operational Assumptions'!Z190</f>
        <v/>
      </c>
      <c r="AA17" s="361">
        <f>'03 Operational Assumptions'!AA190</f>
        <v/>
      </c>
      <c r="AB17" s="361">
        <f>'03 Operational Assumptions'!AB190</f>
        <v/>
      </c>
      <c r="AC17" s="361">
        <f>AVERAGE(Y17:AB17)</f>
        <v/>
      </c>
      <c r="AD17" s="361">
        <f>'03 Operational Assumptions'!AD190</f>
        <v/>
      </c>
      <c r="AE17" s="361">
        <f>'03 Operational Assumptions'!AE190</f>
        <v/>
      </c>
      <c r="AF17" s="361">
        <f>'03 Operational Assumptions'!AF190</f>
        <v/>
      </c>
      <c r="AG17" s="361">
        <f>'03 Operational Assumptions'!AG190</f>
        <v/>
      </c>
      <c r="AH17" s="361">
        <f>AVERAGE(AD17:AG17)</f>
        <v/>
      </c>
      <c r="AI17" s="361">
        <f>'03 Operational Assumptions'!AI190</f>
        <v/>
      </c>
      <c r="AJ17" s="361">
        <f>'03 Operational Assumptions'!AJ190</f>
        <v/>
      </c>
      <c r="AK17" s="361">
        <f>'03 Operational Assumptions'!AK190</f>
        <v/>
      </c>
      <c r="AL17" s="361">
        <f>'03 Operational Assumptions'!AL190</f>
        <v/>
      </c>
      <c r="AM17" s="361">
        <f>AVERAGE(AI17:AL17)</f>
        <v/>
      </c>
      <c r="AN17" s="361">
        <f>'03 Operational Assumptions'!AN190</f>
        <v/>
      </c>
      <c r="AO17" s="361">
        <f>'03 Operational Assumptions'!AO190</f>
        <v/>
      </c>
      <c r="AP17" s="361">
        <f>'03 Operational Assumptions'!AP190</f>
        <v/>
      </c>
      <c r="AQ17" s="361">
        <f>'03 Operational Assumptions'!AQ190</f>
        <v/>
      </c>
      <c r="AR17" s="361">
        <f>AVERAGE(AN17:AQ17)</f>
        <v/>
      </c>
    </row>
    <row r="18" ht="13.5" customHeight="1" s="290">
      <c r="A18" s="345" t="n"/>
      <c r="B18" s="370" t="inlineStr">
        <is>
          <t xml:space="preserve">  Market Avg Rent (Active)</t>
        </is>
      </c>
      <c r="C18" s="371" t="inlineStr">
        <is>
          <t>$/SF/yr</t>
        </is>
      </c>
      <c r="D18" s="394" t="inlineStr">
        <is>
          <t>← Tab 02 row 95 Active</t>
        </is>
      </c>
      <c r="E18" s="361">
        <f>'02 Market Assumptions'!E95</f>
        <v/>
      </c>
      <c r="F18" s="361">
        <f>'02 Market Assumptions'!F95</f>
        <v/>
      </c>
      <c r="G18" s="361">
        <f>'02 Market Assumptions'!G95</f>
        <v/>
      </c>
      <c r="H18" s="361">
        <f>'02 Market Assumptions'!H95</f>
        <v/>
      </c>
      <c r="I18" s="361">
        <f>AVERAGE(E18:H18)</f>
        <v/>
      </c>
      <c r="J18" s="361">
        <f>'02 Market Assumptions'!J95</f>
        <v/>
      </c>
      <c r="K18" s="361">
        <f>'02 Market Assumptions'!K95</f>
        <v/>
      </c>
      <c r="L18" s="361">
        <f>'02 Market Assumptions'!L95</f>
        <v/>
      </c>
      <c r="M18" s="361">
        <f>'02 Market Assumptions'!M95</f>
        <v/>
      </c>
      <c r="N18" s="361">
        <f>AVERAGE(J18:M18)</f>
        <v/>
      </c>
      <c r="O18" s="361">
        <f>'02 Market Assumptions'!O95</f>
        <v/>
      </c>
      <c r="P18" s="361">
        <f>'02 Market Assumptions'!P95</f>
        <v/>
      </c>
      <c r="Q18" s="361">
        <f>'02 Market Assumptions'!Q95</f>
        <v/>
      </c>
      <c r="R18" s="361">
        <f>'02 Market Assumptions'!R95</f>
        <v/>
      </c>
      <c r="S18" s="361">
        <f>AVERAGE(O18:R18)</f>
        <v/>
      </c>
      <c r="T18" s="361">
        <f>'02 Market Assumptions'!T95</f>
        <v/>
      </c>
      <c r="U18" s="361">
        <f>'02 Market Assumptions'!U95</f>
        <v/>
      </c>
      <c r="V18" s="361">
        <f>'02 Market Assumptions'!V95</f>
        <v/>
      </c>
      <c r="W18" s="361">
        <f>'02 Market Assumptions'!W95</f>
        <v/>
      </c>
      <c r="X18" s="361">
        <f>AVERAGE(T18:W18)</f>
        <v/>
      </c>
      <c r="Y18" s="361">
        <f>'02 Market Assumptions'!Y95</f>
        <v/>
      </c>
      <c r="Z18" s="361">
        <f>'02 Market Assumptions'!Z95</f>
        <v/>
      </c>
      <c r="AA18" s="361">
        <f>'02 Market Assumptions'!AA95</f>
        <v/>
      </c>
      <c r="AB18" s="361">
        <f>'02 Market Assumptions'!AB95</f>
        <v/>
      </c>
      <c r="AC18" s="361">
        <f>AVERAGE(Y18:AB18)</f>
        <v/>
      </c>
      <c r="AD18" s="361">
        <f>'02 Market Assumptions'!AD95</f>
        <v/>
      </c>
      <c r="AE18" s="361">
        <f>'02 Market Assumptions'!AE95</f>
        <v/>
      </c>
      <c r="AF18" s="361">
        <f>'02 Market Assumptions'!AF95</f>
        <v/>
      </c>
      <c r="AG18" s="361">
        <f>'02 Market Assumptions'!AG95</f>
        <v/>
      </c>
      <c r="AH18" s="361">
        <f>AVERAGE(AD18:AG18)</f>
        <v/>
      </c>
      <c r="AI18" s="361">
        <f>'02 Market Assumptions'!AI95</f>
        <v/>
      </c>
      <c r="AJ18" s="361">
        <f>'02 Market Assumptions'!AJ95</f>
        <v/>
      </c>
      <c r="AK18" s="361">
        <f>'02 Market Assumptions'!AK95</f>
        <v/>
      </c>
      <c r="AL18" s="361">
        <f>'02 Market Assumptions'!AL95</f>
        <v/>
      </c>
      <c r="AM18" s="361">
        <f>AVERAGE(AI18:AL18)</f>
        <v/>
      </c>
      <c r="AN18" s="361">
        <f>'02 Market Assumptions'!AN95</f>
        <v/>
      </c>
      <c r="AO18" s="361">
        <f>'02 Market Assumptions'!AO95</f>
        <v/>
      </c>
      <c r="AP18" s="361">
        <f>'02 Market Assumptions'!AP95</f>
        <v/>
      </c>
      <c r="AQ18" s="361">
        <f>'02 Market Assumptions'!AQ95</f>
        <v/>
      </c>
      <c r="AR18" s="361">
        <f>AVERAGE(AN18:AQ18)</f>
        <v/>
      </c>
    </row>
    <row r="19" ht="13.5" customHeight="1" s="290">
      <c r="A19" s="345" t="n"/>
      <c r="B19" s="370" t="inlineStr">
        <is>
          <t xml:space="preserve">  Commission Rate — Tenant Rep (Active)</t>
        </is>
      </c>
      <c r="C19" s="371" t="inlineStr">
        <is>
          <t>% of ALC</t>
        </is>
      </c>
      <c r="D19" s="394" t="inlineStr">
        <is>
          <t>← Tab 02 row 157 Active</t>
        </is>
      </c>
      <c r="E19" s="361">
        <f>'02 Market Assumptions'!E157</f>
        <v/>
      </c>
      <c r="F19" s="361">
        <f>'02 Market Assumptions'!F157</f>
        <v/>
      </c>
      <c r="G19" s="361">
        <f>'02 Market Assumptions'!G157</f>
        <v/>
      </c>
      <c r="H19" s="361">
        <f>'02 Market Assumptions'!H157</f>
        <v/>
      </c>
      <c r="I19" s="361">
        <f>AVERAGE(E19:H19)</f>
        <v/>
      </c>
      <c r="J19" s="361">
        <f>'02 Market Assumptions'!J157</f>
        <v/>
      </c>
      <c r="K19" s="361">
        <f>'02 Market Assumptions'!K157</f>
        <v/>
      </c>
      <c r="L19" s="361">
        <f>'02 Market Assumptions'!L157</f>
        <v/>
      </c>
      <c r="M19" s="361">
        <f>'02 Market Assumptions'!M157</f>
        <v/>
      </c>
      <c r="N19" s="361">
        <f>AVERAGE(J19:M19)</f>
        <v/>
      </c>
      <c r="O19" s="361">
        <f>'02 Market Assumptions'!O157</f>
        <v/>
      </c>
      <c r="P19" s="361">
        <f>'02 Market Assumptions'!P157</f>
        <v/>
      </c>
      <c r="Q19" s="361">
        <f>'02 Market Assumptions'!Q157</f>
        <v/>
      </c>
      <c r="R19" s="361">
        <f>'02 Market Assumptions'!R157</f>
        <v/>
      </c>
      <c r="S19" s="361">
        <f>AVERAGE(O19:R19)</f>
        <v/>
      </c>
      <c r="T19" s="361">
        <f>'02 Market Assumptions'!T157</f>
        <v/>
      </c>
      <c r="U19" s="361">
        <f>'02 Market Assumptions'!U157</f>
        <v/>
      </c>
      <c r="V19" s="361">
        <f>'02 Market Assumptions'!V157</f>
        <v/>
      </c>
      <c r="W19" s="361">
        <f>'02 Market Assumptions'!W157</f>
        <v/>
      </c>
      <c r="X19" s="361">
        <f>AVERAGE(T19:W19)</f>
        <v/>
      </c>
      <c r="Y19" s="361">
        <f>'02 Market Assumptions'!Y157</f>
        <v/>
      </c>
      <c r="Z19" s="361">
        <f>'02 Market Assumptions'!Z157</f>
        <v/>
      </c>
      <c r="AA19" s="361">
        <f>'02 Market Assumptions'!AA157</f>
        <v/>
      </c>
      <c r="AB19" s="361">
        <f>'02 Market Assumptions'!AB157</f>
        <v/>
      </c>
      <c r="AC19" s="361">
        <f>AVERAGE(Y19:AB19)</f>
        <v/>
      </c>
      <c r="AD19" s="361">
        <f>'02 Market Assumptions'!AD157</f>
        <v/>
      </c>
      <c r="AE19" s="361">
        <f>'02 Market Assumptions'!AE157</f>
        <v/>
      </c>
      <c r="AF19" s="361">
        <f>'02 Market Assumptions'!AF157</f>
        <v/>
      </c>
      <c r="AG19" s="361">
        <f>'02 Market Assumptions'!AG157</f>
        <v/>
      </c>
      <c r="AH19" s="361">
        <f>AVERAGE(AD19:AG19)</f>
        <v/>
      </c>
      <c r="AI19" s="361">
        <f>'02 Market Assumptions'!AI157</f>
        <v/>
      </c>
      <c r="AJ19" s="361">
        <f>'02 Market Assumptions'!AJ157</f>
        <v/>
      </c>
      <c r="AK19" s="361">
        <f>'02 Market Assumptions'!AK157</f>
        <v/>
      </c>
      <c r="AL19" s="361">
        <f>'02 Market Assumptions'!AL157</f>
        <v/>
      </c>
      <c r="AM19" s="361">
        <f>AVERAGE(AI19:AL19)</f>
        <v/>
      </c>
      <c r="AN19" s="361">
        <f>'02 Market Assumptions'!AN157</f>
        <v/>
      </c>
      <c r="AO19" s="361">
        <f>'02 Market Assumptions'!AO157</f>
        <v/>
      </c>
      <c r="AP19" s="361">
        <f>'02 Market Assumptions'!AP157</f>
        <v/>
      </c>
      <c r="AQ19" s="361">
        <f>'02 Market Assumptions'!AQ157</f>
        <v/>
      </c>
      <c r="AR19" s="361">
        <f>AVERAGE(AN19:AQ19)</f>
        <v/>
      </c>
    </row>
    <row r="20" ht="13.5" customHeight="1" s="290">
      <c r="A20" s="345" t="n"/>
      <c r="B20" s="370" t="inlineStr">
        <is>
          <t xml:space="preserve">  Commission Rate — Landlord Rep (Active)</t>
        </is>
      </c>
      <c r="C20" s="371" t="inlineStr">
        <is>
          <t>% of ALC</t>
        </is>
      </c>
      <c r="D20" s="394" t="inlineStr">
        <is>
          <t>← Tab 02 row 162 Active</t>
        </is>
      </c>
      <c r="E20" s="361">
        <f>'02 Market Assumptions'!E162</f>
        <v/>
      </c>
      <c r="F20" s="361">
        <f>'02 Market Assumptions'!F162</f>
        <v/>
      </c>
      <c r="G20" s="361">
        <f>'02 Market Assumptions'!G162</f>
        <v/>
      </c>
      <c r="H20" s="361">
        <f>'02 Market Assumptions'!H162</f>
        <v/>
      </c>
      <c r="I20" s="361">
        <f>AVERAGE(E20:H20)</f>
        <v/>
      </c>
      <c r="J20" s="361">
        <f>'02 Market Assumptions'!J162</f>
        <v/>
      </c>
      <c r="K20" s="361">
        <f>'02 Market Assumptions'!K162</f>
        <v/>
      </c>
      <c r="L20" s="361">
        <f>'02 Market Assumptions'!L162</f>
        <v/>
      </c>
      <c r="M20" s="361">
        <f>'02 Market Assumptions'!M162</f>
        <v/>
      </c>
      <c r="N20" s="361">
        <f>AVERAGE(J20:M20)</f>
        <v/>
      </c>
      <c r="O20" s="361">
        <f>'02 Market Assumptions'!O162</f>
        <v/>
      </c>
      <c r="P20" s="361">
        <f>'02 Market Assumptions'!P162</f>
        <v/>
      </c>
      <c r="Q20" s="361">
        <f>'02 Market Assumptions'!Q162</f>
        <v/>
      </c>
      <c r="R20" s="361">
        <f>'02 Market Assumptions'!R162</f>
        <v/>
      </c>
      <c r="S20" s="361">
        <f>AVERAGE(O20:R20)</f>
        <v/>
      </c>
      <c r="T20" s="361">
        <f>'02 Market Assumptions'!T162</f>
        <v/>
      </c>
      <c r="U20" s="361">
        <f>'02 Market Assumptions'!U162</f>
        <v/>
      </c>
      <c r="V20" s="361">
        <f>'02 Market Assumptions'!V162</f>
        <v/>
      </c>
      <c r="W20" s="361">
        <f>'02 Market Assumptions'!W162</f>
        <v/>
      </c>
      <c r="X20" s="361">
        <f>AVERAGE(T20:W20)</f>
        <v/>
      </c>
      <c r="Y20" s="361">
        <f>'02 Market Assumptions'!Y162</f>
        <v/>
      </c>
      <c r="Z20" s="361">
        <f>'02 Market Assumptions'!Z162</f>
        <v/>
      </c>
      <c r="AA20" s="361">
        <f>'02 Market Assumptions'!AA162</f>
        <v/>
      </c>
      <c r="AB20" s="361">
        <f>'02 Market Assumptions'!AB162</f>
        <v/>
      </c>
      <c r="AC20" s="361">
        <f>AVERAGE(Y20:AB20)</f>
        <v/>
      </c>
      <c r="AD20" s="361">
        <f>'02 Market Assumptions'!AD162</f>
        <v/>
      </c>
      <c r="AE20" s="361">
        <f>'02 Market Assumptions'!AE162</f>
        <v/>
      </c>
      <c r="AF20" s="361">
        <f>'02 Market Assumptions'!AF162</f>
        <v/>
      </c>
      <c r="AG20" s="361">
        <f>'02 Market Assumptions'!AG162</f>
        <v/>
      </c>
      <c r="AH20" s="361">
        <f>AVERAGE(AD20:AG20)</f>
        <v/>
      </c>
      <c r="AI20" s="361">
        <f>'02 Market Assumptions'!AI162</f>
        <v/>
      </c>
      <c r="AJ20" s="361">
        <f>'02 Market Assumptions'!AJ162</f>
        <v/>
      </c>
      <c r="AK20" s="361">
        <f>'02 Market Assumptions'!AK162</f>
        <v/>
      </c>
      <c r="AL20" s="361">
        <f>'02 Market Assumptions'!AL162</f>
        <v/>
      </c>
      <c r="AM20" s="361">
        <f>AVERAGE(AI20:AL20)</f>
        <v/>
      </c>
      <c r="AN20" s="361">
        <f>'02 Market Assumptions'!AN162</f>
        <v/>
      </c>
      <c r="AO20" s="361">
        <f>'02 Market Assumptions'!AO162</f>
        <v/>
      </c>
      <c r="AP20" s="361">
        <f>'02 Market Assumptions'!AP162</f>
        <v/>
      </c>
      <c r="AQ20" s="361">
        <f>'02 Market Assumptions'!AQ162</f>
        <v/>
      </c>
      <c r="AR20" s="361">
        <f>AVERAGE(AN20:AQ20)</f>
        <v/>
      </c>
    </row>
    <row r="21" ht="13.5" customHeight="1" s="290">
      <c r="A21" s="345" t="n"/>
      <c r="B21" s="370" t="inlineStr">
        <is>
          <t xml:space="preserve">  National Leasing Volume (Active)</t>
        </is>
      </c>
      <c r="C21" s="371" t="inlineStr">
        <is>
          <t>MSF/qtr</t>
        </is>
      </c>
      <c r="D21" s="394" t="inlineStr">
        <is>
          <t>← Tab 02 row 90 (market share denom)</t>
        </is>
      </c>
      <c r="E21" s="361">
        <f>'02 Market Assumptions'!E90</f>
        <v/>
      </c>
      <c r="F21" s="361">
        <f>'02 Market Assumptions'!F90</f>
        <v/>
      </c>
      <c r="G21" s="361">
        <f>'02 Market Assumptions'!G90</f>
        <v/>
      </c>
      <c r="H21" s="361">
        <f>'02 Market Assumptions'!H90</f>
        <v/>
      </c>
      <c r="I21" s="361">
        <f>SUM(E21:H21)</f>
        <v/>
      </c>
      <c r="J21" s="361">
        <f>'02 Market Assumptions'!J90</f>
        <v/>
      </c>
      <c r="K21" s="361">
        <f>'02 Market Assumptions'!K90</f>
        <v/>
      </c>
      <c r="L21" s="361">
        <f>'02 Market Assumptions'!L90</f>
        <v/>
      </c>
      <c r="M21" s="361">
        <f>'02 Market Assumptions'!M90</f>
        <v/>
      </c>
      <c r="N21" s="361">
        <f>SUM(J21:M21)</f>
        <v/>
      </c>
      <c r="O21" s="361">
        <f>'02 Market Assumptions'!O90</f>
        <v/>
      </c>
      <c r="P21" s="361">
        <f>'02 Market Assumptions'!P90</f>
        <v/>
      </c>
      <c r="Q21" s="361">
        <f>'02 Market Assumptions'!Q90</f>
        <v/>
      </c>
      <c r="R21" s="361">
        <f>'02 Market Assumptions'!R90</f>
        <v/>
      </c>
      <c r="S21" s="361">
        <f>SUM(O21:R21)</f>
        <v/>
      </c>
      <c r="T21" s="361">
        <f>'02 Market Assumptions'!T90</f>
        <v/>
      </c>
      <c r="U21" s="361">
        <f>'02 Market Assumptions'!U90</f>
        <v/>
      </c>
      <c r="V21" s="361">
        <f>'02 Market Assumptions'!V90</f>
        <v/>
      </c>
      <c r="W21" s="361">
        <f>'02 Market Assumptions'!W90</f>
        <v/>
      </c>
      <c r="X21" s="361">
        <f>SUM(T21:W21)</f>
        <v/>
      </c>
      <c r="Y21" s="361">
        <f>'02 Market Assumptions'!Y90</f>
        <v/>
      </c>
      <c r="Z21" s="361">
        <f>'02 Market Assumptions'!Z90</f>
        <v/>
      </c>
      <c r="AA21" s="361">
        <f>'02 Market Assumptions'!AA90</f>
        <v/>
      </c>
      <c r="AB21" s="361">
        <f>'02 Market Assumptions'!AB90</f>
        <v/>
      </c>
      <c r="AC21" s="361">
        <f>SUM(Y21:AB21)</f>
        <v/>
      </c>
      <c r="AD21" s="361">
        <f>'02 Market Assumptions'!AD90</f>
        <v/>
      </c>
      <c r="AE21" s="361">
        <f>'02 Market Assumptions'!AE90</f>
        <v/>
      </c>
      <c r="AF21" s="361">
        <f>'02 Market Assumptions'!AF90</f>
        <v/>
      </c>
      <c r="AG21" s="361">
        <f>'02 Market Assumptions'!AG90</f>
        <v/>
      </c>
      <c r="AH21" s="361">
        <f>SUM(AD21:AG21)</f>
        <v/>
      </c>
      <c r="AI21" s="361">
        <f>'02 Market Assumptions'!AI90</f>
        <v/>
      </c>
      <c r="AJ21" s="361">
        <f>'02 Market Assumptions'!AJ90</f>
        <v/>
      </c>
      <c r="AK21" s="361">
        <f>'02 Market Assumptions'!AK90</f>
        <v/>
      </c>
      <c r="AL21" s="361">
        <f>'02 Market Assumptions'!AL90</f>
        <v/>
      </c>
      <c r="AM21" s="361">
        <f>SUM(AI21:AL21)</f>
        <v/>
      </c>
      <c r="AN21" s="361">
        <f>'02 Market Assumptions'!AN90</f>
        <v/>
      </c>
      <c r="AO21" s="361">
        <f>'02 Market Assumptions'!AO90</f>
        <v/>
      </c>
      <c r="AP21" s="361">
        <f>'02 Market Assumptions'!AP90</f>
        <v/>
      </c>
      <c r="AQ21" s="361">
        <f>'02 Market Assumptions'!AQ90</f>
        <v/>
      </c>
      <c r="AR21" s="361">
        <f>SUM(AN21:AQ21)</f>
        <v/>
      </c>
    </row>
    <row r="22" ht="3.75" customHeight="1" s="290"/>
    <row r="23" ht="15" customHeight="1" s="290">
      <c r="A23" s="307" t="inlineStr">
        <is>
          <t xml:space="preserve">    A2 — DEAL COUNT BUILD</t>
        </is>
      </c>
    </row>
    <row r="24" ht="3" customHeight="1" s="290"/>
    <row r="25" ht="13.5" customHeight="1" s="290">
      <c r="A25" s="395" t="n"/>
      <c r="B25" s="373" t="inlineStr">
        <is>
          <t xml:space="preserve">  Deals — Rainmaker</t>
        </is>
      </c>
      <c r="C25" s="374" t="inlineStr">
        <is>
          <t>#/qtr</t>
        </is>
      </c>
      <c r="D25" s="396" t="inlineStr">
        <is>
          <t xml:space="preserve"> epe_rm × Deals/EPE_RM</t>
        </is>
      </c>
      <c r="E25" s="376">
        <f>E9*E12</f>
        <v/>
      </c>
      <c r="F25" s="376">
        <f>F9*F12</f>
        <v/>
      </c>
      <c r="G25" s="376">
        <f>G9*G12</f>
        <v/>
      </c>
      <c r="H25" s="376">
        <f>H9*H12</f>
        <v/>
      </c>
      <c r="I25" s="376">
        <f>SUM(E25:H25)</f>
        <v/>
      </c>
      <c r="J25" s="376">
        <f>J9*J12</f>
        <v/>
      </c>
      <c r="K25" s="376">
        <f>K9*K12</f>
        <v/>
      </c>
      <c r="L25" s="376">
        <f>L9*L12</f>
        <v/>
      </c>
      <c r="M25" s="376">
        <f>M9*M12</f>
        <v/>
      </c>
      <c r="N25" s="376">
        <f>SUM(J25:M25)</f>
        <v/>
      </c>
      <c r="O25" s="376">
        <f>O9*O12</f>
        <v/>
      </c>
      <c r="P25" s="376">
        <f>P9*P12</f>
        <v/>
      </c>
      <c r="Q25" s="376">
        <f>Q9*Q12</f>
        <v/>
      </c>
      <c r="R25" s="376">
        <f>R9*R12</f>
        <v/>
      </c>
      <c r="S25" s="376">
        <f>SUM(O25:R25)</f>
        <v/>
      </c>
      <c r="T25" s="376">
        <f>T9*T12</f>
        <v/>
      </c>
      <c r="U25" s="376">
        <f>U9*U12</f>
        <v/>
      </c>
      <c r="V25" s="376">
        <f>V9*V12</f>
        <v/>
      </c>
      <c r="W25" s="376">
        <f>W9*W12</f>
        <v/>
      </c>
      <c r="X25" s="376">
        <f>SUM(T25:W25)</f>
        <v/>
      </c>
      <c r="Y25" s="376">
        <f>Y9*Y12</f>
        <v/>
      </c>
      <c r="Z25" s="376">
        <f>Z9*Z12</f>
        <v/>
      </c>
      <c r="AA25" s="376">
        <f>AA9*AA12</f>
        <v/>
      </c>
      <c r="AB25" s="376">
        <f>AB9*AB12</f>
        <v/>
      </c>
      <c r="AC25" s="376">
        <f>SUM(Y25:AB25)</f>
        <v/>
      </c>
      <c r="AD25" s="376">
        <f>AD9*AD12</f>
        <v/>
      </c>
      <c r="AE25" s="376">
        <f>AE9*AE12</f>
        <v/>
      </c>
      <c r="AF25" s="376">
        <f>AF9*AF12</f>
        <v/>
      </c>
      <c r="AG25" s="376">
        <f>AG9*AG12</f>
        <v/>
      </c>
      <c r="AH25" s="376">
        <f>SUM(AD25:AG25)</f>
        <v/>
      </c>
      <c r="AI25" s="376">
        <f>AI9*AI12</f>
        <v/>
      </c>
      <c r="AJ25" s="376">
        <f>AJ9*AJ12</f>
        <v/>
      </c>
      <c r="AK25" s="376">
        <f>AK9*AK12</f>
        <v/>
      </c>
      <c r="AL25" s="376">
        <f>AL9*AL12</f>
        <v/>
      </c>
      <c r="AM25" s="376">
        <f>SUM(AI25:AL25)</f>
        <v/>
      </c>
      <c r="AN25" s="376">
        <f>AN9*AN12</f>
        <v/>
      </c>
      <c r="AO25" s="376">
        <f>AO9*AO12</f>
        <v/>
      </c>
      <c r="AP25" s="376">
        <f>AP9*AP12</f>
        <v/>
      </c>
      <c r="AQ25" s="376">
        <f>AQ9*AQ12</f>
        <v/>
      </c>
      <c r="AR25" s="376">
        <f>SUM(AN25:AQ25)</f>
        <v/>
      </c>
    </row>
    <row r="26" ht="13.5" customHeight="1" s="290">
      <c r="A26" s="395" t="n"/>
      <c r="B26" s="373" t="inlineStr">
        <is>
          <t xml:space="preserve">  Deals — Core</t>
        </is>
      </c>
      <c r="C26" s="374" t="inlineStr">
        <is>
          <t>#/qtr</t>
        </is>
      </c>
      <c r="D26" s="396" t="inlineStr">
        <is>
          <t xml:space="preserve"> epe_core × Deals/EPE_Core</t>
        </is>
      </c>
      <c r="E26" s="376">
        <f>E10*E13</f>
        <v/>
      </c>
      <c r="F26" s="376">
        <f>F10*F13</f>
        <v/>
      </c>
      <c r="G26" s="376">
        <f>G10*G13</f>
        <v/>
      </c>
      <c r="H26" s="376">
        <f>H10*H13</f>
        <v/>
      </c>
      <c r="I26" s="376">
        <f>SUM(E26:H26)</f>
        <v/>
      </c>
      <c r="J26" s="376">
        <f>J10*J13</f>
        <v/>
      </c>
      <c r="K26" s="376">
        <f>K10*K13</f>
        <v/>
      </c>
      <c r="L26" s="376">
        <f>L10*L13</f>
        <v/>
      </c>
      <c r="M26" s="376">
        <f>M10*M13</f>
        <v/>
      </c>
      <c r="N26" s="376">
        <f>SUM(J26:M26)</f>
        <v/>
      </c>
      <c r="O26" s="376">
        <f>O10*O13</f>
        <v/>
      </c>
      <c r="P26" s="376">
        <f>P10*P13</f>
        <v/>
      </c>
      <c r="Q26" s="376">
        <f>Q10*Q13</f>
        <v/>
      </c>
      <c r="R26" s="376">
        <f>R10*R13</f>
        <v/>
      </c>
      <c r="S26" s="376">
        <f>SUM(O26:R26)</f>
        <v/>
      </c>
      <c r="T26" s="376">
        <f>T10*T13</f>
        <v/>
      </c>
      <c r="U26" s="376">
        <f>U10*U13</f>
        <v/>
      </c>
      <c r="V26" s="376">
        <f>V10*V13</f>
        <v/>
      </c>
      <c r="W26" s="376">
        <f>W10*W13</f>
        <v/>
      </c>
      <c r="X26" s="376">
        <f>SUM(T26:W26)</f>
        <v/>
      </c>
      <c r="Y26" s="376">
        <f>Y10*Y13</f>
        <v/>
      </c>
      <c r="Z26" s="376">
        <f>Z10*Z13</f>
        <v/>
      </c>
      <c r="AA26" s="376">
        <f>AA10*AA13</f>
        <v/>
      </c>
      <c r="AB26" s="376">
        <f>AB10*AB13</f>
        <v/>
      </c>
      <c r="AC26" s="376">
        <f>SUM(Y26:AB26)</f>
        <v/>
      </c>
      <c r="AD26" s="376">
        <f>AD10*AD13</f>
        <v/>
      </c>
      <c r="AE26" s="376">
        <f>AE10*AE13</f>
        <v/>
      </c>
      <c r="AF26" s="376">
        <f>AF10*AF13</f>
        <v/>
      </c>
      <c r="AG26" s="376">
        <f>AG10*AG13</f>
        <v/>
      </c>
      <c r="AH26" s="376">
        <f>SUM(AD26:AG26)</f>
        <v/>
      </c>
      <c r="AI26" s="376">
        <f>AI10*AI13</f>
        <v/>
      </c>
      <c r="AJ26" s="376">
        <f>AJ10*AJ13</f>
        <v/>
      </c>
      <c r="AK26" s="376">
        <f>AK10*AK13</f>
        <v/>
      </c>
      <c r="AL26" s="376">
        <f>AL10*AL13</f>
        <v/>
      </c>
      <c r="AM26" s="376">
        <f>SUM(AI26:AL26)</f>
        <v/>
      </c>
      <c r="AN26" s="376">
        <f>AN10*AN13</f>
        <v/>
      </c>
      <c r="AO26" s="376">
        <f>AO10*AO13</f>
        <v/>
      </c>
      <c r="AP26" s="376">
        <f>AP10*AP13</f>
        <v/>
      </c>
      <c r="AQ26" s="376">
        <f>AQ10*AQ13</f>
        <v/>
      </c>
      <c r="AR26" s="376">
        <f>SUM(AN26:AQ26)</f>
        <v/>
      </c>
    </row>
    <row r="27" ht="13.5" customHeight="1" s="290">
      <c r="A27" s="395" t="n"/>
      <c r="B27" s="373" t="inlineStr">
        <is>
          <t xml:space="preserve">  Deals — Junior</t>
        </is>
      </c>
      <c r="C27" s="374" t="inlineStr">
        <is>
          <t>#/qtr</t>
        </is>
      </c>
      <c r="D27" s="396" t="inlineStr">
        <is>
          <t xml:space="preserve"> epe_jr × Deals/EPE_Jr</t>
        </is>
      </c>
      <c r="E27" s="376">
        <f>E11*E14</f>
        <v/>
      </c>
      <c r="F27" s="376">
        <f>F11*F14</f>
        <v/>
      </c>
      <c r="G27" s="376">
        <f>G11*G14</f>
        <v/>
      </c>
      <c r="H27" s="376">
        <f>H11*H14</f>
        <v/>
      </c>
      <c r="I27" s="376">
        <f>SUM(E27:H27)</f>
        <v/>
      </c>
      <c r="J27" s="376">
        <f>J11*J14</f>
        <v/>
      </c>
      <c r="K27" s="376">
        <f>K11*K14</f>
        <v/>
      </c>
      <c r="L27" s="376">
        <f>L11*L14</f>
        <v/>
      </c>
      <c r="M27" s="376">
        <f>M11*M14</f>
        <v/>
      </c>
      <c r="N27" s="376">
        <f>SUM(J27:M27)</f>
        <v/>
      </c>
      <c r="O27" s="376">
        <f>O11*O14</f>
        <v/>
      </c>
      <c r="P27" s="376">
        <f>P11*P14</f>
        <v/>
      </c>
      <c r="Q27" s="376">
        <f>Q11*Q14</f>
        <v/>
      </c>
      <c r="R27" s="376">
        <f>R11*R14</f>
        <v/>
      </c>
      <c r="S27" s="376">
        <f>SUM(O27:R27)</f>
        <v/>
      </c>
      <c r="T27" s="376">
        <f>T11*T14</f>
        <v/>
      </c>
      <c r="U27" s="376">
        <f>U11*U14</f>
        <v/>
      </c>
      <c r="V27" s="376">
        <f>V11*V14</f>
        <v/>
      </c>
      <c r="W27" s="376">
        <f>W11*W14</f>
        <v/>
      </c>
      <c r="X27" s="376">
        <f>SUM(T27:W27)</f>
        <v/>
      </c>
      <c r="Y27" s="376">
        <f>Y11*Y14</f>
        <v/>
      </c>
      <c r="Z27" s="376">
        <f>Z11*Z14</f>
        <v/>
      </c>
      <c r="AA27" s="376">
        <f>AA11*AA14</f>
        <v/>
      </c>
      <c r="AB27" s="376">
        <f>AB11*AB14</f>
        <v/>
      </c>
      <c r="AC27" s="376">
        <f>SUM(Y27:AB27)</f>
        <v/>
      </c>
      <c r="AD27" s="376">
        <f>AD11*AD14</f>
        <v/>
      </c>
      <c r="AE27" s="376">
        <f>AE11*AE14</f>
        <v/>
      </c>
      <c r="AF27" s="376">
        <f>AF11*AF14</f>
        <v/>
      </c>
      <c r="AG27" s="376">
        <f>AG11*AG14</f>
        <v/>
      </c>
      <c r="AH27" s="376">
        <f>SUM(AD27:AG27)</f>
        <v/>
      </c>
      <c r="AI27" s="376">
        <f>AI11*AI14</f>
        <v/>
      </c>
      <c r="AJ27" s="376">
        <f>AJ11*AJ14</f>
        <v/>
      </c>
      <c r="AK27" s="376">
        <f>AK11*AK14</f>
        <v/>
      </c>
      <c r="AL27" s="376">
        <f>AL11*AL14</f>
        <v/>
      </c>
      <c r="AM27" s="376">
        <f>SUM(AI27:AL27)</f>
        <v/>
      </c>
      <c r="AN27" s="376">
        <f>AN11*AN14</f>
        <v/>
      </c>
      <c r="AO27" s="376">
        <f>AO11*AO14</f>
        <v/>
      </c>
      <c r="AP27" s="376">
        <f>AP11*AP14</f>
        <v/>
      </c>
      <c r="AQ27" s="376">
        <f>AQ11*AQ14</f>
        <v/>
      </c>
      <c r="AR27" s="376">
        <f>SUM(AN27:AQ27)</f>
        <v/>
      </c>
    </row>
    <row r="28" ht="13.5" customHeight="1" s="290">
      <c r="A28" s="397" t="n"/>
      <c r="B28" s="398" t="inlineStr">
        <is>
          <t xml:space="preserve">  Total Leasing Deals</t>
        </is>
      </c>
      <c r="C28" s="399" t="inlineStr">
        <is>
          <t>#/qtr</t>
        </is>
      </c>
      <c r="D28" s="400" t="inlineStr">
        <is>
          <t xml:space="preserve"> sum of tier deals</t>
        </is>
      </c>
      <c r="E28" s="401">
        <f>E25+E26+E27</f>
        <v/>
      </c>
      <c r="F28" s="401">
        <f>F25+F26+F27</f>
        <v/>
      </c>
      <c r="G28" s="401">
        <f>G25+G26+G27</f>
        <v/>
      </c>
      <c r="H28" s="401">
        <f>H25+H26+H27</f>
        <v/>
      </c>
      <c r="I28" s="401">
        <f>SUM(E28:H28)</f>
        <v/>
      </c>
      <c r="J28" s="401">
        <f>J25+J26+J27</f>
        <v/>
      </c>
      <c r="K28" s="401">
        <f>K25+K26+K27</f>
        <v/>
      </c>
      <c r="L28" s="401">
        <f>L25+L26+L27</f>
        <v/>
      </c>
      <c r="M28" s="401">
        <f>M25+M26+M27</f>
        <v/>
      </c>
      <c r="N28" s="401">
        <f>SUM(J28:M28)</f>
        <v/>
      </c>
      <c r="O28" s="401">
        <f>O25+O26+O27</f>
        <v/>
      </c>
      <c r="P28" s="401">
        <f>P25+P26+P27</f>
        <v/>
      </c>
      <c r="Q28" s="401">
        <f>Q25+Q26+Q27</f>
        <v/>
      </c>
      <c r="R28" s="401">
        <f>R25+R26+R27</f>
        <v/>
      </c>
      <c r="S28" s="401">
        <f>SUM(O28:R28)</f>
        <v/>
      </c>
      <c r="T28" s="401">
        <f>T25+T26+T27</f>
        <v/>
      </c>
      <c r="U28" s="401">
        <f>U25+U26+U27</f>
        <v/>
      </c>
      <c r="V28" s="401">
        <f>V25+V26+V27</f>
        <v/>
      </c>
      <c r="W28" s="401">
        <f>W25+W26+W27</f>
        <v/>
      </c>
      <c r="X28" s="401">
        <f>SUM(T28:W28)</f>
        <v/>
      </c>
      <c r="Y28" s="401">
        <f>Y25+Y26+Y27</f>
        <v/>
      </c>
      <c r="Z28" s="401">
        <f>Z25+Z26+Z27</f>
        <v/>
      </c>
      <c r="AA28" s="401">
        <f>AA25+AA26+AA27</f>
        <v/>
      </c>
      <c r="AB28" s="401">
        <f>AB25+AB26+AB27</f>
        <v/>
      </c>
      <c r="AC28" s="401">
        <f>SUM(Y28:AB28)</f>
        <v/>
      </c>
      <c r="AD28" s="401">
        <f>AD25+AD26+AD27</f>
        <v/>
      </c>
      <c r="AE28" s="401">
        <f>AE25+AE26+AE27</f>
        <v/>
      </c>
      <c r="AF28" s="401">
        <f>AF25+AF26+AF27</f>
        <v/>
      </c>
      <c r="AG28" s="401">
        <f>AG25+AG26+AG27</f>
        <v/>
      </c>
      <c r="AH28" s="401">
        <f>SUM(AD28:AG28)</f>
        <v/>
      </c>
      <c r="AI28" s="401">
        <f>AI25+AI26+AI27</f>
        <v/>
      </c>
      <c r="AJ28" s="401">
        <f>AJ25+AJ26+AJ27</f>
        <v/>
      </c>
      <c r="AK28" s="401">
        <f>AK25+AK26+AK27</f>
        <v/>
      </c>
      <c r="AL28" s="401">
        <f>AL25+AL26+AL27</f>
        <v/>
      </c>
      <c r="AM28" s="401">
        <f>SUM(AI28:AL28)</f>
        <v/>
      </c>
      <c r="AN28" s="401">
        <f>AN25+AN26+AN27</f>
        <v/>
      </c>
      <c r="AO28" s="401">
        <f>AO25+AO26+AO27</f>
        <v/>
      </c>
      <c r="AP28" s="401">
        <f>AP25+AP26+AP27</f>
        <v/>
      </c>
      <c r="AQ28" s="401">
        <f>AQ25+AQ26+AQ27</f>
        <v/>
      </c>
      <c r="AR28" s="401">
        <f>SUM(AN28:AQ28)</f>
        <v/>
      </c>
    </row>
    <row r="29" ht="13.5" customHeight="1" s="290">
      <c r="A29" s="395" t="n"/>
      <c r="B29" s="373" t="inlineStr">
        <is>
          <t xml:space="preserve">  Deals — Tenant Rep</t>
        </is>
      </c>
      <c r="C29" s="374" t="inlineStr">
        <is>
          <t>#/qtr</t>
        </is>
      </c>
      <c r="D29" s="396" t="inlineStr">
        <is>
          <t xml:space="preserve"> total × TR Mix %</t>
        </is>
      </c>
      <c r="E29" s="376">
        <f>E28*E17</f>
        <v/>
      </c>
      <c r="F29" s="376">
        <f>F28*F17</f>
        <v/>
      </c>
      <c r="G29" s="376">
        <f>G28*G17</f>
        <v/>
      </c>
      <c r="H29" s="376">
        <f>H28*H17</f>
        <v/>
      </c>
      <c r="I29" s="376">
        <f>SUM(E29:H29)</f>
        <v/>
      </c>
      <c r="J29" s="376">
        <f>J28*J17</f>
        <v/>
      </c>
      <c r="K29" s="376">
        <f>K28*K17</f>
        <v/>
      </c>
      <c r="L29" s="376">
        <f>L28*L17</f>
        <v/>
      </c>
      <c r="M29" s="376">
        <f>M28*M17</f>
        <v/>
      </c>
      <c r="N29" s="376">
        <f>SUM(J29:M29)</f>
        <v/>
      </c>
      <c r="O29" s="376">
        <f>O28*O17</f>
        <v/>
      </c>
      <c r="P29" s="376">
        <f>P28*P17</f>
        <v/>
      </c>
      <c r="Q29" s="376">
        <f>Q28*Q17</f>
        <v/>
      </c>
      <c r="R29" s="376">
        <f>R28*R17</f>
        <v/>
      </c>
      <c r="S29" s="376">
        <f>SUM(O29:R29)</f>
        <v/>
      </c>
      <c r="T29" s="376">
        <f>T28*T17</f>
        <v/>
      </c>
      <c r="U29" s="376">
        <f>U28*U17</f>
        <v/>
      </c>
      <c r="V29" s="376">
        <f>V28*V17</f>
        <v/>
      </c>
      <c r="W29" s="376">
        <f>W28*W17</f>
        <v/>
      </c>
      <c r="X29" s="376">
        <f>SUM(T29:W29)</f>
        <v/>
      </c>
      <c r="Y29" s="376">
        <f>Y28*Y17</f>
        <v/>
      </c>
      <c r="Z29" s="376">
        <f>Z28*Z17</f>
        <v/>
      </c>
      <c r="AA29" s="376">
        <f>AA28*AA17</f>
        <v/>
      </c>
      <c r="AB29" s="376">
        <f>AB28*AB17</f>
        <v/>
      </c>
      <c r="AC29" s="376">
        <f>SUM(Y29:AB29)</f>
        <v/>
      </c>
      <c r="AD29" s="376">
        <f>AD28*AD17</f>
        <v/>
      </c>
      <c r="AE29" s="376">
        <f>AE28*AE17</f>
        <v/>
      </c>
      <c r="AF29" s="376">
        <f>AF28*AF17</f>
        <v/>
      </c>
      <c r="AG29" s="376">
        <f>AG28*AG17</f>
        <v/>
      </c>
      <c r="AH29" s="376">
        <f>SUM(AD29:AG29)</f>
        <v/>
      </c>
      <c r="AI29" s="376">
        <f>AI28*AI17</f>
        <v/>
      </c>
      <c r="AJ29" s="376">
        <f>AJ28*AJ17</f>
        <v/>
      </c>
      <c r="AK29" s="376">
        <f>AK28*AK17</f>
        <v/>
      </c>
      <c r="AL29" s="376">
        <f>AL28*AL17</f>
        <v/>
      </c>
      <c r="AM29" s="376">
        <f>SUM(AI29:AL29)</f>
        <v/>
      </c>
      <c r="AN29" s="376">
        <f>AN28*AN17</f>
        <v/>
      </c>
      <c r="AO29" s="376">
        <f>AO28*AO17</f>
        <v/>
      </c>
      <c r="AP29" s="376">
        <f>AP28*AP17</f>
        <v/>
      </c>
      <c r="AQ29" s="376">
        <f>AQ28*AQ17</f>
        <v/>
      </c>
      <c r="AR29" s="376">
        <f>SUM(AN29:AQ29)</f>
        <v/>
      </c>
    </row>
    <row r="30" ht="13.5" customHeight="1" s="290">
      <c r="A30" s="395" t="n"/>
      <c r="B30" s="373" t="inlineStr">
        <is>
          <t xml:space="preserve">  Deals — Landlord Rep</t>
        </is>
      </c>
      <c r="C30" s="374" t="inlineStr">
        <is>
          <t>#/qtr</t>
        </is>
      </c>
      <c r="D30" s="396" t="inlineStr">
        <is>
          <t xml:space="preserve"> total × (1 − TR Mix)</t>
        </is>
      </c>
      <c r="E30" s="376">
        <f>E28*(1-E17)</f>
        <v/>
      </c>
      <c r="F30" s="376">
        <f>F28*(1-F17)</f>
        <v/>
      </c>
      <c r="G30" s="376">
        <f>G28*(1-G17)</f>
        <v/>
      </c>
      <c r="H30" s="376">
        <f>H28*(1-H17)</f>
        <v/>
      </c>
      <c r="I30" s="376">
        <f>SUM(E30:H30)</f>
        <v/>
      </c>
      <c r="J30" s="376">
        <f>J28*(1-J17)</f>
        <v/>
      </c>
      <c r="K30" s="376">
        <f>K28*(1-K17)</f>
        <v/>
      </c>
      <c r="L30" s="376">
        <f>L28*(1-L17)</f>
        <v/>
      </c>
      <c r="M30" s="376">
        <f>M28*(1-M17)</f>
        <v/>
      </c>
      <c r="N30" s="376">
        <f>SUM(J30:M30)</f>
        <v/>
      </c>
      <c r="O30" s="376">
        <f>O28*(1-O17)</f>
        <v/>
      </c>
      <c r="P30" s="376">
        <f>P28*(1-P17)</f>
        <v/>
      </c>
      <c r="Q30" s="376">
        <f>Q28*(1-Q17)</f>
        <v/>
      </c>
      <c r="R30" s="376">
        <f>R28*(1-R17)</f>
        <v/>
      </c>
      <c r="S30" s="376">
        <f>SUM(O30:R30)</f>
        <v/>
      </c>
      <c r="T30" s="376">
        <f>T28*(1-T17)</f>
        <v/>
      </c>
      <c r="U30" s="376">
        <f>U28*(1-U17)</f>
        <v/>
      </c>
      <c r="V30" s="376">
        <f>V28*(1-V17)</f>
        <v/>
      </c>
      <c r="W30" s="376">
        <f>W28*(1-W17)</f>
        <v/>
      </c>
      <c r="X30" s="376">
        <f>SUM(T30:W30)</f>
        <v/>
      </c>
      <c r="Y30" s="376">
        <f>Y28*(1-Y17)</f>
        <v/>
      </c>
      <c r="Z30" s="376">
        <f>Z28*(1-Z17)</f>
        <v/>
      </c>
      <c r="AA30" s="376">
        <f>AA28*(1-AA17)</f>
        <v/>
      </c>
      <c r="AB30" s="376">
        <f>AB28*(1-AB17)</f>
        <v/>
      </c>
      <c r="AC30" s="376">
        <f>SUM(Y30:AB30)</f>
        <v/>
      </c>
      <c r="AD30" s="376">
        <f>AD28*(1-AD17)</f>
        <v/>
      </c>
      <c r="AE30" s="376">
        <f>AE28*(1-AE17)</f>
        <v/>
      </c>
      <c r="AF30" s="376">
        <f>AF28*(1-AF17)</f>
        <v/>
      </c>
      <c r="AG30" s="376">
        <f>AG28*(1-AG17)</f>
        <v/>
      </c>
      <c r="AH30" s="376">
        <f>SUM(AD30:AG30)</f>
        <v/>
      </c>
      <c r="AI30" s="376">
        <f>AI28*(1-AI17)</f>
        <v/>
      </c>
      <c r="AJ30" s="376">
        <f>AJ28*(1-AJ17)</f>
        <v/>
      </c>
      <c r="AK30" s="376">
        <f>AK28*(1-AK17)</f>
        <v/>
      </c>
      <c r="AL30" s="376">
        <f>AL28*(1-AL17)</f>
        <v/>
      </c>
      <c r="AM30" s="376">
        <f>SUM(AI30:AL30)</f>
        <v/>
      </c>
      <c r="AN30" s="376">
        <f>AN28*(1-AN17)</f>
        <v/>
      </c>
      <c r="AO30" s="376">
        <f>AO28*(1-AO17)</f>
        <v/>
      </c>
      <c r="AP30" s="376">
        <f>AP28*(1-AP17)</f>
        <v/>
      </c>
      <c r="AQ30" s="376">
        <f>AQ28*(1-AQ17)</f>
        <v/>
      </c>
      <c r="AR30" s="376">
        <f>SUM(AN30:AQ30)</f>
        <v/>
      </c>
    </row>
    <row r="31" ht="3.75" customHeight="1" s="290"/>
    <row r="32" ht="15" customHeight="1" s="290">
      <c r="A32" s="307" t="inlineStr">
        <is>
          <t xml:space="preserve">    A3 — LEASE ECONOMICS &amp; GCI BUILD</t>
        </is>
      </c>
    </row>
    <row r="33" ht="3" customHeight="1" s="290"/>
    <row r="34" ht="12.75" customHeight="1" s="290">
      <c r="A34" s="348" t="inlineStr">
        <is>
          <t xml:space="preserve">  ALC = Aggregate Lease Consideration = SF × Rent × Term. GCI = Deals × ALC × Commission Rate. Market rent from Tab 02 Active row.</t>
        </is>
      </c>
    </row>
    <row r="35" ht="3" customHeight="1" s="290"/>
    <row r="36" ht="13.5" customHeight="1" s="290">
      <c r="A36" s="395" t="n"/>
      <c r="B36" s="373" t="inlineStr">
        <is>
          <t xml:space="preserve">  Aggregate Lease Consideration per Deal</t>
        </is>
      </c>
      <c r="C36" s="374" t="inlineStr">
        <is>
          <t>$K/deal</t>
        </is>
      </c>
      <c r="D36" s="396" t="inlineStr">
        <is>
          <t xml:space="preserve"> sf × Rent × Term ÷ 1,000 ($K)</t>
        </is>
      </c>
      <c r="E36" s="376">
        <f>E15*E18*E16/1000</f>
        <v/>
      </c>
      <c r="F36" s="376">
        <f>F15*F18*F16/1000</f>
        <v/>
      </c>
      <c r="G36" s="376">
        <f>G15*G18*G16/1000</f>
        <v/>
      </c>
      <c r="H36" s="376">
        <f>H15*H18*H16/1000</f>
        <v/>
      </c>
      <c r="I36" s="376">
        <f>AVERAGE(E36:H36)</f>
        <v/>
      </c>
      <c r="J36" s="376">
        <f>J15*J18*J16/1000</f>
        <v/>
      </c>
      <c r="K36" s="376">
        <f>K15*K18*K16/1000</f>
        <v/>
      </c>
      <c r="L36" s="376">
        <f>L15*L18*L16/1000</f>
        <v/>
      </c>
      <c r="M36" s="376">
        <f>M15*M18*M16/1000</f>
        <v/>
      </c>
      <c r="N36" s="376">
        <f>AVERAGE(J36:M36)</f>
        <v/>
      </c>
      <c r="O36" s="376">
        <f>O15*O18*O16/1000</f>
        <v/>
      </c>
      <c r="P36" s="376">
        <f>P15*P18*P16/1000</f>
        <v/>
      </c>
      <c r="Q36" s="376">
        <f>Q15*Q18*Q16/1000</f>
        <v/>
      </c>
      <c r="R36" s="376">
        <f>R15*R18*R16/1000</f>
        <v/>
      </c>
      <c r="S36" s="376">
        <f>AVERAGE(O36:R36)</f>
        <v/>
      </c>
      <c r="T36" s="376">
        <f>T15*T18*T16/1000</f>
        <v/>
      </c>
      <c r="U36" s="376">
        <f>U15*U18*U16/1000</f>
        <v/>
      </c>
      <c r="V36" s="376">
        <f>V15*V18*V16/1000</f>
        <v/>
      </c>
      <c r="W36" s="376">
        <f>W15*W18*W16/1000</f>
        <v/>
      </c>
      <c r="X36" s="376">
        <f>AVERAGE(T36:W36)</f>
        <v/>
      </c>
      <c r="Y36" s="376">
        <f>Y15*Y18*Y16/1000</f>
        <v/>
      </c>
      <c r="Z36" s="376">
        <f>Z15*Z18*Z16/1000</f>
        <v/>
      </c>
      <c r="AA36" s="376">
        <f>AA15*AA18*AA16/1000</f>
        <v/>
      </c>
      <c r="AB36" s="376">
        <f>AB15*AB18*AB16/1000</f>
        <v/>
      </c>
      <c r="AC36" s="376">
        <f>AVERAGE(Y36:AB36)</f>
        <v/>
      </c>
      <c r="AD36" s="376">
        <f>AD15*AD18*AD16/1000</f>
        <v/>
      </c>
      <c r="AE36" s="376">
        <f>AE15*AE18*AE16/1000</f>
        <v/>
      </c>
      <c r="AF36" s="376">
        <f>AF15*AF18*AF16/1000</f>
        <v/>
      </c>
      <c r="AG36" s="376">
        <f>AG15*AG18*AG16/1000</f>
        <v/>
      </c>
      <c r="AH36" s="376">
        <f>AVERAGE(AD36:AG36)</f>
        <v/>
      </c>
      <c r="AI36" s="376">
        <f>AI15*AI18*AI16/1000</f>
        <v/>
      </c>
      <c r="AJ36" s="376">
        <f>AJ15*AJ18*AJ16/1000</f>
        <v/>
      </c>
      <c r="AK36" s="376">
        <f>AK15*AK18*AK16/1000</f>
        <v/>
      </c>
      <c r="AL36" s="376">
        <f>AL15*AL18*AL16/1000</f>
        <v/>
      </c>
      <c r="AM36" s="376">
        <f>AVERAGE(AI36:AL36)</f>
        <v/>
      </c>
      <c r="AN36" s="376">
        <f>AN15*AN18*AN16/1000</f>
        <v/>
      </c>
      <c r="AO36" s="376">
        <f>AO15*AO18*AO16/1000</f>
        <v/>
      </c>
      <c r="AP36" s="376">
        <f>AP15*AP18*AP16/1000</f>
        <v/>
      </c>
      <c r="AQ36" s="376">
        <f>AQ15*AQ18*AQ16/1000</f>
        <v/>
      </c>
      <c r="AR36" s="376">
        <f>AVERAGE(AN36:AQ36)</f>
        <v/>
      </c>
    </row>
    <row r="37" ht="13.5" customHeight="1" s="290">
      <c r="A37" s="395" t="n"/>
      <c r="B37" s="373" t="inlineStr">
        <is>
          <t xml:space="preserve">  Tenant Rep GCI</t>
        </is>
      </c>
      <c r="C37" s="374" t="inlineStr">
        <is>
          <t>$K</t>
        </is>
      </c>
      <c r="D37" s="396" t="inlineStr">
        <is>
          <t xml:space="preserve"> tr deals × ALC × TR Comm Rate</t>
        </is>
      </c>
      <c r="E37" s="376">
        <f>E29*E36*E19</f>
        <v/>
      </c>
      <c r="F37" s="376">
        <f>F29*F36*F19</f>
        <v/>
      </c>
      <c r="G37" s="376">
        <f>G29*G36*G19</f>
        <v/>
      </c>
      <c r="H37" s="376">
        <f>H29*H36*H19</f>
        <v/>
      </c>
      <c r="I37" s="376">
        <f>SUM(E37:H37)</f>
        <v/>
      </c>
      <c r="J37" s="376">
        <f>J29*J36*J19</f>
        <v/>
      </c>
      <c r="K37" s="376">
        <f>K29*K36*K19</f>
        <v/>
      </c>
      <c r="L37" s="376">
        <f>L29*L36*L19</f>
        <v/>
      </c>
      <c r="M37" s="376">
        <f>M29*M36*M19</f>
        <v/>
      </c>
      <c r="N37" s="376">
        <f>SUM(J37:M37)</f>
        <v/>
      </c>
      <c r="O37" s="376">
        <f>O29*O36*O19</f>
        <v/>
      </c>
      <c r="P37" s="376">
        <f>P29*P36*P19</f>
        <v/>
      </c>
      <c r="Q37" s="376">
        <f>Q29*Q36*Q19</f>
        <v/>
      </c>
      <c r="R37" s="376">
        <f>R29*R36*R19</f>
        <v/>
      </c>
      <c r="S37" s="376">
        <f>SUM(O37:R37)</f>
        <v/>
      </c>
      <c r="T37" s="376">
        <f>T29*T36*T19</f>
        <v/>
      </c>
      <c r="U37" s="376">
        <f>U29*U36*U19</f>
        <v/>
      </c>
      <c r="V37" s="376">
        <f>V29*V36*V19</f>
        <v/>
      </c>
      <c r="W37" s="376">
        <f>W29*W36*W19</f>
        <v/>
      </c>
      <c r="X37" s="376">
        <f>SUM(T37:W37)</f>
        <v/>
      </c>
      <c r="Y37" s="376">
        <f>Y29*Y36*Y19</f>
        <v/>
      </c>
      <c r="Z37" s="376">
        <f>Z29*Z36*Z19</f>
        <v/>
      </c>
      <c r="AA37" s="376">
        <f>AA29*AA36*AA19</f>
        <v/>
      </c>
      <c r="AB37" s="376">
        <f>AB29*AB36*AB19</f>
        <v/>
      </c>
      <c r="AC37" s="376">
        <f>SUM(Y37:AB37)</f>
        <v/>
      </c>
      <c r="AD37" s="376">
        <f>AD29*AD36*AD19</f>
        <v/>
      </c>
      <c r="AE37" s="376">
        <f>AE29*AE36*AE19</f>
        <v/>
      </c>
      <c r="AF37" s="376">
        <f>AF29*AF36*AF19</f>
        <v/>
      </c>
      <c r="AG37" s="376">
        <f>AG29*AG36*AG19</f>
        <v/>
      </c>
      <c r="AH37" s="376">
        <f>SUM(AD37:AG37)</f>
        <v/>
      </c>
      <c r="AI37" s="376">
        <f>AI29*AI36*AI19</f>
        <v/>
      </c>
      <c r="AJ37" s="376">
        <f>AJ29*AJ36*AJ19</f>
        <v/>
      </c>
      <c r="AK37" s="376">
        <f>AK29*AK36*AK19</f>
        <v/>
      </c>
      <c r="AL37" s="376">
        <f>AL29*AL36*AL19</f>
        <v/>
      </c>
      <c r="AM37" s="376">
        <f>SUM(AI37:AL37)</f>
        <v/>
      </c>
      <c r="AN37" s="376">
        <f>AN29*AN36*AN19</f>
        <v/>
      </c>
      <c r="AO37" s="376">
        <f>AO29*AO36*AO19</f>
        <v/>
      </c>
      <c r="AP37" s="376">
        <f>AP29*AP36*AP19</f>
        <v/>
      </c>
      <c r="AQ37" s="376">
        <f>AQ29*AQ36*AQ19</f>
        <v/>
      </c>
      <c r="AR37" s="376">
        <f>SUM(AN37:AQ37)</f>
        <v/>
      </c>
    </row>
    <row r="38" ht="13.5" customHeight="1" s="290">
      <c r="A38" s="395" t="n"/>
      <c r="B38" s="373" t="inlineStr">
        <is>
          <t xml:space="preserve">  Landlord Rep GCI</t>
        </is>
      </c>
      <c r="C38" s="374" t="inlineStr">
        <is>
          <t>$K</t>
        </is>
      </c>
      <c r="D38" s="396" t="inlineStr">
        <is>
          <t xml:space="preserve"> lr deals × ALC × LR Comm Rate</t>
        </is>
      </c>
      <c r="E38" s="376">
        <f>E30*E36*E20</f>
        <v/>
      </c>
      <c r="F38" s="376">
        <f>F30*F36*F20</f>
        <v/>
      </c>
      <c r="G38" s="376">
        <f>G30*G36*G20</f>
        <v/>
      </c>
      <c r="H38" s="376">
        <f>H30*H36*H20</f>
        <v/>
      </c>
      <c r="I38" s="376">
        <f>SUM(E38:H38)</f>
        <v/>
      </c>
      <c r="J38" s="376">
        <f>J30*J36*J20</f>
        <v/>
      </c>
      <c r="K38" s="376">
        <f>K30*K36*K20</f>
        <v/>
      </c>
      <c r="L38" s="376">
        <f>L30*L36*L20</f>
        <v/>
      </c>
      <c r="M38" s="376">
        <f>M30*M36*M20</f>
        <v/>
      </c>
      <c r="N38" s="376">
        <f>SUM(J38:M38)</f>
        <v/>
      </c>
      <c r="O38" s="376">
        <f>O30*O36*O20</f>
        <v/>
      </c>
      <c r="P38" s="376">
        <f>P30*P36*P20</f>
        <v/>
      </c>
      <c r="Q38" s="376">
        <f>Q30*Q36*Q20</f>
        <v/>
      </c>
      <c r="R38" s="376">
        <f>R30*R36*R20</f>
        <v/>
      </c>
      <c r="S38" s="376">
        <f>SUM(O38:R38)</f>
        <v/>
      </c>
      <c r="T38" s="376">
        <f>T30*T36*T20</f>
        <v/>
      </c>
      <c r="U38" s="376">
        <f>U30*U36*U20</f>
        <v/>
      </c>
      <c r="V38" s="376">
        <f>V30*V36*V20</f>
        <v/>
      </c>
      <c r="W38" s="376">
        <f>W30*W36*W20</f>
        <v/>
      </c>
      <c r="X38" s="376">
        <f>SUM(T38:W38)</f>
        <v/>
      </c>
      <c r="Y38" s="376">
        <f>Y30*Y36*Y20</f>
        <v/>
      </c>
      <c r="Z38" s="376">
        <f>Z30*Z36*Z20</f>
        <v/>
      </c>
      <c r="AA38" s="376">
        <f>AA30*AA36*AA20</f>
        <v/>
      </c>
      <c r="AB38" s="376">
        <f>AB30*AB36*AB20</f>
        <v/>
      </c>
      <c r="AC38" s="376">
        <f>SUM(Y38:AB38)</f>
        <v/>
      </c>
      <c r="AD38" s="376">
        <f>AD30*AD36*AD20</f>
        <v/>
      </c>
      <c r="AE38" s="376">
        <f>AE30*AE36*AE20</f>
        <v/>
      </c>
      <c r="AF38" s="376">
        <f>AF30*AF36*AF20</f>
        <v/>
      </c>
      <c r="AG38" s="376">
        <f>AG30*AG36*AG20</f>
        <v/>
      </c>
      <c r="AH38" s="376">
        <f>SUM(AD38:AG38)</f>
        <v/>
      </c>
      <c r="AI38" s="376">
        <f>AI30*AI36*AI20</f>
        <v/>
      </c>
      <c r="AJ38" s="376">
        <f>AJ30*AJ36*AJ20</f>
        <v/>
      </c>
      <c r="AK38" s="376">
        <f>AK30*AK36*AK20</f>
        <v/>
      </c>
      <c r="AL38" s="376">
        <f>AL30*AL36*AL20</f>
        <v/>
      </c>
      <c r="AM38" s="376">
        <f>SUM(AI38:AL38)</f>
        <v/>
      </c>
      <c r="AN38" s="376">
        <f>AN30*AN36*AN20</f>
        <v/>
      </c>
      <c r="AO38" s="376">
        <f>AO30*AO36*AO20</f>
        <v/>
      </c>
      <c r="AP38" s="376">
        <f>AP30*AP36*AP20</f>
        <v/>
      </c>
      <c r="AQ38" s="376">
        <f>AQ30*AQ36*AQ20</f>
        <v/>
      </c>
      <c r="AR38" s="376">
        <f>SUM(AN38:AQ38)</f>
        <v/>
      </c>
    </row>
    <row r="39" ht="13.5" customHeight="1" s="290">
      <c r="A39" s="395" t="n"/>
      <c r="B39" s="402" t="inlineStr">
        <is>
          <t xml:space="preserve">  Gross Leasing GCI</t>
        </is>
      </c>
      <c r="C39" s="374" t="inlineStr">
        <is>
          <t>$K</t>
        </is>
      </c>
      <c r="D39" s="396" t="inlineStr">
        <is>
          <t xml:space="preserve"> tr gci + lr gci</t>
        </is>
      </c>
      <c r="E39" s="403">
        <f>E37+E38</f>
        <v/>
      </c>
      <c r="F39" s="403">
        <f>F37+F38</f>
        <v/>
      </c>
      <c r="G39" s="403">
        <f>G37+G38</f>
        <v/>
      </c>
      <c r="H39" s="403">
        <f>H37+H38</f>
        <v/>
      </c>
      <c r="I39" s="403">
        <f>SUM(E39:H39)</f>
        <v/>
      </c>
      <c r="J39" s="403">
        <f>J37+J38</f>
        <v/>
      </c>
      <c r="K39" s="403">
        <f>K37+K38</f>
        <v/>
      </c>
      <c r="L39" s="403">
        <f>L37+L38</f>
        <v/>
      </c>
      <c r="M39" s="403">
        <f>M37+M38</f>
        <v/>
      </c>
      <c r="N39" s="403">
        <f>SUM(J39:M39)</f>
        <v/>
      </c>
      <c r="O39" s="403">
        <f>O37+O38</f>
        <v/>
      </c>
      <c r="P39" s="403">
        <f>P37+P38</f>
        <v/>
      </c>
      <c r="Q39" s="403">
        <f>Q37+Q38</f>
        <v/>
      </c>
      <c r="R39" s="403">
        <f>R37+R38</f>
        <v/>
      </c>
      <c r="S39" s="403">
        <f>SUM(O39:R39)</f>
        <v/>
      </c>
      <c r="T39" s="403">
        <f>T37+T38</f>
        <v/>
      </c>
      <c r="U39" s="403">
        <f>U37+U38</f>
        <v/>
      </c>
      <c r="V39" s="403">
        <f>V37+V38</f>
        <v/>
      </c>
      <c r="W39" s="403">
        <f>W37+W38</f>
        <v/>
      </c>
      <c r="X39" s="403">
        <f>SUM(T39:W39)</f>
        <v/>
      </c>
      <c r="Y39" s="403">
        <f>Y37+Y38</f>
        <v/>
      </c>
      <c r="Z39" s="403">
        <f>Z37+Z38</f>
        <v/>
      </c>
      <c r="AA39" s="403">
        <f>AA37+AA38</f>
        <v/>
      </c>
      <c r="AB39" s="403">
        <f>AB37+AB38</f>
        <v/>
      </c>
      <c r="AC39" s="403">
        <f>SUM(Y39:AB39)</f>
        <v/>
      </c>
      <c r="AD39" s="403">
        <f>AD37+AD38</f>
        <v/>
      </c>
      <c r="AE39" s="403">
        <f>AE37+AE38</f>
        <v/>
      </c>
      <c r="AF39" s="403">
        <f>AF37+AF38</f>
        <v/>
      </c>
      <c r="AG39" s="403">
        <f>AG37+AG38</f>
        <v/>
      </c>
      <c r="AH39" s="403">
        <f>SUM(AD39:AG39)</f>
        <v/>
      </c>
      <c r="AI39" s="403">
        <f>AI37+AI38</f>
        <v/>
      </c>
      <c r="AJ39" s="403">
        <f>AJ37+AJ38</f>
        <v/>
      </c>
      <c r="AK39" s="403">
        <f>AK37+AK38</f>
        <v/>
      </c>
      <c r="AL39" s="403">
        <f>AL37+AL38</f>
        <v/>
      </c>
      <c r="AM39" s="403">
        <f>SUM(AI39:AL39)</f>
        <v/>
      </c>
      <c r="AN39" s="403">
        <f>AN37+AN38</f>
        <v/>
      </c>
      <c r="AO39" s="403">
        <f>AO37+AO38</f>
        <v/>
      </c>
      <c r="AP39" s="403">
        <f>AP37+AP38</f>
        <v/>
      </c>
      <c r="AQ39" s="403">
        <f>AQ37+AQ38</f>
        <v/>
      </c>
      <c r="AR39" s="403">
        <f>SUM(AN39:AQ39)</f>
        <v/>
      </c>
    </row>
    <row r="40" ht="13.5" customHeight="1" s="290">
      <c r="A40" s="345" t="n"/>
      <c r="B40" s="370" t="inlineStr">
        <is>
          <t xml:space="preserve">  Book Loss Adjustment — Leasing</t>
        </is>
      </c>
      <c r="C40" s="371" t="inlineStr">
        <is>
          <t>$K</t>
        </is>
      </c>
      <c r="D40" s="394" t="inlineStr">
        <is>
          <t>← Tab 04 row 233 (negative value — departing producer book loss)</t>
        </is>
      </c>
      <c r="E40" s="361">
        <f>'04 Producer Engine'!E233</f>
        <v/>
      </c>
      <c r="F40" s="361">
        <f>'04 Producer Engine'!F233</f>
        <v/>
      </c>
      <c r="G40" s="361">
        <f>'04 Producer Engine'!G233</f>
        <v/>
      </c>
      <c r="H40" s="361">
        <f>'04 Producer Engine'!H233</f>
        <v/>
      </c>
      <c r="I40" s="361">
        <f>SUM(E40:H40)</f>
        <v/>
      </c>
      <c r="J40" s="361">
        <f>'04 Producer Engine'!J233</f>
        <v/>
      </c>
      <c r="K40" s="361">
        <f>'04 Producer Engine'!K233</f>
        <v/>
      </c>
      <c r="L40" s="361">
        <f>'04 Producer Engine'!L233</f>
        <v/>
      </c>
      <c r="M40" s="361">
        <f>'04 Producer Engine'!M233</f>
        <v/>
      </c>
      <c r="N40" s="361">
        <f>SUM(J40:M40)</f>
        <v/>
      </c>
      <c r="O40" s="361">
        <f>'04 Producer Engine'!O233</f>
        <v/>
      </c>
      <c r="P40" s="361">
        <f>'04 Producer Engine'!P233</f>
        <v/>
      </c>
      <c r="Q40" s="361">
        <f>'04 Producer Engine'!Q233</f>
        <v/>
      </c>
      <c r="R40" s="361">
        <f>'04 Producer Engine'!R233</f>
        <v/>
      </c>
      <c r="S40" s="361">
        <f>SUM(O40:R40)</f>
        <v/>
      </c>
      <c r="T40" s="361">
        <f>'04 Producer Engine'!T233</f>
        <v/>
      </c>
      <c r="U40" s="361">
        <f>'04 Producer Engine'!U233</f>
        <v/>
      </c>
      <c r="V40" s="361">
        <f>'04 Producer Engine'!V233</f>
        <v/>
      </c>
      <c r="W40" s="361">
        <f>'04 Producer Engine'!W233</f>
        <v/>
      </c>
      <c r="X40" s="361">
        <f>SUM(T40:W40)</f>
        <v/>
      </c>
      <c r="Y40" s="361">
        <f>'04 Producer Engine'!Y233</f>
        <v/>
      </c>
      <c r="Z40" s="361">
        <f>'04 Producer Engine'!Z233</f>
        <v/>
      </c>
      <c r="AA40" s="361">
        <f>'04 Producer Engine'!AA233</f>
        <v/>
      </c>
      <c r="AB40" s="361">
        <f>'04 Producer Engine'!AB233</f>
        <v/>
      </c>
      <c r="AC40" s="361">
        <f>SUM(Y40:AB40)</f>
        <v/>
      </c>
      <c r="AD40" s="361">
        <f>'04 Producer Engine'!AD233</f>
        <v/>
      </c>
      <c r="AE40" s="361">
        <f>'04 Producer Engine'!AE233</f>
        <v/>
      </c>
      <c r="AF40" s="361">
        <f>'04 Producer Engine'!AF233</f>
        <v/>
      </c>
      <c r="AG40" s="361">
        <f>'04 Producer Engine'!AG233</f>
        <v/>
      </c>
      <c r="AH40" s="361">
        <f>SUM(AD40:AG40)</f>
        <v/>
      </c>
      <c r="AI40" s="361">
        <f>'04 Producer Engine'!AI233</f>
        <v/>
      </c>
      <c r="AJ40" s="361">
        <f>'04 Producer Engine'!AJ233</f>
        <v/>
      </c>
      <c r="AK40" s="361">
        <f>'04 Producer Engine'!AK233</f>
        <v/>
      </c>
      <c r="AL40" s="361">
        <f>'04 Producer Engine'!AL233</f>
        <v/>
      </c>
      <c r="AM40" s="361">
        <f>SUM(AI40:AL40)</f>
        <v/>
      </c>
      <c r="AN40" s="361">
        <f>'04 Producer Engine'!AN233</f>
        <v/>
      </c>
      <c r="AO40" s="361">
        <f>'04 Producer Engine'!AO233</f>
        <v/>
      </c>
      <c r="AP40" s="361">
        <f>'04 Producer Engine'!AP233</f>
        <v/>
      </c>
      <c r="AQ40" s="361">
        <f>'04 Producer Engine'!AQ233</f>
        <v/>
      </c>
      <c r="AR40" s="361">
        <f>SUM(AN40:AQ40)</f>
        <v/>
      </c>
    </row>
    <row r="41" ht="15" customHeight="1" s="290">
      <c r="A41" s="397" t="n"/>
      <c r="B41" s="377" t="inlineStr">
        <is>
          <t xml:space="preserve">  ★ Net Leasing GCI</t>
        </is>
      </c>
      <c r="C41" s="378" t="inlineStr">
        <is>
          <t>$K</t>
        </is>
      </c>
      <c r="D41" s="400" t="inlineStr">
        <is>
          <t xml:space="preserve"> gross gci + book loss adj</t>
        </is>
      </c>
      <c r="E41" s="379">
        <f>E39+E40</f>
        <v/>
      </c>
      <c r="F41" s="379">
        <f>F39+F40</f>
        <v/>
      </c>
      <c r="G41" s="379">
        <f>G39+G40</f>
        <v/>
      </c>
      <c r="H41" s="379">
        <f>H39+H40</f>
        <v/>
      </c>
      <c r="I41" s="379">
        <f>SUM(E41:H41)</f>
        <v/>
      </c>
      <c r="J41" s="379">
        <f>J39+J40</f>
        <v/>
      </c>
      <c r="K41" s="379">
        <f>K39+K40</f>
        <v/>
      </c>
      <c r="L41" s="379">
        <f>L39+L40</f>
        <v/>
      </c>
      <c r="M41" s="379">
        <f>M39+M40</f>
        <v/>
      </c>
      <c r="N41" s="379">
        <f>SUM(J41:M41)</f>
        <v/>
      </c>
      <c r="O41" s="379">
        <f>O39+O40</f>
        <v/>
      </c>
      <c r="P41" s="379">
        <f>P39+P40</f>
        <v/>
      </c>
      <c r="Q41" s="379">
        <f>Q39+Q40</f>
        <v/>
      </c>
      <c r="R41" s="379">
        <f>R39+R40</f>
        <v/>
      </c>
      <c r="S41" s="379">
        <f>SUM(O41:R41)</f>
        <v/>
      </c>
      <c r="T41" s="379">
        <f>T39+T40</f>
        <v/>
      </c>
      <c r="U41" s="379">
        <f>U39+U40</f>
        <v/>
      </c>
      <c r="V41" s="379">
        <f>V39+V40</f>
        <v/>
      </c>
      <c r="W41" s="379">
        <f>W39+W40</f>
        <v/>
      </c>
      <c r="X41" s="379">
        <f>SUM(T41:W41)</f>
        <v/>
      </c>
      <c r="Y41" s="379">
        <f>Y39+Y40</f>
        <v/>
      </c>
      <c r="Z41" s="379">
        <f>Z39+Z40</f>
        <v/>
      </c>
      <c r="AA41" s="379">
        <f>AA39+AA40</f>
        <v/>
      </c>
      <c r="AB41" s="379">
        <f>AB39+AB40</f>
        <v/>
      </c>
      <c r="AC41" s="379">
        <f>SUM(Y41:AB41)</f>
        <v/>
      </c>
      <c r="AD41" s="379">
        <f>AD39+AD40</f>
        <v/>
      </c>
      <c r="AE41" s="379">
        <f>AE39+AE40</f>
        <v/>
      </c>
      <c r="AF41" s="379">
        <f>AF39+AF40</f>
        <v/>
      </c>
      <c r="AG41" s="379">
        <f>AG39+AG40</f>
        <v/>
      </c>
      <c r="AH41" s="379">
        <f>SUM(AD41:AG41)</f>
        <v/>
      </c>
      <c r="AI41" s="379">
        <f>AI39+AI40</f>
        <v/>
      </c>
      <c r="AJ41" s="379">
        <f>AJ39+AJ40</f>
        <v/>
      </c>
      <c r="AK41" s="379">
        <f>AK39+AK40</f>
        <v/>
      </c>
      <c r="AL41" s="379">
        <f>AL39+AL40</f>
        <v/>
      </c>
      <c r="AM41" s="379">
        <f>SUM(AI41:AL41)</f>
        <v/>
      </c>
      <c r="AN41" s="379">
        <f>AN39+AN40</f>
        <v/>
      </c>
      <c r="AO41" s="379">
        <f>AO39+AO40</f>
        <v/>
      </c>
      <c r="AP41" s="379">
        <f>AP39+AP40</f>
        <v/>
      </c>
      <c r="AQ41" s="379">
        <f>AQ39+AQ40</f>
        <v/>
      </c>
      <c r="AR41" s="379">
        <f>SUM(AN41:AQ41)</f>
        <v/>
      </c>
    </row>
    <row r="42" ht="3.75" customHeight="1" s="290"/>
    <row r="43" ht="15" customHeight="1" s="290">
      <c r="A43" s="307" t="inlineStr">
        <is>
          <t xml:space="preserve">    A4 — LEASING KPIs</t>
        </is>
      </c>
    </row>
    <row r="44" ht="3" customHeight="1" s="290"/>
    <row r="45" ht="13.5" customHeight="1" s="290">
      <c r="A45" s="395" t="n"/>
      <c r="B45" s="373" t="inlineStr">
        <is>
          <t xml:space="preserve">  Total SF Leased</t>
        </is>
      </c>
      <c r="C45" s="374" t="inlineStr">
        <is>
          <t>KSF/qtr</t>
        </is>
      </c>
      <c r="D45" s="396" t="inlineStr">
        <is>
          <t xml:space="preserve"> total deals × Avg SF ÷ 1,000</t>
        </is>
      </c>
      <c r="E45" s="376">
        <f>E28*E15/1000</f>
        <v/>
      </c>
      <c r="F45" s="376">
        <f>F28*F15/1000</f>
        <v/>
      </c>
      <c r="G45" s="376">
        <f>G28*G15/1000</f>
        <v/>
      </c>
      <c r="H45" s="376">
        <f>H28*H15/1000</f>
        <v/>
      </c>
      <c r="I45" s="376">
        <f>SUM(E45:H45)</f>
        <v/>
      </c>
      <c r="J45" s="376">
        <f>J28*J15/1000</f>
        <v/>
      </c>
      <c r="K45" s="376">
        <f>K28*K15/1000</f>
        <v/>
      </c>
      <c r="L45" s="376">
        <f>L28*L15/1000</f>
        <v/>
      </c>
      <c r="M45" s="376">
        <f>M28*M15/1000</f>
        <v/>
      </c>
      <c r="N45" s="376">
        <f>SUM(J45:M45)</f>
        <v/>
      </c>
      <c r="O45" s="376">
        <f>O28*O15/1000</f>
        <v/>
      </c>
      <c r="P45" s="376">
        <f>P28*P15/1000</f>
        <v/>
      </c>
      <c r="Q45" s="376">
        <f>Q28*Q15/1000</f>
        <v/>
      </c>
      <c r="R45" s="376">
        <f>R28*R15/1000</f>
        <v/>
      </c>
      <c r="S45" s="376">
        <f>SUM(O45:R45)</f>
        <v/>
      </c>
      <c r="T45" s="376">
        <f>T28*T15/1000</f>
        <v/>
      </c>
      <c r="U45" s="376">
        <f>U28*U15/1000</f>
        <v/>
      </c>
      <c r="V45" s="376">
        <f>V28*V15/1000</f>
        <v/>
      </c>
      <c r="W45" s="376">
        <f>W28*W15/1000</f>
        <v/>
      </c>
      <c r="X45" s="376">
        <f>SUM(T45:W45)</f>
        <v/>
      </c>
      <c r="Y45" s="376">
        <f>Y28*Y15/1000</f>
        <v/>
      </c>
      <c r="Z45" s="376">
        <f>Z28*Z15/1000</f>
        <v/>
      </c>
      <c r="AA45" s="376">
        <f>AA28*AA15/1000</f>
        <v/>
      </c>
      <c r="AB45" s="376">
        <f>AB28*AB15/1000</f>
        <v/>
      </c>
      <c r="AC45" s="376">
        <f>SUM(Y45:AB45)</f>
        <v/>
      </c>
      <c r="AD45" s="376">
        <f>AD28*AD15/1000</f>
        <v/>
      </c>
      <c r="AE45" s="376">
        <f>AE28*AE15/1000</f>
        <v/>
      </c>
      <c r="AF45" s="376">
        <f>AF28*AF15/1000</f>
        <v/>
      </c>
      <c r="AG45" s="376">
        <f>AG28*AG15/1000</f>
        <v/>
      </c>
      <c r="AH45" s="376">
        <f>SUM(AD45:AG45)</f>
        <v/>
      </c>
      <c r="AI45" s="376">
        <f>AI28*AI15/1000</f>
        <v/>
      </c>
      <c r="AJ45" s="376">
        <f>AJ28*AJ15/1000</f>
        <v/>
      </c>
      <c r="AK45" s="376">
        <f>AK28*AK15/1000</f>
        <v/>
      </c>
      <c r="AL45" s="376">
        <f>AL28*AL15/1000</f>
        <v/>
      </c>
      <c r="AM45" s="376">
        <f>SUM(AI45:AL45)</f>
        <v/>
      </c>
      <c r="AN45" s="376">
        <f>AN28*AN15/1000</f>
        <v/>
      </c>
      <c r="AO45" s="376">
        <f>AO28*AO15/1000</f>
        <v/>
      </c>
      <c r="AP45" s="376">
        <f>AP28*AP15/1000</f>
        <v/>
      </c>
      <c r="AQ45" s="376">
        <f>AQ28*AQ15/1000</f>
        <v/>
      </c>
      <c r="AR45" s="376">
        <f>SUM(AN45:AQ45)</f>
        <v/>
      </c>
    </row>
    <row r="46" ht="13.5" customHeight="1" s="290">
      <c r="A46" s="395" t="n"/>
      <c r="B46" s="373" t="inlineStr">
        <is>
          <t xml:space="preserve">  Avg GCI per Deal</t>
        </is>
      </c>
      <c r="C46" s="374" t="inlineStr">
        <is>
          <t>$K/deal</t>
        </is>
      </c>
      <c r="D46" s="396" t="inlineStr">
        <is>
          <t xml:space="preserve"> net gci ÷ Total Deals</t>
        </is>
      </c>
      <c r="E46" s="376">
        <f>IFERROR(E41/E28,0)</f>
        <v/>
      </c>
      <c r="F46" s="376">
        <f>IFERROR(F41/F28,0)</f>
        <v/>
      </c>
      <c r="G46" s="376">
        <f>IFERROR(G41/G28,0)</f>
        <v/>
      </c>
      <c r="H46" s="376">
        <f>IFERROR(H41/H28,0)</f>
        <v/>
      </c>
      <c r="I46" s="376">
        <f>IFERROR(I41/I28,0)</f>
        <v/>
      </c>
      <c r="J46" s="376">
        <f>IFERROR(J41/J28,0)</f>
        <v/>
      </c>
      <c r="K46" s="376">
        <f>IFERROR(K41/K28,0)</f>
        <v/>
      </c>
      <c r="L46" s="376">
        <f>IFERROR(L41/L28,0)</f>
        <v/>
      </c>
      <c r="M46" s="376">
        <f>IFERROR(M41/M28,0)</f>
        <v/>
      </c>
      <c r="N46" s="376">
        <f>IFERROR(N41/N28,0)</f>
        <v/>
      </c>
      <c r="O46" s="376">
        <f>IFERROR(O41/O28,0)</f>
        <v/>
      </c>
      <c r="P46" s="376">
        <f>IFERROR(P41/P28,0)</f>
        <v/>
      </c>
      <c r="Q46" s="376">
        <f>IFERROR(Q41/Q28,0)</f>
        <v/>
      </c>
      <c r="R46" s="376">
        <f>IFERROR(R41/R28,0)</f>
        <v/>
      </c>
      <c r="S46" s="376">
        <f>IFERROR(S41/S28,0)</f>
        <v/>
      </c>
      <c r="T46" s="376">
        <f>IFERROR(T41/T28,0)</f>
        <v/>
      </c>
      <c r="U46" s="376">
        <f>IFERROR(U41/U28,0)</f>
        <v/>
      </c>
      <c r="V46" s="376">
        <f>IFERROR(V41/V28,0)</f>
        <v/>
      </c>
      <c r="W46" s="376">
        <f>IFERROR(W41/W28,0)</f>
        <v/>
      </c>
      <c r="X46" s="376">
        <f>IFERROR(X41/X28,0)</f>
        <v/>
      </c>
      <c r="Y46" s="376">
        <f>IFERROR(Y41/Y28,0)</f>
        <v/>
      </c>
      <c r="Z46" s="376">
        <f>IFERROR(Z41/Z28,0)</f>
        <v/>
      </c>
      <c r="AA46" s="376">
        <f>IFERROR(AA41/AA28,0)</f>
        <v/>
      </c>
      <c r="AB46" s="376">
        <f>IFERROR(AB41/AB28,0)</f>
        <v/>
      </c>
      <c r="AC46" s="376">
        <f>IFERROR(AC41/AC28,0)</f>
        <v/>
      </c>
      <c r="AD46" s="376">
        <f>IFERROR(AD41/AD28,0)</f>
        <v/>
      </c>
      <c r="AE46" s="376">
        <f>IFERROR(AE41/AE28,0)</f>
        <v/>
      </c>
      <c r="AF46" s="376">
        <f>IFERROR(AF41/AF28,0)</f>
        <v/>
      </c>
      <c r="AG46" s="376">
        <f>IFERROR(AG41/AG28,0)</f>
        <v/>
      </c>
      <c r="AH46" s="376">
        <f>IFERROR(AH41/AH28,0)</f>
        <v/>
      </c>
      <c r="AI46" s="376">
        <f>IFERROR(AI41/AI28,0)</f>
        <v/>
      </c>
      <c r="AJ46" s="376">
        <f>IFERROR(AJ41/AJ28,0)</f>
        <v/>
      </c>
      <c r="AK46" s="376">
        <f>IFERROR(AK41/AK28,0)</f>
        <v/>
      </c>
      <c r="AL46" s="376">
        <f>IFERROR(AL41/AL28,0)</f>
        <v/>
      </c>
      <c r="AM46" s="376">
        <f>IFERROR(AM41/AM28,0)</f>
        <v/>
      </c>
      <c r="AN46" s="376">
        <f>IFERROR(AN41/AN28,0)</f>
        <v/>
      </c>
      <c r="AO46" s="376">
        <f>IFERROR(AO41/AO28,0)</f>
        <v/>
      </c>
      <c r="AP46" s="376">
        <f>IFERROR(AP41/AP28,0)</f>
        <v/>
      </c>
      <c r="AQ46" s="376">
        <f>IFERROR(AQ41/AQ28,0)</f>
        <v/>
      </c>
      <c r="AR46" s="376">
        <f>IFERROR(AR41/AR28,0)</f>
        <v/>
      </c>
    </row>
    <row r="47" ht="13.5" customHeight="1" s="290">
      <c r="A47" s="395" t="n"/>
      <c r="B47" s="373" t="inlineStr">
        <is>
          <t xml:space="preserve">  GCI per EPE (Blended)</t>
        </is>
      </c>
      <c r="C47" s="374" t="inlineStr">
        <is>
          <t>$K/EPE</t>
        </is>
      </c>
      <c r="D47" s="396" t="inlineStr">
        <is>
          <t xml:space="preserve"> net gci ÷ Total Leasing EPE</t>
        </is>
      </c>
      <c r="E47" s="376">
        <f>IFERROR(E41/(E9+E10+E11),0)</f>
        <v/>
      </c>
      <c r="F47" s="376">
        <f>IFERROR(F41/(F9+F10+F11),0)</f>
        <v/>
      </c>
      <c r="G47" s="376">
        <f>IFERROR(G41/(G9+G10+G11),0)</f>
        <v/>
      </c>
      <c r="H47" s="376">
        <f>IFERROR(H41/(H9+H10+H11),0)</f>
        <v/>
      </c>
      <c r="I47" s="376">
        <f>IFERROR(I41/(I9+I10+I11),0)</f>
        <v/>
      </c>
      <c r="J47" s="376">
        <f>IFERROR(J41/(J9+J10+J11),0)</f>
        <v/>
      </c>
      <c r="K47" s="376">
        <f>IFERROR(K41/(K9+K10+K11),0)</f>
        <v/>
      </c>
      <c r="L47" s="376">
        <f>IFERROR(L41/(L9+L10+L11),0)</f>
        <v/>
      </c>
      <c r="M47" s="376">
        <f>IFERROR(M41/(M9+M10+M11),0)</f>
        <v/>
      </c>
      <c r="N47" s="376">
        <f>IFERROR(N41/(N9+N10+N11),0)</f>
        <v/>
      </c>
      <c r="O47" s="376">
        <f>IFERROR(O41/(O9+O10+O11),0)</f>
        <v/>
      </c>
      <c r="P47" s="376">
        <f>IFERROR(P41/(P9+P10+P11),0)</f>
        <v/>
      </c>
      <c r="Q47" s="376">
        <f>IFERROR(Q41/(Q9+Q10+Q11),0)</f>
        <v/>
      </c>
      <c r="R47" s="376">
        <f>IFERROR(R41/(R9+R10+R11),0)</f>
        <v/>
      </c>
      <c r="S47" s="376">
        <f>IFERROR(S41/(S9+S10+S11),0)</f>
        <v/>
      </c>
      <c r="T47" s="376">
        <f>IFERROR(T41/(T9+T10+T11),0)</f>
        <v/>
      </c>
      <c r="U47" s="376">
        <f>IFERROR(U41/(U9+U10+U11),0)</f>
        <v/>
      </c>
      <c r="V47" s="376">
        <f>IFERROR(V41/(V9+V10+V11),0)</f>
        <v/>
      </c>
      <c r="W47" s="376">
        <f>IFERROR(W41/(W9+W10+W11),0)</f>
        <v/>
      </c>
      <c r="X47" s="376">
        <f>IFERROR(X41/(X9+X10+X11),0)</f>
        <v/>
      </c>
      <c r="Y47" s="376">
        <f>IFERROR(Y41/(Y9+Y10+Y11),0)</f>
        <v/>
      </c>
      <c r="Z47" s="376">
        <f>IFERROR(Z41/(Z9+Z10+Z11),0)</f>
        <v/>
      </c>
      <c r="AA47" s="376">
        <f>IFERROR(AA41/(AA9+AA10+AA11),0)</f>
        <v/>
      </c>
      <c r="AB47" s="376">
        <f>IFERROR(AB41/(AB9+AB10+AB11),0)</f>
        <v/>
      </c>
      <c r="AC47" s="376">
        <f>IFERROR(AC41/(AC9+AC10+AC11),0)</f>
        <v/>
      </c>
      <c r="AD47" s="376">
        <f>IFERROR(AD41/(AD9+AD10+AD11),0)</f>
        <v/>
      </c>
      <c r="AE47" s="376">
        <f>IFERROR(AE41/(AE9+AE10+AE11),0)</f>
        <v/>
      </c>
      <c r="AF47" s="376">
        <f>IFERROR(AF41/(AF9+AF10+AF11),0)</f>
        <v/>
      </c>
      <c r="AG47" s="376">
        <f>IFERROR(AG41/(AG9+AG10+AG11),0)</f>
        <v/>
      </c>
      <c r="AH47" s="376">
        <f>IFERROR(AH41/(AH9+AH10+AH11),0)</f>
        <v/>
      </c>
      <c r="AI47" s="376">
        <f>IFERROR(AI41/(AI9+AI10+AI11),0)</f>
        <v/>
      </c>
      <c r="AJ47" s="376">
        <f>IFERROR(AJ41/(AJ9+AJ10+AJ11),0)</f>
        <v/>
      </c>
      <c r="AK47" s="376">
        <f>IFERROR(AK41/(AK9+AK10+AK11),0)</f>
        <v/>
      </c>
      <c r="AL47" s="376">
        <f>IFERROR(AL41/(AL9+AL10+AL11),0)</f>
        <v/>
      </c>
      <c r="AM47" s="376">
        <f>IFERROR(AM41/(AM9+AM10+AM11),0)</f>
        <v/>
      </c>
      <c r="AN47" s="376">
        <f>IFERROR(AN41/(AN9+AN10+AN11),0)</f>
        <v/>
      </c>
      <c r="AO47" s="376">
        <f>IFERROR(AO41/(AO9+AO10+AO11),0)</f>
        <v/>
      </c>
      <c r="AP47" s="376">
        <f>IFERROR(AP41/(AP9+AP10+AP11),0)</f>
        <v/>
      </c>
      <c r="AQ47" s="376">
        <f>IFERROR(AQ41/(AQ9+AQ10+AQ11),0)</f>
        <v/>
      </c>
      <c r="AR47" s="376">
        <f>IFERROR(AR41/(AR9+AR10+AR11),0)</f>
        <v/>
      </c>
    </row>
    <row r="48" ht="13.5" customHeight="1" s="290">
      <c r="A48" s="395" t="n"/>
      <c r="B48" s="373" t="inlineStr">
        <is>
          <t xml:space="preserve">  Implied Leasing Market Share</t>
        </is>
      </c>
      <c r="C48" s="374" t="inlineStr">
        <is>
          <t>% of mkt vol</t>
        </is>
      </c>
      <c r="D48" s="396" t="inlineStr">
        <is>
          <t xml:space="preserve"> firm msf ÷ Market MSF</t>
        </is>
      </c>
      <c r="E48" s="376">
        <f>IFERROR(E45/E21/1000,0)</f>
        <v/>
      </c>
      <c r="F48" s="376">
        <f>IFERROR(F45/F21/1000,0)</f>
        <v/>
      </c>
      <c r="G48" s="376">
        <f>IFERROR(G45/G21/1000,0)</f>
        <v/>
      </c>
      <c r="H48" s="376">
        <f>IFERROR(H45/H21/1000,0)</f>
        <v/>
      </c>
      <c r="I48" s="376">
        <f>IFERROR(I45/I21/1000,0)</f>
        <v/>
      </c>
      <c r="J48" s="376">
        <f>IFERROR(J45/J21/1000,0)</f>
        <v/>
      </c>
      <c r="K48" s="376">
        <f>IFERROR(K45/K21/1000,0)</f>
        <v/>
      </c>
      <c r="L48" s="376">
        <f>IFERROR(L45/L21/1000,0)</f>
        <v/>
      </c>
      <c r="M48" s="376">
        <f>IFERROR(M45/M21/1000,0)</f>
        <v/>
      </c>
      <c r="N48" s="376">
        <f>IFERROR(N45/N21/1000,0)</f>
        <v/>
      </c>
      <c r="O48" s="376">
        <f>IFERROR(O45/O21/1000,0)</f>
        <v/>
      </c>
      <c r="P48" s="376">
        <f>IFERROR(P45/P21/1000,0)</f>
        <v/>
      </c>
      <c r="Q48" s="376">
        <f>IFERROR(Q45/Q21/1000,0)</f>
        <v/>
      </c>
      <c r="R48" s="376">
        <f>IFERROR(R45/R21/1000,0)</f>
        <v/>
      </c>
      <c r="S48" s="376">
        <f>IFERROR(S45/S21/1000,0)</f>
        <v/>
      </c>
      <c r="T48" s="376">
        <f>IFERROR(T45/T21/1000,0)</f>
        <v/>
      </c>
      <c r="U48" s="376">
        <f>IFERROR(U45/U21/1000,0)</f>
        <v/>
      </c>
      <c r="V48" s="376">
        <f>IFERROR(V45/V21/1000,0)</f>
        <v/>
      </c>
      <c r="W48" s="376">
        <f>IFERROR(W45/W21/1000,0)</f>
        <v/>
      </c>
      <c r="X48" s="376">
        <f>IFERROR(X45/X21/1000,0)</f>
        <v/>
      </c>
      <c r="Y48" s="376">
        <f>IFERROR(Y45/Y21/1000,0)</f>
        <v/>
      </c>
      <c r="Z48" s="376">
        <f>IFERROR(Z45/Z21/1000,0)</f>
        <v/>
      </c>
      <c r="AA48" s="376">
        <f>IFERROR(AA45/AA21/1000,0)</f>
        <v/>
      </c>
      <c r="AB48" s="376">
        <f>IFERROR(AB45/AB21/1000,0)</f>
        <v/>
      </c>
      <c r="AC48" s="376">
        <f>IFERROR(AC45/AC21/1000,0)</f>
        <v/>
      </c>
      <c r="AD48" s="376">
        <f>IFERROR(AD45/AD21/1000,0)</f>
        <v/>
      </c>
      <c r="AE48" s="376">
        <f>IFERROR(AE45/AE21/1000,0)</f>
        <v/>
      </c>
      <c r="AF48" s="376">
        <f>IFERROR(AF45/AF21/1000,0)</f>
        <v/>
      </c>
      <c r="AG48" s="376">
        <f>IFERROR(AG45/AG21/1000,0)</f>
        <v/>
      </c>
      <c r="AH48" s="376">
        <f>IFERROR(AH45/AH21/1000,0)</f>
        <v/>
      </c>
      <c r="AI48" s="376">
        <f>IFERROR(AI45/AI21/1000,0)</f>
        <v/>
      </c>
      <c r="AJ48" s="376">
        <f>IFERROR(AJ45/AJ21/1000,0)</f>
        <v/>
      </c>
      <c r="AK48" s="376">
        <f>IFERROR(AK45/AK21/1000,0)</f>
        <v/>
      </c>
      <c r="AL48" s="376">
        <f>IFERROR(AL45/AL21/1000,0)</f>
        <v/>
      </c>
      <c r="AM48" s="376">
        <f>IFERROR(AM45/AM21/1000,0)</f>
        <v/>
      </c>
      <c r="AN48" s="376">
        <f>IFERROR(AN45/AN21/1000,0)</f>
        <v/>
      </c>
      <c r="AO48" s="376">
        <f>IFERROR(AO45/AO21/1000,0)</f>
        <v/>
      </c>
      <c r="AP48" s="376">
        <f>IFERROR(AP45/AP21/1000,0)</f>
        <v/>
      </c>
      <c r="AQ48" s="376">
        <f>IFERROR(AQ45/AQ21/1000,0)</f>
        <v/>
      </c>
      <c r="AR48" s="376">
        <f>IFERROR(AR45/AR21/1000,0)</f>
        <v/>
      </c>
    </row>
    <row r="49" ht="4.5" customHeight="1" s="290"/>
    <row r="50" ht="3" customHeight="1" s="290">
      <c r="A50" s="293" t="n"/>
    </row>
    <row r="51" ht="4.5" customHeight="1" s="290"/>
    <row r="52" ht="15.75" customHeight="1" s="290">
      <c r="A52" s="338" t="inlineStr">
        <is>
          <t xml:space="preserve">  SECTION B — INVESTMENT SALES REVENUE</t>
        </is>
      </c>
    </row>
    <row r="53" ht="3.75" customHeight="1" s="290"/>
    <row r="54" ht="15" customHeight="1" s="290">
      <c r="A54" s="307" t="inlineStr">
        <is>
          <t xml:space="preserve">    B1 — INPUT LINKS</t>
        </is>
      </c>
    </row>
    <row r="55" ht="3" customHeight="1" s="290"/>
    <row r="56" ht="13.5" customHeight="1" s="290">
      <c r="A56" s="345" t="n"/>
      <c r="B56" s="370" t="inlineStr">
        <is>
          <t xml:space="preserve">  EPE — IS Rainmaker</t>
        </is>
      </c>
      <c r="C56" s="371" t="inlineStr">
        <is>
          <t>EPE</t>
        </is>
      </c>
      <c r="D56" s="404" t="inlineStr">
        <is>
          <t>← Tab 04 row 67 (IS EPE Rainmaker)</t>
        </is>
      </c>
      <c r="E56" s="361">
        <f>'04 Producer Engine'!E67</f>
        <v/>
      </c>
      <c r="F56" s="361">
        <f>'04 Producer Engine'!F67</f>
        <v/>
      </c>
      <c r="G56" s="361">
        <f>'04 Producer Engine'!G67</f>
        <v/>
      </c>
      <c r="H56" s="361">
        <f>'04 Producer Engine'!H67</f>
        <v/>
      </c>
      <c r="I56" s="405">
        <f>AVERAGE(E56:H56)</f>
        <v/>
      </c>
      <c r="J56" s="361">
        <f>'04 Producer Engine'!J67</f>
        <v/>
      </c>
      <c r="K56" s="361">
        <f>'04 Producer Engine'!K67</f>
        <v/>
      </c>
      <c r="L56" s="361">
        <f>'04 Producer Engine'!L67</f>
        <v/>
      </c>
      <c r="M56" s="361">
        <f>'04 Producer Engine'!M67</f>
        <v/>
      </c>
      <c r="N56" s="405">
        <f>AVERAGE(J56:M56)</f>
        <v/>
      </c>
      <c r="O56" s="361">
        <f>'04 Producer Engine'!O67</f>
        <v/>
      </c>
      <c r="P56" s="361">
        <f>'04 Producer Engine'!P67</f>
        <v/>
      </c>
      <c r="Q56" s="361">
        <f>'04 Producer Engine'!Q67</f>
        <v/>
      </c>
      <c r="R56" s="361">
        <f>'04 Producer Engine'!R67</f>
        <v/>
      </c>
      <c r="S56" s="405">
        <f>AVERAGE(O56:R56)</f>
        <v/>
      </c>
      <c r="T56" s="361">
        <f>'04 Producer Engine'!T67</f>
        <v/>
      </c>
      <c r="U56" s="361">
        <f>'04 Producer Engine'!U67</f>
        <v/>
      </c>
      <c r="V56" s="361">
        <f>'04 Producer Engine'!V67</f>
        <v/>
      </c>
      <c r="W56" s="361">
        <f>'04 Producer Engine'!W67</f>
        <v/>
      </c>
      <c r="X56" s="405">
        <f>AVERAGE(T56:W56)</f>
        <v/>
      </c>
      <c r="Y56" s="361">
        <f>'04 Producer Engine'!Y67</f>
        <v/>
      </c>
      <c r="Z56" s="361">
        <f>'04 Producer Engine'!Z67</f>
        <v/>
      </c>
      <c r="AA56" s="361">
        <f>'04 Producer Engine'!AA67</f>
        <v/>
      </c>
      <c r="AB56" s="361">
        <f>'04 Producer Engine'!AB67</f>
        <v/>
      </c>
      <c r="AC56" s="405">
        <f>AVERAGE(Y56:AB56)</f>
        <v/>
      </c>
      <c r="AD56" s="361">
        <f>'04 Producer Engine'!AD67</f>
        <v/>
      </c>
      <c r="AE56" s="361">
        <f>'04 Producer Engine'!AE67</f>
        <v/>
      </c>
      <c r="AF56" s="361">
        <f>'04 Producer Engine'!AF67</f>
        <v/>
      </c>
      <c r="AG56" s="361">
        <f>'04 Producer Engine'!AG67</f>
        <v/>
      </c>
      <c r="AH56" s="405">
        <f>AVERAGE(AD56:AG56)</f>
        <v/>
      </c>
      <c r="AI56" s="361">
        <f>'04 Producer Engine'!AI67</f>
        <v/>
      </c>
      <c r="AJ56" s="361">
        <f>'04 Producer Engine'!AJ67</f>
        <v/>
      </c>
      <c r="AK56" s="361">
        <f>'04 Producer Engine'!AK67</f>
        <v/>
      </c>
      <c r="AL56" s="361">
        <f>'04 Producer Engine'!AL67</f>
        <v/>
      </c>
      <c r="AM56" s="405">
        <f>AVERAGE(AI56:AL56)</f>
        <v/>
      </c>
      <c r="AN56" s="361">
        <f>'04 Producer Engine'!AN67</f>
        <v/>
      </c>
      <c r="AO56" s="361">
        <f>'04 Producer Engine'!AO67</f>
        <v/>
      </c>
      <c r="AP56" s="361">
        <f>'04 Producer Engine'!AP67</f>
        <v/>
      </c>
      <c r="AQ56" s="361">
        <f>'04 Producer Engine'!AQ67</f>
        <v/>
      </c>
      <c r="AR56" s="405">
        <f>AVERAGE(AN56:AQ56)</f>
        <v/>
      </c>
    </row>
    <row r="57" ht="13.5" customHeight="1" s="290">
      <c r="A57" s="345" t="n"/>
      <c r="B57" s="370" t="inlineStr">
        <is>
          <t xml:space="preserve">  EPE — IS Core</t>
        </is>
      </c>
      <c r="C57" s="371" t="inlineStr">
        <is>
          <t>EPE</t>
        </is>
      </c>
      <c r="D57" s="404" t="inlineStr">
        <is>
          <t>← Tab 04 row 80 (IS EPE Core)</t>
        </is>
      </c>
      <c r="E57" s="361">
        <f>'04 Producer Engine'!E80</f>
        <v/>
      </c>
      <c r="F57" s="361">
        <f>'04 Producer Engine'!F80</f>
        <v/>
      </c>
      <c r="G57" s="361">
        <f>'04 Producer Engine'!G80</f>
        <v/>
      </c>
      <c r="H57" s="361">
        <f>'04 Producer Engine'!H80</f>
        <v/>
      </c>
      <c r="I57" s="405">
        <f>AVERAGE(E57:H57)</f>
        <v/>
      </c>
      <c r="J57" s="361">
        <f>'04 Producer Engine'!J80</f>
        <v/>
      </c>
      <c r="K57" s="361">
        <f>'04 Producer Engine'!K80</f>
        <v/>
      </c>
      <c r="L57" s="361">
        <f>'04 Producer Engine'!L80</f>
        <v/>
      </c>
      <c r="M57" s="361">
        <f>'04 Producer Engine'!M80</f>
        <v/>
      </c>
      <c r="N57" s="405">
        <f>AVERAGE(J57:M57)</f>
        <v/>
      </c>
      <c r="O57" s="361">
        <f>'04 Producer Engine'!O80</f>
        <v/>
      </c>
      <c r="P57" s="361">
        <f>'04 Producer Engine'!P80</f>
        <v/>
      </c>
      <c r="Q57" s="361">
        <f>'04 Producer Engine'!Q80</f>
        <v/>
      </c>
      <c r="R57" s="361">
        <f>'04 Producer Engine'!R80</f>
        <v/>
      </c>
      <c r="S57" s="405">
        <f>AVERAGE(O57:R57)</f>
        <v/>
      </c>
      <c r="T57" s="361">
        <f>'04 Producer Engine'!T80</f>
        <v/>
      </c>
      <c r="U57" s="361">
        <f>'04 Producer Engine'!U80</f>
        <v/>
      </c>
      <c r="V57" s="361">
        <f>'04 Producer Engine'!V80</f>
        <v/>
      </c>
      <c r="W57" s="361">
        <f>'04 Producer Engine'!W80</f>
        <v/>
      </c>
      <c r="X57" s="405">
        <f>AVERAGE(T57:W57)</f>
        <v/>
      </c>
      <c r="Y57" s="361">
        <f>'04 Producer Engine'!Y80</f>
        <v/>
      </c>
      <c r="Z57" s="361">
        <f>'04 Producer Engine'!Z80</f>
        <v/>
      </c>
      <c r="AA57" s="361">
        <f>'04 Producer Engine'!AA80</f>
        <v/>
      </c>
      <c r="AB57" s="361">
        <f>'04 Producer Engine'!AB80</f>
        <v/>
      </c>
      <c r="AC57" s="405">
        <f>AVERAGE(Y57:AB57)</f>
        <v/>
      </c>
      <c r="AD57" s="361">
        <f>'04 Producer Engine'!AD80</f>
        <v/>
      </c>
      <c r="AE57" s="361">
        <f>'04 Producer Engine'!AE80</f>
        <v/>
      </c>
      <c r="AF57" s="361">
        <f>'04 Producer Engine'!AF80</f>
        <v/>
      </c>
      <c r="AG57" s="361">
        <f>'04 Producer Engine'!AG80</f>
        <v/>
      </c>
      <c r="AH57" s="405">
        <f>AVERAGE(AD57:AG57)</f>
        <v/>
      </c>
      <c r="AI57" s="361">
        <f>'04 Producer Engine'!AI80</f>
        <v/>
      </c>
      <c r="AJ57" s="361">
        <f>'04 Producer Engine'!AJ80</f>
        <v/>
      </c>
      <c r="AK57" s="361">
        <f>'04 Producer Engine'!AK80</f>
        <v/>
      </c>
      <c r="AL57" s="361">
        <f>'04 Producer Engine'!AL80</f>
        <v/>
      </c>
      <c r="AM57" s="405">
        <f>AVERAGE(AI57:AL57)</f>
        <v/>
      </c>
      <c r="AN57" s="361">
        <f>'04 Producer Engine'!AN80</f>
        <v/>
      </c>
      <c r="AO57" s="361">
        <f>'04 Producer Engine'!AO80</f>
        <v/>
      </c>
      <c r="AP57" s="361">
        <f>'04 Producer Engine'!AP80</f>
        <v/>
      </c>
      <c r="AQ57" s="361">
        <f>'04 Producer Engine'!AQ80</f>
        <v/>
      </c>
      <c r="AR57" s="405">
        <f>AVERAGE(AN57:AQ57)</f>
        <v/>
      </c>
    </row>
    <row r="58" ht="13.5" customHeight="1" s="290">
      <c r="A58" s="345" t="n"/>
      <c r="B58" s="370" t="inlineStr">
        <is>
          <t xml:space="preserve">  EPE — IS Junior</t>
        </is>
      </c>
      <c r="C58" s="371" t="inlineStr">
        <is>
          <t>EPE</t>
        </is>
      </c>
      <c r="D58" s="404" t="inlineStr">
        <is>
          <t>← Tab 04 row 93 (IS EPE Junior)</t>
        </is>
      </c>
      <c r="E58" s="361">
        <f>'04 Producer Engine'!E93</f>
        <v/>
      </c>
      <c r="F58" s="361">
        <f>'04 Producer Engine'!F93</f>
        <v/>
      </c>
      <c r="G58" s="361">
        <f>'04 Producer Engine'!G93</f>
        <v/>
      </c>
      <c r="H58" s="361">
        <f>'04 Producer Engine'!H93</f>
        <v/>
      </c>
      <c r="I58" s="405">
        <f>AVERAGE(E58:H58)</f>
        <v/>
      </c>
      <c r="J58" s="361">
        <f>'04 Producer Engine'!J93</f>
        <v/>
      </c>
      <c r="K58" s="361">
        <f>'04 Producer Engine'!K93</f>
        <v/>
      </c>
      <c r="L58" s="361">
        <f>'04 Producer Engine'!L93</f>
        <v/>
      </c>
      <c r="M58" s="361">
        <f>'04 Producer Engine'!M93</f>
        <v/>
      </c>
      <c r="N58" s="405">
        <f>AVERAGE(J58:M58)</f>
        <v/>
      </c>
      <c r="O58" s="361">
        <f>'04 Producer Engine'!O93</f>
        <v/>
      </c>
      <c r="P58" s="361">
        <f>'04 Producer Engine'!P93</f>
        <v/>
      </c>
      <c r="Q58" s="361">
        <f>'04 Producer Engine'!Q93</f>
        <v/>
      </c>
      <c r="R58" s="361">
        <f>'04 Producer Engine'!R93</f>
        <v/>
      </c>
      <c r="S58" s="405">
        <f>AVERAGE(O58:R58)</f>
        <v/>
      </c>
      <c r="T58" s="361">
        <f>'04 Producer Engine'!T93</f>
        <v/>
      </c>
      <c r="U58" s="361">
        <f>'04 Producer Engine'!U93</f>
        <v/>
      </c>
      <c r="V58" s="361">
        <f>'04 Producer Engine'!V93</f>
        <v/>
      </c>
      <c r="W58" s="361">
        <f>'04 Producer Engine'!W93</f>
        <v/>
      </c>
      <c r="X58" s="405">
        <f>AVERAGE(T58:W58)</f>
        <v/>
      </c>
      <c r="Y58" s="361">
        <f>'04 Producer Engine'!Y93</f>
        <v/>
      </c>
      <c r="Z58" s="361">
        <f>'04 Producer Engine'!Z93</f>
        <v/>
      </c>
      <c r="AA58" s="361">
        <f>'04 Producer Engine'!AA93</f>
        <v/>
      </c>
      <c r="AB58" s="361">
        <f>'04 Producer Engine'!AB93</f>
        <v/>
      </c>
      <c r="AC58" s="405">
        <f>AVERAGE(Y58:AB58)</f>
        <v/>
      </c>
      <c r="AD58" s="361">
        <f>'04 Producer Engine'!AD93</f>
        <v/>
      </c>
      <c r="AE58" s="361">
        <f>'04 Producer Engine'!AE93</f>
        <v/>
      </c>
      <c r="AF58" s="361">
        <f>'04 Producer Engine'!AF93</f>
        <v/>
      </c>
      <c r="AG58" s="361">
        <f>'04 Producer Engine'!AG93</f>
        <v/>
      </c>
      <c r="AH58" s="405">
        <f>AVERAGE(AD58:AG58)</f>
        <v/>
      </c>
      <c r="AI58" s="361">
        <f>'04 Producer Engine'!AI93</f>
        <v/>
      </c>
      <c r="AJ58" s="361">
        <f>'04 Producer Engine'!AJ93</f>
        <v/>
      </c>
      <c r="AK58" s="361">
        <f>'04 Producer Engine'!AK93</f>
        <v/>
      </c>
      <c r="AL58" s="361">
        <f>'04 Producer Engine'!AL93</f>
        <v/>
      </c>
      <c r="AM58" s="405">
        <f>AVERAGE(AI58:AL58)</f>
        <v/>
      </c>
      <c r="AN58" s="361">
        <f>'04 Producer Engine'!AN93</f>
        <v/>
      </c>
      <c r="AO58" s="361">
        <f>'04 Producer Engine'!AO93</f>
        <v/>
      </c>
      <c r="AP58" s="361">
        <f>'04 Producer Engine'!AP93</f>
        <v/>
      </c>
      <c r="AQ58" s="361">
        <f>'04 Producer Engine'!AQ93</f>
        <v/>
      </c>
      <c r="AR58" s="405">
        <f>AVERAGE(AN58:AQ58)</f>
        <v/>
      </c>
    </row>
    <row r="59" ht="13.5" customHeight="1" s="290">
      <c r="A59" s="345" t="n"/>
      <c r="B59" s="370" t="inlineStr">
        <is>
          <t xml:space="preserve">  Deals/EPE/Qtr — IS Rainmaker (Active)</t>
        </is>
      </c>
      <c r="C59" s="371" t="inlineStr">
        <is>
          <t>#/qtr</t>
        </is>
      </c>
      <c r="D59" s="394" t="inlineStr">
        <is>
          <t>← Tab 03 row 198</t>
        </is>
      </c>
      <c r="E59" s="361">
        <f>'03 Operational Assumptions'!E198</f>
        <v/>
      </c>
      <c r="F59" s="361">
        <f>'03 Operational Assumptions'!F198</f>
        <v/>
      </c>
      <c r="G59" s="361">
        <f>'03 Operational Assumptions'!G198</f>
        <v/>
      </c>
      <c r="H59" s="361">
        <f>'03 Operational Assumptions'!H198</f>
        <v/>
      </c>
      <c r="I59" s="361">
        <f>AVERAGE(E59:H59)</f>
        <v/>
      </c>
      <c r="J59" s="361">
        <f>'03 Operational Assumptions'!J198</f>
        <v/>
      </c>
      <c r="K59" s="361">
        <f>'03 Operational Assumptions'!K198</f>
        <v/>
      </c>
      <c r="L59" s="361">
        <f>'03 Operational Assumptions'!L198</f>
        <v/>
      </c>
      <c r="M59" s="361">
        <f>'03 Operational Assumptions'!M198</f>
        <v/>
      </c>
      <c r="N59" s="361">
        <f>AVERAGE(J59:M59)</f>
        <v/>
      </c>
      <c r="O59" s="361">
        <f>'03 Operational Assumptions'!O198</f>
        <v/>
      </c>
      <c r="P59" s="361">
        <f>'03 Operational Assumptions'!P198</f>
        <v/>
      </c>
      <c r="Q59" s="361">
        <f>'03 Operational Assumptions'!Q198</f>
        <v/>
      </c>
      <c r="R59" s="361">
        <f>'03 Operational Assumptions'!R198</f>
        <v/>
      </c>
      <c r="S59" s="361">
        <f>AVERAGE(O59:R59)</f>
        <v/>
      </c>
      <c r="T59" s="361">
        <f>'03 Operational Assumptions'!T198</f>
        <v/>
      </c>
      <c r="U59" s="361">
        <f>'03 Operational Assumptions'!U198</f>
        <v/>
      </c>
      <c r="V59" s="361">
        <f>'03 Operational Assumptions'!V198</f>
        <v/>
      </c>
      <c r="W59" s="361">
        <f>'03 Operational Assumptions'!W198</f>
        <v/>
      </c>
      <c r="X59" s="361">
        <f>AVERAGE(T59:W59)</f>
        <v/>
      </c>
      <c r="Y59" s="361">
        <f>'03 Operational Assumptions'!Y198</f>
        <v/>
      </c>
      <c r="Z59" s="361">
        <f>'03 Operational Assumptions'!Z198</f>
        <v/>
      </c>
      <c r="AA59" s="361">
        <f>'03 Operational Assumptions'!AA198</f>
        <v/>
      </c>
      <c r="AB59" s="361">
        <f>'03 Operational Assumptions'!AB198</f>
        <v/>
      </c>
      <c r="AC59" s="361">
        <f>AVERAGE(Y59:AB59)</f>
        <v/>
      </c>
      <c r="AD59" s="361">
        <f>'03 Operational Assumptions'!AD198</f>
        <v/>
      </c>
      <c r="AE59" s="361">
        <f>'03 Operational Assumptions'!AE198</f>
        <v/>
      </c>
      <c r="AF59" s="361">
        <f>'03 Operational Assumptions'!AF198</f>
        <v/>
      </c>
      <c r="AG59" s="361">
        <f>'03 Operational Assumptions'!AG198</f>
        <v/>
      </c>
      <c r="AH59" s="361">
        <f>AVERAGE(AD59:AG59)</f>
        <v/>
      </c>
      <c r="AI59" s="361">
        <f>'03 Operational Assumptions'!AI198</f>
        <v/>
      </c>
      <c r="AJ59" s="361">
        <f>'03 Operational Assumptions'!AJ198</f>
        <v/>
      </c>
      <c r="AK59" s="361">
        <f>'03 Operational Assumptions'!AK198</f>
        <v/>
      </c>
      <c r="AL59" s="361">
        <f>'03 Operational Assumptions'!AL198</f>
        <v/>
      </c>
      <c r="AM59" s="361">
        <f>AVERAGE(AI59:AL59)</f>
        <v/>
      </c>
      <c r="AN59" s="361">
        <f>'03 Operational Assumptions'!AN198</f>
        <v/>
      </c>
      <c r="AO59" s="361">
        <f>'03 Operational Assumptions'!AO198</f>
        <v/>
      </c>
      <c r="AP59" s="361">
        <f>'03 Operational Assumptions'!AP198</f>
        <v/>
      </c>
      <c r="AQ59" s="361">
        <f>'03 Operational Assumptions'!AQ198</f>
        <v/>
      </c>
      <c r="AR59" s="361">
        <f>AVERAGE(AN59:AQ59)</f>
        <v/>
      </c>
    </row>
    <row r="60" ht="13.5" customHeight="1" s="290">
      <c r="A60" s="345" t="n"/>
      <c r="B60" s="370" t="inlineStr">
        <is>
          <t xml:space="preserve">  Deals/EPE/Qtr — IS Core (Active)</t>
        </is>
      </c>
      <c r="C60" s="371" t="inlineStr">
        <is>
          <t>#/qtr</t>
        </is>
      </c>
      <c r="D60" s="394" t="inlineStr">
        <is>
          <t>← Tab 03 row 203</t>
        </is>
      </c>
      <c r="E60" s="361">
        <f>'03 Operational Assumptions'!E203</f>
        <v/>
      </c>
      <c r="F60" s="361">
        <f>'03 Operational Assumptions'!F203</f>
        <v/>
      </c>
      <c r="G60" s="361">
        <f>'03 Operational Assumptions'!G203</f>
        <v/>
      </c>
      <c r="H60" s="361">
        <f>'03 Operational Assumptions'!H203</f>
        <v/>
      </c>
      <c r="I60" s="361">
        <f>AVERAGE(E60:H60)</f>
        <v/>
      </c>
      <c r="J60" s="361">
        <f>'03 Operational Assumptions'!J203</f>
        <v/>
      </c>
      <c r="K60" s="361">
        <f>'03 Operational Assumptions'!K203</f>
        <v/>
      </c>
      <c r="L60" s="361">
        <f>'03 Operational Assumptions'!L203</f>
        <v/>
      </c>
      <c r="M60" s="361">
        <f>'03 Operational Assumptions'!M203</f>
        <v/>
      </c>
      <c r="N60" s="361">
        <f>AVERAGE(J60:M60)</f>
        <v/>
      </c>
      <c r="O60" s="361">
        <f>'03 Operational Assumptions'!O203</f>
        <v/>
      </c>
      <c r="P60" s="361">
        <f>'03 Operational Assumptions'!P203</f>
        <v/>
      </c>
      <c r="Q60" s="361">
        <f>'03 Operational Assumptions'!Q203</f>
        <v/>
      </c>
      <c r="R60" s="361">
        <f>'03 Operational Assumptions'!R203</f>
        <v/>
      </c>
      <c r="S60" s="361">
        <f>AVERAGE(O60:R60)</f>
        <v/>
      </c>
      <c r="T60" s="361">
        <f>'03 Operational Assumptions'!T203</f>
        <v/>
      </c>
      <c r="U60" s="361">
        <f>'03 Operational Assumptions'!U203</f>
        <v/>
      </c>
      <c r="V60" s="361">
        <f>'03 Operational Assumptions'!V203</f>
        <v/>
      </c>
      <c r="W60" s="361">
        <f>'03 Operational Assumptions'!W203</f>
        <v/>
      </c>
      <c r="X60" s="361">
        <f>AVERAGE(T60:W60)</f>
        <v/>
      </c>
      <c r="Y60" s="361">
        <f>'03 Operational Assumptions'!Y203</f>
        <v/>
      </c>
      <c r="Z60" s="361">
        <f>'03 Operational Assumptions'!Z203</f>
        <v/>
      </c>
      <c r="AA60" s="361">
        <f>'03 Operational Assumptions'!AA203</f>
        <v/>
      </c>
      <c r="AB60" s="361">
        <f>'03 Operational Assumptions'!AB203</f>
        <v/>
      </c>
      <c r="AC60" s="361">
        <f>AVERAGE(Y60:AB60)</f>
        <v/>
      </c>
      <c r="AD60" s="361">
        <f>'03 Operational Assumptions'!AD203</f>
        <v/>
      </c>
      <c r="AE60" s="361">
        <f>'03 Operational Assumptions'!AE203</f>
        <v/>
      </c>
      <c r="AF60" s="361">
        <f>'03 Operational Assumptions'!AF203</f>
        <v/>
      </c>
      <c r="AG60" s="361">
        <f>'03 Operational Assumptions'!AG203</f>
        <v/>
      </c>
      <c r="AH60" s="361">
        <f>AVERAGE(AD60:AG60)</f>
        <v/>
      </c>
      <c r="AI60" s="361">
        <f>'03 Operational Assumptions'!AI203</f>
        <v/>
      </c>
      <c r="AJ60" s="361">
        <f>'03 Operational Assumptions'!AJ203</f>
        <v/>
      </c>
      <c r="AK60" s="361">
        <f>'03 Operational Assumptions'!AK203</f>
        <v/>
      </c>
      <c r="AL60" s="361">
        <f>'03 Operational Assumptions'!AL203</f>
        <v/>
      </c>
      <c r="AM60" s="361">
        <f>AVERAGE(AI60:AL60)</f>
        <v/>
      </c>
      <c r="AN60" s="361">
        <f>'03 Operational Assumptions'!AN203</f>
        <v/>
      </c>
      <c r="AO60" s="361">
        <f>'03 Operational Assumptions'!AO203</f>
        <v/>
      </c>
      <c r="AP60" s="361">
        <f>'03 Operational Assumptions'!AP203</f>
        <v/>
      </c>
      <c r="AQ60" s="361">
        <f>'03 Operational Assumptions'!AQ203</f>
        <v/>
      </c>
      <c r="AR60" s="361">
        <f>AVERAGE(AN60:AQ60)</f>
        <v/>
      </c>
    </row>
    <row r="61" ht="13.5" customHeight="1" s="290">
      <c r="A61" s="345" t="n"/>
      <c r="B61" s="370" t="inlineStr">
        <is>
          <t xml:space="preserve">  Deals/EPE/Qtr — IS Junior (Active)</t>
        </is>
      </c>
      <c r="C61" s="371" t="inlineStr">
        <is>
          <t>#/qtr</t>
        </is>
      </c>
      <c r="D61" s="394" t="inlineStr">
        <is>
          <t>← Tab 03 row 208</t>
        </is>
      </c>
      <c r="E61" s="361">
        <f>'03 Operational Assumptions'!E208</f>
        <v/>
      </c>
      <c r="F61" s="361">
        <f>'03 Operational Assumptions'!F208</f>
        <v/>
      </c>
      <c r="G61" s="361">
        <f>'03 Operational Assumptions'!G208</f>
        <v/>
      </c>
      <c r="H61" s="361">
        <f>'03 Operational Assumptions'!H208</f>
        <v/>
      </c>
      <c r="I61" s="361">
        <f>AVERAGE(E61:H61)</f>
        <v/>
      </c>
      <c r="J61" s="361">
        <f>'03 Operational Assumptions'!J208</f>
        <v/>
      </c>
      <c r="K61" s="361">
        <f>'03 Operational Assumptions'!K208</f>
        <v/>
      </c>
      <c r="L61" s="361">
        <f>'03 Operational Assumptions'!L208</f>
        <v/>
      </c>
      <c r="M61" s="361">
        <f>'03 Operational Assumptions'!M208</f>
        <v/>
      </c>
      <c r="N61" s="361">
        <f>AVERAGE(J61:M61)</f>
        <v/>
      </c>
      <c r="O61" s="361">
        <f>'03 Operational Assumptions'!O208</f>
        <v/>
      </c>
      <c r="P61" s="361">
        <f>'03 Operational Assumptions'!P208</f>
        <v/>
      </c>
      <c r="Q61" s="361">
        <f>'03 Operational Assumptions'!Q208</f>
        <v/>
      </c>
      <c r="R61" s="361">
        <f>'03 Operational Assumptions'!R208</f>
        <v/>
      </c>
      <c r="S61" s="361">
        <f>AVERAGE(O61:R61)</f>
        <v/>
      </c>
      <c r="T61" s="361">
        <f>'03 Operational Assumptions'!T208</f>
        <v/>
      </c>
      <c r="U61" s="361">
        <f>'03 Operational Assumptions'!U208</f>
        <v/>
      </c>
      <c r="V61" s="361">
        <f>'03 Operational Assumptions'!V208</f>
        <v/>
      </c>
      <c r="W61" s="361">
        <f>'03 Operational Assumptions'!W208</f>
        <v/>
      </c>
      <c r="X61" s="361">
        <f>AVERAGE(T61:W61)</f>
        <v/>
      </c>
      <c r="Y61" s="361">
        <f>'03 Operational Assumptions'!Y208</f>
        <v/>
      </c>
      <c r="Z61" s="361">
        <f>'03 Operational Assumptions'!Z208</f>
        <v/>
      </c>
      <c r="AA61" s="361">
        <f>'03 Operational Assumptions'!AA208</f>
        <v/>
      </c>
      <c r="AB61" s="361">
        <f>'03 Operational Assumptions'!AB208</f>
        <v/>
      </c>
      <c r="AC61" s="361">
        <f>AVERAGE(Y61:AB61)</f>
        <v/>
      </c>
      <c r="AD61" s="361">
        <f>'03 Operational Assumptions'!AD208</f>
        <v/>
      </c>
      <c r="AE61" s="361">
        <f>'03 Operational Assumptions'!AE208</f>
        <v/>
      </c>
      <c r="AF61" s="361">
        <f>'03 Operational Assumptions'!AF208</f>
        <v/>
      </c>
      <c r="AG61" s="361">
        <f>'03 Operational Assumptions'!AG208</f>
        <v/>
      </c>
      <c r="AH61" s="361">
        <f>AVERAGE(AD61:AG61)</f>
        <v/>
      </c>
      <c r="AI61" s="361">
        <f>'03 Operational Assumptions'!AI208</f>
        <v/>
      </c>
      <c r="AJ61" s="361">
        <f>'03 Operational Assumptions'!AJ208</f>
        <v/>
      </c>
      <c r="AK61" s="361">
        <f>'03 Operational Assumptions'!AK208</f>
        <v/>
      </c>
      <c r="AL61" s="361">
        <f>'03 Operational Assumptions'!AL208</f>
        <v/>
      </c>
      <c r="AM61" s="361">
        <f>AVERAGE(AI61:AL61)</f>
        <v/>
      </c>
      <c r="AN61" s="361">
        <f>'03 Operational Assumptions'!AN208</f>
        <v/>
      </c>
      <c r="AO61" s="361">
        <f>'03 Operational Assumptions'!AO208</f>
        <v/>
      </c>
      <c r="AP61" s="361">
        <f>'03 Operational Assumptions'!AP208</f>
        <v/>
      </c>
      <c r="AQ61" s="361">
        <f>'03 Operational Assumptions'!AQ208</f>
        <v/>
      </c>
      <c r="AR61" s="361">
        <f>AVERAGE(AN61:AQ61)</f>
        <v/>
      </c>
    </row>
    <row r="62" ht="13.5" customHeight="1" s="290">
      <c r="A62" s="345" t="n"/>
      <c r="B62" s="370" t="inlineStr">
        <is>
          <t xml:space="preserve">  Avg Deal Size — Institutional &gt;$50M (Active)</t>
        </is>
      </c>
      <c r="C62" s="371" t="inlineStr">
        <is>
          <t>$M/deal</t>
        </is>
      </c>
      <c r="D62" s="394" t="inlineStr">
        <is>
          <t>← Tab 02 row 73</t>
        </is>
      </c>
      <c r="E62" s="361">
        <f>'02 Market Assumptions'!E73</f>
        <v/>
      </c>
      <c r="F62" s="361">
        <f>'02 Market Assumptions'!F73</f>
        <v/>
      </c>
      <c r="G62" s="361">
        <f>'02 Market Assumptions'!G73</f>
        <v/>
      </c>
      <c r="H62" s="361">
        <f>'02 Market Assumptions'!H73</f>
        <v/>
      </c>
      <c r="I62" s="361">
        <f>SUM(E62:H62)</f>
        <v/>
      </c>
      <c r="J62" s="361">
        <f>'02 Market Assumptions'!J73</f>
        <v/>
      </c>
      <c r="K62" s="361">
        <f>'02 Market Assumptions'!K73</f>
        <v/>
      </c>
      <c r="L62" s="361">
        <f>'02 Market Assumptions'!L73</f>
        <v/>
      </c>
      <c r="M62" s="361">
        <f>'02 Market Assumptions'!M73</f>
        <v/>
      </c>
      <c r="N62" s="361">
        <f>SUM(J62:M62)</f>
        <v/>
      </c>
      <c r="O62" s="361">
        <f>'02 Market Assumptions'!O73</f>
        <v/>
      </c>
      <c r="P62" s="361">
        <f>'02 Market Assumptions'!P73</f>
        <v/>
      </c>
      <c r="Q62" s="361">
        <f>'02 Market Assumptions'!Q73</f>
        <v/>
      </c>
      <c r="R62" s="361">
        <f>'02 Market Assumptions'!R73</f>
        <v/>
      </c>
      <c r="S62" s="361">
        <f>SUM(O62:R62)</f>
        <v/>
      </c>
      <c r="T62" s="361">
        <f>'02 Market Assumptions'!T73</f>
        <v/>
      </c>
      <c r="U62" s="361">
        <f>'02 Market Assumptions'!U73</f>
        <v/>
      </c>
      <c r="V62" s="361">
        <f>'02 Market Assumptions'!V73</f>
        <v/>
      </c>
      <c r="W62" s="361">
        <f>'02 Market Assumptions'!W73</f>
        <v/>
      </c>
      <c r="X62" s="361">
        <f>SUM(T62:W62)</f>
        <v/>
      </c>
      <c r="Y62" s="361">
        <f>'02 Market Assumptions'!Y73</f>
        <v/>
      </c>
      <c r="Z62" s="361">
        <f>'02 Market Assumptions'!Z73</f>
        <v/>
      </c>
      <c r="AA62" s="361">
        <f>'02 Market Assumptions'!AA73</f>
        <v/>
      </c>
      <c r="AB62" s="361">
        <f>'02 Market Assumptions'!AB73</f>
        <v/>
      </c>
      <c r="AC62" s="361">
        <f>SUM(Y62:AB62)</f>
        <v/>
      </c>
      <c r="AD62" s="361">
        <f>'02 Market Assumptions'!AD73</f>
        <v/>
      </c>
      <c r="AE62" s="361">
        <f>'02 Market Assumptions'!AE73</f>
        <v/>
      </c>
      <c r="AF62" s="361">
        <f>'02 Market Assumptions'!AF73</f>
        <v/>
      </c>
      <c r="AG62" s="361">
        <f>'02 Market Assumptions'!AG73</f>
        <v/>
      </c>
      <c r="AH62" s="361">
        <f>SUM(AD62:AG62)</f>
        <v/>
      </c>
      <c r="AI62" s="361">
        <f>'02 Market Assumptions'!AI73</f>
        <v/>
      </c>
      <c r="AJ62" s="361">
        <f>'02 Market Assumptions'!AJ73</f>
        <v/>
      </c>
      <c r="AK62" s="361">
        <f>'02 Market Assumptions'!AK73</f>
        <v/>
      </c>
      <c r="AL62" s="361">
        <f>'02 Market Assumptions'!AL73</f>
        <v/>
      </c>
      <c r="AM62" s="361">
        <f>SUM(AI62:AL62)</f>
        <v/>
      </c>
      <c r="AN62" s="361">
        <f>'02 Market Assumptions'!AN73</f>
        <v/>
      </c>
      <c r="AO62" s="361">
        <f>'02 Market Assumptions'!AO73</f>
        <v/>
      </c>
      <c r="AP62" s="361">
        <f>'02 Market Assumptions'!AP73</f>
        <v/>
      </c>
      <c r="AQ62" s="361">
        <f>'02 Market Assumptions'!AQ73</f>
        <v/>
      </c>
      <c r="AR62" s="361">
        <f>SUM(AN62:AQ62)</f>
        <v/>
      </c>
    </row>
    <row r="63" ht="13.5" customHeight="1" s="290">
      <c r="A63" s="345" t="n"/>
      <c r="B63" s="370" t="inlineStr">
        <is>
          <t xml:space="preserve">  Avg Deal Size — Mid Market $10–50M (Active)</t>
        </is>
      </c>
      <c r="C63" s="371" t="inlineStr">
        <is>
          <t>$M/deal</t>
        </is>
      </c>
      <c r="D63" s="394" t="inlineStr">
        <is>
          <t>← Tab 02 row 78</t>
        </is>
      </c>
      <c r="E63" s="361">
        <f>'02 Market Assumptions'!E78</f>
        <v/>
      </c>
      <c r="F63" s="361">
        <f>'02 Market Assumptions'!F78</f>
        <v/>
      </c>
      <c r="G63" s="361">
        <f>'02 Market Assumptions'!G78</f>
        <v/>
      </c>
      <c r="H63" s="361">
        <f>'02 Market Assumptions'!H78</f>
        <v/>
      </c>
      <c r="I63" s="361">
        <f>SUM(E63:H63)</f>
        <v/>
      </c>
      <c r="J63" s="361">
        <f>'02 Market Assumptions'!J78</f>
        <v/>
      </c>
      <c r="K63" s="361">
        <f>'02 Market Assumptions'!K78</f>
        <v/>
      </c>
      <c r="L63" s="361">
        <f>'02 Market Assumptions'!L78</f>
        <v/>
      </c>
      <c r="M63" s="361">
        <f>'02 Market Assumptions'!M78</f>
        <v/>
      </c>
      <c r="N63" s="361">
        <f>SUM(J63:M63)</f>
        <v/>
      </c>
      <c r="O63" s="361">
        <f>'02 Market Assumptions'!O78</f>
        <v/>
      </c>
      <c r="P63" s="361">
        <f>'02 Market Assumptions'!P78</f>
        <v/>
      </c>
      <c r="Q63" s="361">
        <f>'02 Market Assumptions'!Q78</f>
        <v/>
      </c>
      <c r="R63" s="361">
        <f>'02 Market Assumptions'!R78</f>
        <v/>
      </c>
      <c r="S63" s="361">
        <f>SUM(O63:R63)</f>
        <v/>
      </c>
      <c r="T63" s="361">
        <f>'02 Market Assumptions'!T78</f>
        <v/>
      </c>
      <c r="U63" s="361">
        <f>'02 Market Assumptions'!U78</f>
        <v/>
      </c>
      <c r="V63" s="361">
        <f>'02 Market Assumptions'!V78</f>
        <v/>
      </c>
      <c r="W63" s="361">
        <f>'02 Market Assumptions'!W78</f>
        <v/>
      </c>
      <c r="X63" s="361">
        <f>SUM(T63:W63)</f>
        <v/>
      </c>
      <c r="Y63" s="361">
        <f>'02 Market Assumptions'!Y78</f>
        <v/>
      </c>
      <c r="Z63" s="361">
        <f>'02 Market Assumptions'!Z78</f>
        <v/>
      </c>
      <c r="AA63" s="361">
        <f>'02 Market Assumptions'!AA78</f>
        <v/>
      </c>
      <c r="AB63" s="361">
        <f>'02 Market Assumptions'!AB78</f>
        <v/>
      </c>
      <c r="AC63" s="361">
        <f>SUM(Y63:AB63)</f>
        <v/>
      </c>
      <c r="AD63" s="361">
        <f>'02 Market Assumptions'!AD78</f>
        <v/>
      </c>
      <c r="AE63" s="361">
        <f>'02 Market Assumptions'!AE78</f>
        <v/>
      </c>
      <c r="AF63" s="361">
        <f>'02 Market Assumptions'!AF78</f>
        <v/>
      </c>
      <c r="AG63" s="361">
        <f>'02 Market Assumptions'!AG78</f>
        <v/>
      </c>
      <c r="AH63" s="361">
        <f>SUM(AD63:AG63)</f>
        <v/>
      </c>
      <c r="AI63" s="361">
        <f>'02 Market Assumptions'!AI78</f>
        <v/>
      </c>
      <c r="AJ63" s="361">
        <f>'02 Market Assumptions'!AJ78</f>
        <v/>
      </c>
      <c r="AK63" s="361">
        <f>'02 Market Assumptions'!AK78</f>
        <v/>
      </c>
      <c r="AL63" s="361">
        <f>'02 Market Assumptions'!AL78</f>
        <v/>
      </c>
      <c r="AM63" s="361">
        <f>SUM(AI63:AL63)</f>
        <v/>
      </c>
      <c r="AN63" s="361">
        <f>'02 Market Assumptions'!AN78</f>
        <v/>
      </c>
      <c r="AO63" s="361">
        <f>'02 Market Assumptions'!AO78</f>
        <v/>
      </c>
      <c r="AP63" s="361">
        <f>'02 Market Assumptions'!AP78</f>
        <v/>
      </c>
      <c r="AQ63" s="361">
        <f>'02 Market Assumptions'!AQ78</f>
        <v/>
      </c>
      <c r="AR63" s="361">
        <f>SUM(AN63:AQ63)</f>
        <v/>
      </c>
    </row>
    <row r="64" ht="13.5" customHeight="1" s="290">
      <c r="A64" s="345" t="n"/>
      <c r="B64" s="370" t="inlineStr">
        <is>
          <t xml:space="preserve">  Avg Deal Size — Small &lt;$10M (Active)</t>
        </is>
      </c>
      <c r="C64" s="371" t="inlineStr">
        <is>
          <t>$M/deal</t>
        </is>
      </c>
      <c r="D64" s="394" t="inlineStr">
        <is>
          <t>← Tab 02 row 83</t>
        </is>
      </c>
      <c r="E64" s="361">
        <f>'02 Market Assumptions'!E83</f>
        <v/>
      </c>
      <c r="F64" s="361">
        <f>'02 Market Assumptions'!F83</f>
        <v/>
      </c>
      <c r="G64" s="361">
        <f>'02 Market Assumptions'!G83</f>
        <v/>
      </c>
      <c r="H64" s="361">
        <f>'02 Market Assumptions'!H83</f>
        <v/>
      </c>
      <c r="I64" s="361">
        <f>SUM(E64:H64)</f>
        <v/>
      </c>
      <c r="J64" s="361">
        <f>'02 Market Assumptions'!J83</f>
        <v/>
      </c>
      <c r="K64" s="361">
        <f>'02 Market Assumptions'!K83</f>
        <v/>
      </c>
      <c r="L64" s="361">
        <f>'02 Market Assumptions'!L83</f>
        <v/>
      </c>
      <c r="M64" s="361">
        <f>'02 Market Assumptions'!M83</f>
        <v/>
      </c>
      <c r="N64" s="361">
        <f>SUM(J64:M64)</f>
        <v/>
      </c>
      <c r="O64" s="361">
        <f>'02 Market Assumptions'!O83</f>
        <v/>
      </c>
      <c r="P64" s="361">
        <f>'02 Market Assumptions'!P83</f>
        <v/>
      </c>
      <c r="Q64" s="361">
        <f>'02 Market Assumptions'!Q83</f>
        <v/>
      </c>
      <c r="R64" s="361">
        <f>'02 Market Assumptions'!R83</f>
        <v/>
      </c>
      <c r="S64" s="361">
        <f>SUM(O64:R64)</f>
        <v/>
      </c>
      <c r="T64" s="361">
        <f>'02 Market Assumptions'!T83</f>
        <v/>
      </c>
      <c r="U64" s="361">
        <f>'02 Market Assumptions'!U83</f>
        <v/>
      </c>
      <c r="V64" s="361">
        <f>'02 Market Assumptions'!V83</f>
        <v/>
      </c>
      <c r="W64" s="361">
        <f>'02 Market Assumptions'!W83</f>
        <v/>
      </c>
      <c r="X64" s="361">
        <f>SUM(T64:W64)</f>
        <v/>
      </c>
      <c r="Y64" s="361">
        <f>'02 Market Assumptions'!Y83</f>
        <v/>
      </c>
      <c r="Z64" s="361">
        <f>'02 Market Assumptions'!Z83</f>
        <v/>
      </c>
      <c r="AA64" s="361">
        <f>'02 Market Assumptions'!AA83</f>
        <v/>
      </c>
      <c r="AB64" s="361">
        <f>'02 Market Assumptions'!AB83</f>
        <v/>
      </c>
      <c r="AC64" s="361">
        <f>SUM(Y64:AB64)</f>
        <v/>
      </c>
      <c r="AD64" s="361">
        <f>'02 Market Assumptions'!AD83</f>
        <v/>
      </c>
      <c r="AE64" s="361">
        <f>'02 Market Assumptions'!AE83</f>
        <v/>
      </c>
      <c r="AF64" s="361">
        <f>'02 Market Assumptions'!AF83</f>
        <v/>
      </c>
      <c r="AG64" s="361">
        <f>'02 Market Assumptions'!AG83</f>
        <v/>
      </c>
      <c r="AH64" s="361">
        <f>SUM(AD64:AG64)</f>
        <v/>
      </c>
      <c r="AI64" s="361">
        <f>'02 Market Assumptions'!AI83</f>
        <v/>
      </c>
      <c r="AJ64" s="361">
        <f>'02 Market Assumptions'!AJ83</f>
        <v/>
      </c>
      <c r="AK64" s="361">
        <f>'02 Market Assumptions'!AK83</f>
        <v/>
      </c>
      <c r="AL64" s="361">
        <f>'02 Market Assumptions'!AL83</f>
        <v/>
      </c>
      <c r="AM64" s="361">
        <f>SUM(AI64:AL64)</f>
        <v/>
      </c>
      <c r="AN64" s="361">
        <f>'02 Market Assumptions'!AN83</f>
        <v/>
      </c>
      <c r="AO64" s="361">
        <f>'02 Market Assumptions'!AO83</f>
        <v/>
      </c>
      <c r="AP64" s="361">
        <f>'02 Market Assumptions'!AP83</f>
        <v/>
      </c>
      <c r="AQ64" s="361">
        <f>'02 Market Assumptions'!AQ83</f>
        <v/>
      </c>
      <c r="AR64" s="361">
        <f>SUM(AN64:AQ64)</f>
        <v/>
      </c>
    </row>
    <row r="65" ht="13.5" customHeight="1" s="290">
      <c r="A65" s="345" t="n"/>
      <c r="B65" s="370" t="inlineStr">
        <is>
          <t xml:space="preserve">  IS Bps — Institutional (Active)</t>
        </is>
      </c>
      <c r="C65" s="371" t="inlineStr">
        <is>
          <t>bps</t>
        </is>
      </c>
      <c r="D65" s="394" t="inlineStr">
        <is>
          <t>← Tab 02 row 129</t>
        </is>
      </c>
      <c r="E65" s="361">
        <f>'02 Market Assumptions'!E129</f>
        <v/>
      </c>
      <c r="F65" s="361">
        <f>'02 Market Assumptions'!F129</f>
        <v/>
      </c>
      <c r="G65" s="361">
        <f>'02 Market Assumptions'!G129</f>
        <v/>
      </c>
      <c r="H65" s="361">
        <f>'02 Market Assumptions'!H129</f>
        <v/>
      </c>
      <c r="I65" s="361">
        <f>AVERAGE(E65:H65)</f>
        <v/>
      </c>
      <c r="J65" s="361">
        <f>'02 Market Assumptions'!J129</f>
        <v/>
      </c>
      <c r="K65" s="361">
        <f>'02 Market Assumptions'!K129</f>
        <v/>
      </c>
      <c r="L65" s="361">
        <f>'02 Market Assumptions'!L129</f>
        <v/>
      </c>
      <c r="M65" s="361">
        <f>'02 Market Assumptions'!M129</f>
        <v/>
      </c>
      <c r="N65" s="361">
        <f>AVERAGE(J65:M65)</f>
        <v/>
      </c>
      <c r="O65" s="361">
        <f>'02 Market Assumptions'!O129</f>
        <v/>
      </c>
      <c r="P65" s="361">
        <f>'02 Market Assumptions'!P129</f>
        <v/>
      </c>
      <c r="Q65" s="361">
        <f>'02 Market Assumptions'!Q129</f>
        <v/>
      </c>
      <c r="R65" s="361">
        <f>'02 Market Assumptions'!R129</f>
        <v/>
      </c>
      <c r="S65" s="361">
        <f>AVERAGE(O65:R65)</f>
        <v/>
      </c>
      <c r="T65" s="361">
        <f>'02 Market Assumptions'!T129</f>
        <v/>
      </c>
      <c r="U65" s="361">
        <f>'02 Market Assumptions'!U129</f>
        <v/>
      </c>
      <c r="V65" s="361">
        <f>'02 Market Assumptions'!V129</f>
        <v/>
      </c>
      <c r="W65" s="361">
        <f>'02 Market Assumptions'!W129</f>
        <v/>
      </c>
      <c r="X65" s="361">
        <f>AVERAGE(T65:W65)</f>
        <v/>
      </c>
      <c r="Y65" s="361">
        <f>'02 Market Assumptions'!Y129</f>
        <v/>
      </c>
      <c r="Z65" s="361">
        <f>'02 Market Assumptions'!Z129</f>
        <v/>
      </c>
      <c r="AA65" s="361">
        <f>'02 Market Assumptions'!AA129</f>
        <v/>
      </c>
      <c r="AB65" s="361">
        <f>'02 Market Assumptions'!AB129</f>
        <v/>
      </c>
      <c r="AC65" s="361">
        <f>AVERAGE(Y65:AB65)</f>
        <v/>
      </c>
      <c r="AD65" s="361">
        <f>'02 Market Assumptions'!AD129</f>
        <v/>
      </c>
      <c r="AE65" s="361">
        <f>'02 Market Assumptions'!AE129</f>
        <v/>
      </c>
      <c r="AF65" s="361">
        <f>'02 Market Assumptions'!AF129</f>
        <v/>
      </c>
      <c r="AG65" s="361">
        <f>'02 Market Assumptions'!AG129</f>
        <v/>
      </c>
      <c r="AH65" s="361">
        <f>AVERAGE(AD65:AG65)</f>
        <v/>
      </c>
      <c r="AI65" s="361">
        <f>'02 Market Assumptions'!AI129</f>
        <v/>
      </c>
      <c r="AJ65" s="361">
        <f>'02 Market Assumptions'!AJ129</f>
        <v/>
      </c>
      <c r="AK65" s="361">
        <f>'02 Market Assumptions'!AK129</f>
        <v/>
      </c>
      <c r="AL65" s="361">
        <f>'02 Market Assumptions'!AL129</f>
        <v/>
      </c>
      <c r="AM65" s="361">
        <f>AVERAGE(AI65:AL65)</f>
        <v/>
      </c>
      <c r="AN65" s="361">
        <f>'02 Market Assumptions'!AN129</f>
        <v/>
      </c>
      <c r="AO65" s="361">
        <f>'02 Market Assumptions'!AO129</f>
        <v/>
      </c>
      <c r="AP65" s="361">
        <f>'02 Market Assumptions'!AP129</f>
        <v/>
      </c>
      <c r="AQ65" s="361">
        <f>'02 Market Assumptions'!AQ129</f>
        <v/>
      </c>
      <c r="AR65" s="361">
        <f>AVERAGE(AN65:AQ65)</f>
        <v/>
      </c>
    </row>
    <row r="66" ht="13.5" customHeight="1" s="290">
      <c r="A66" s="345" t="n"/>
      <c r="B66" s="370" t="inlineStr">
        <is>
          <t xml:space="preserve">  IS Bps — Mid Market (Active)</t>
        </is>
      </c>
      <c r="C66" s="371" t="inlineStr">
        <is>
          <t>bps</t>
        </is>
      </c>
      <c r="D66" s="394" t="inlineStr">
        <is>
          <t>← Tab 02 row 124</t>
        </is>
      </c>
      <c r="E66" s="361">
        <f>'02 Market Assumptions'!E124</f>
        <v/>
      </c>
      <c r="F66" s="361">
        <f>'02 Market Assumptions'!F124</f>
        <v/>
      </c>
      <c r="G66" s="361">
        <f>'02 Market Assumptions'!G124</f>
        <v/>
      </c>
      <c r="H66" s="361">
        <f>'02 Market Assumptions'!H124</f>
        <v/>
      </c>
      <c r="I66" s="361">
        <f>AVERAGE(E66:H66)</f>
        <v/>
      </c>
      <c r="J66" s="361">
        <f>'02 Market Assumptions'!J124</f>
        <v/>
      </c>
      <c r="K66" s="361">
        <f>'02 Market Assumptions'!K124</f>
        <v/>
      </c>
      <c r="L66" s="361">
        <f>'02 Market Assumptions'!L124</f>
        <v/>
      </c>
      <c r="M66" s="361">
        <f>'02 Market Assumptions'!M124</f>
        <v/>
      </c>
      <c r="N66" s="361">
        <f>AVERAGE(J66:M66)</f>
        <v/>
      </c>
      <c r="O66" s="361">
        <f>'02 Market Assumptions'!O124</f>
        <v/>
      </c>
      <c r="P66" s="361">
        <f>'02 Market Assumptions'!P124</f>
        <v/>
      </c>
      <c r="Q66" s="361">
        <f>'02 Market Assumptions'!Q124</f>
        <v/>
      </c>
      <c r="R66" s="361">
        <f>'02 Market Assumptions'!R124</f>
        <v/>
      </c>
      <c r="S66" s="361">
        <f>AVERAGE(O66:R66)</f>
        <v/>
      </c>
      <c r="T66" s="361">
        <f>'02 Market Assumptions'!T124</f>
        <v/>
      </c>
      <c r="U66" s="361">
        <f>'02 Market Assumptions'!U124</f>
        <v/>
      </c>
      <c r="V66" s="361">
        <f>'02 Market Assumptions'!V124</f>
        <v/>
      </c>
      <c r="W66" s="361">
        <f>'02 Market Assumptions'!W124</f>
        <v/>
      </c>
      <c r="X66" s="361">
        <f>AVERAGE(T66:W66)</f>
        <v/>
      </c>
      <c r="Y66" s="361">
        <f>'02 Market Assumptions'!Y124</f>
        <v/>
      </c>
      <c r="Z66" s="361">
        <f>'02 Market Assumptions'!Z124</f>
        <v/>
      </c>
      <c r="AA66" s="361">
        <f>'02 Market Assumptions'!AA124</f>
        <v/>
      </c>
      <c r="AB66" s="361">
        <f>'02 Market Assumptions'!AB124</f>
        <v/>
      </c>
      <c r="AC66" s="361">
        <f>AVERAGE(Y66:AB66)</f>
        <v/>
      </c>
      <c r="AD66" s="361">
        <f>'02 Market Assumptions'!AD124</f>
        <v/>
      </c>
      <c r="AE66" s="361">
        <f>'02 Market Assumptions'!AE124</f>
        <v/>
      </c>
      <c r="AF66" s="361">
        <f>'02 Market Assumptions'!AF124</f>
        <v/>
      </c>
      <c r="AG66" s="361">
        <f>'02 Market Assumptions'!AG124</f>
        <v/>
      </c>
      <c r="AH66" s="361">
        <f>AVERAGE(AD66:AG66)</f>
        <v/>
      </c>
      <c r="AI66" s="361">
        <f>'02 Market Assumptions'!AI124</f>
        <v/>
      </c>
      <c r="AJ66" s="361">
        <f>'02 Market Assumptions'!AJ124</f>
        <v/>
      </c>
      <c r="AK66" s="361">
        <f>'02 Market Assumptions'!AK124</f>
        <v/>
      </c>
      <c r="AL66" s="361">
        <f>'02 Market Assumptions'!AL124</f>
        <v/>
      </c>
      <c r="AM66" s="361">
        <f>AVERAGE(AI66:AL66)</f>
        <v/>
      </c>
      <c r="AN66" s="361">
        <f>'02 Market Assumptions'!AN124</f>
        <v/>
      </c>
      <c r="AO66" s="361">
        <f>'02 Market Assumptions'!AO124</f>
        <v/>
      </c>
      <c r="AP66" s="361">
        <f>'02 Market Assumptions'!AP124</f>
        <v/>
      </c>
      <c r="AQ66" s="361">
        <f>'02 Market Assumptions'!AQ124</f>
        <v/>
      </c>
      <c r="AR66" s="361">
        <f>AVERAGE(AN66:AQ66)</f>
        <v/>
      </c>
    </row>
    <row r="67" ht="13.5" customHeight="1" s="290">
      <c r="A67" s="345" t="n"/>
      <c r="B67" s="370" t="inlineStr">
        <is>
          <t xml:space="preserve">  IS Bps — Small (Active)</t>
        </is>
      </c>
      <c r="C67" s="371" t="inlineStr">
        <is>
          <t>bps</t>
        </is>
      </c>
      <c r="D67" s="394" t="inlineStr">
        <is>
          <t>← Tab 02 row 119</t>
        </is>
      </c>
      <c r="E67" s="361">
        <f>'02 Market Assumptions'!E119</f>
        <v/>
      </c>
      <c r="F67" s="361">
        <f>'02 Market Assumptions'!F119</f>
        <v/>
      </c>
      <c r="G67" s="361">
        <f>'02 Market Assumptions'!G119</f>
        <v/>
      </c>
      <c r="H67" s="361">
        <f>'02 Market Assumptions'!H119</f>
        <v/>
      </c>
      <c r="I67" s="361">
        <f>AVERAGE(E67:H67)</f>
        <v/>
      </c>
      <c r="J67" s="361">
        <f>'02 Market Assumptions'!J119</f>
        <v/>
      </c>
      <c r="K67" s="361">
        <f>'02 Market Assumptions'!K119</f>
        <v/>
      </c>
      <c r="L67" s="361">
        <f>'02 Market Assumptions'!L119</f>
        <v/>
      </c>
      <c r="M67" s="361">
        <f>'02 Market Assumptions'!M119</f>
        <v/>
      </c>
      <c r="N67" s="361">
        <f>AVERAGE(J67:M67)</f>
        <v/>
      </c>
      <c r="O67" s="361">
        <f>'02 Market Assumptions'!O119</f>
        <v/>
      </c>
      <c r="P67" s="361">
        <f>'02 Market Assumptions'!P119</f>
        <v/>
      </c>
      <c r="Q67" s="361">
        <f>'02 Market Assumptions'!Q119</f>
        <v/>
      </c>
      <c r="R67" s="361">
        <f>'02 Market Assumptions'!R119</f>
        <v/>
      </c>
      <c r="S67" s="361">
        <f>AVERAGE(O67:R67)</f>
        <v/>
      </c>
      <c r="T67" s="361">
        <f>'02 Market Assumptions'!T119</f>
        <v/>
      </c>
      <c r="U67" s="361">
        <f>'02 Market Assumptions'!U119</f>
        <v/>
      </c>
      <c r="V67" s="361">
        <f>'02 Market Assumptions'!V119</f>
        <v/>
      </c>
      <c r="W67" s="361">
        <f>'02 Market Assumptions'!W119</f>
        <v/>
      </c>
      <c r="X67" s="361">
        <f>AVERAGE(T67:W67)</f>
        <v/>
      </c>
      <c r="Y67" s="361">
        <f>'02 Market Assumptions'!Y119</f>
        <v/>
      </c>
      <c r="Z67" s="361">
        <f>'02 Market Assumptions'!Z119</f>
        <v/>
      </c>
      <c r="AA67" s="361">
        <f>'02 Market Assumptions'!AA119</f>
        <v/>
      </c>
      <c r="AB67" s="361">
        <f>'02 Market Assumptions'!AB119</f>
        <v/>
      </c>
      <c r="AC67" s="361">
        <f>AVERAGE(Y67:AB67)</f>
        <v/>
      </c>
      <c r="AD67" s="361">
        <f>'02 Market Assumptions'!AD119</f>
        <v/>
      </c>
      <c r="AE67" s="361">
        <f>'02 Market Assumptions'!AE119</f>
        <v/>
      </c>
      <c r="AF67" s="361">
        <f>'02 Market Assumptions'!AF119</f>
        <v/>
      </c>
      <c r="AG67" s="361">
        <f>'02 Market Assumptions'!AG119</f>
        <v/>
      </c>
      <c r="AH67" s="361">
        <f>AVERAGE(AD67:AG67)</f>
        <v/>
      </c>
      <c r="AI67" s="361">
        <f>'02 Market Assumptions'!AI119</f>
        <v/>
      </c>
      <c r="AJ67" s="361">
        <f>'02 Market Assumptions'!AJ119</f>
        <v/>
      </c>
      <c r="AK67" s="361">
        <f>'02 Market Assumptions'!AK119</f>
        <v/>
      </c>
      <c r="AL67" s="361">
        <f>'02 Market Assumptions'!AL119</f>
        <v/>
      </c>
      <c r="AM67" s="361">
        <f>AVERAGE(AI67:AL67)</f>
        <v/>
      </c>
      <c r="AN67" s="361">
        <f>'02 Market Assumptions'!AN119</f>
        <v/>
      </c>
      <c r="AO67" s="361">
        <f>'02 Market Assumptions'!AO119</f>
        <v/>
      </c>
      <c r="AP67" s="361">
        <f>'02 Market Assumptions'!AP119</f>
        <v/>
      </c>
      <c r="AQ67" s="361">
        <f>'02 Market Assumptions'!AQ119</f>
        <v/>
      </c>
      <c r="AR67" s="361">
        <f>AVERAGE(AN67:AQ67)</f>
        <v/>
      </c>
    </row>
    <row r="68" ht="13.5" customHeight="1" s="290">
      <c r="A68" s="345" t="n"/>
      <c r="B68" s="370" t="inlineStr">
        <is>
          <t xml:space="preserve">  National IS Volume (Active)</t>
        </is>
      </c>
      <c r="C68" s="371" t="inlineStr">
        <is>
          <t>$B/qtr</t>
        </is>
      </c>
      <c r="D68" s="394" t="inlineStr">
        <is>
          <t>← Tab 02 row 52 (market share denom)</t>
        </is>
      </c>
      <c r="E68" s="361">
        <f>'02 Market Assumptions'!E52</f>
        <v/>
      </c>
      <c r="F68" s="361">
        <f>'02 Market Assumptions'!F52</f>
        <v/>
      </c>
      <c r="G68" s="361">
        <f>'02 Market Assumptions'!G52</f>
        <v/>
      </c>
      <c r="H68" s="361">
        <f>'02 Market Assumptions'!H52</f>
        <v/>
      </c>
      <c r="I68" s="361">
        <f>SUM(E68:H68)</f>
        <v/>
      </c>
      <c r="J68" s="361">
        <f>'02 Market Assumptions'!J52</f>
        <v/>
      </c>
      <c r="K68" s="361">
        <f>'02 Market Assumptions'!K52</f>
        <v/>
      </c>
      <c r="L68" s="361">
        <f>'02 Market Assumptions'!L52</f>
        <v/>
      </c>
      <c r="M68" s="361">
        <f>'02 Market Assumptions'!M52</f>
        <v/>
      </c>
      <c r="N68" s="361">
        <f>SUM(J68:M68)</f>
        <v/>
      </c>
      <c r="O68" s="361">
        <f>'02 Market Assumptions'!O52</f>
        <v/>
      </c>
      <c r="P68" s="361">
        <f>'02 Market Assumptions'!P52</f>
        <v/>
      </c>
      <c r="Q68" s="361">
        <f>'02 Market Assumptions'!Q52</f>
        <v/>
      </c>
      <c r="R68" s="361">
        <f>'02 Market Assumptions'!R52</f>
        <v/>
      </c>
      <c r="S68" s="361">
        <f>SUM(O68:R68)</f>
        <v/>
      </c>
      <c r="T68" s="361">
        <f>'02 Market Assumptions'!T52</f>
        <v/>
      </c>
      <c r="U68" s="361">
        <f>'02 Market Assumptions'!U52</f>
        <v/>
      </c>
      <c r="V68" s="361">
        <f>'02 Market Assumptions'!V52</f>
        <v/>
      </c>
      <c r="W68" s="361">
        <f>'02 Market Assumptions'!W52</f>
        <v/>
      </c>
      <c r="X68" s="361">
        <f>SUM(T68:W68)</f>
        <v/>
      </c>
      <c r="Y68" s="361">
        <f>'02 Market Assumptions'!Y52</f>
        <v/>
      </c>
      <c r="Z68" s="361">
        <f>'02 Market Assumptions'!Z52</f>
        <v/>
      </c>
      <c r="AA68" s="361">
        <f>'02 Market Assumptions'!AA52</f>
        <v/>
      </c>
      <c r="AB68" s="361">
        <f>'02 Market Assumptions'!AB52</f>
        <v/>
      </c>
      <c r="AC68" s="361">
        <f>SUM(Y68:AB68)</f>
        <v/>
      </c>
      <c r="AD68" s="361">
        <f>'02 Market Assumptions'!AD52</f>
        <v/>
      </c>
      <c r="AE68" s="361">
        <f>'02 Market Assumptions'!AE52</f>
        <v/>
      </c>
      <c r="AF68" s="361">
        <f>'02 Market Assumptions'!AF52</f>
        <v/>
      </c>
      <c r="AG68" s="361">
        <f>'02 Market Assumptions'!AG52</f>
        <v/>
      </c>
      <c r="AH68" s="361">
        <f>SUM(AD68:AG68)</f>
        <v/>
      </c>
      <c r="AI68" s="361">
        <f>'02 Market Assumptions'!AI52</f>
        <v/>
      </c>
      <c r="AJ68" s="361">
        <f>'02 Market Assumptions'!AJ52</f>
        <v/>
      </c>
      <c r="AK68" s="361">
        <f>'02 Market Assumptions'!AK52</f>
        <v/>
      </c>
      <c r="AL68" s="361">
        <f>'02 Market Assumptions'!AL52</f>
        <v/>
      </c>
      <c r="AM68" s="361">
        <f>SUM(AI68:AL68)</f>
        <v/>
      </c>
      <c r="AN68" s="361">
        <f>'02 Market Assumptions'!AN52</f>
        <v/>
      </c>
      <c r="AO68" s="361">
        <f>'02 Market Assumptions'!AO52</f>
        <v/>
      </c>
      <c r="AP68" s="361">
        <f>'02 Market Assumptions'!AP52</f>
        <v/>
      </c>
      <c r="AQ68" s="361">
        <f>'02 Market Assumptions'!AQ52</f>
        <v/>
      </c>
      <c r="AR68" s="361">
        <f>SUM(AN68:AQ68)</f>
        <v/>
      </c>
    </row>
    <row r="69" ht="12.75" customHeight="1" s="290">
      <c r="A69" s="348" t="inlineStr">
        <is>
          <t xml:space="preserve">  Tier-to-size-bucket mapping: Rainmaker → mostly Institutional; Core → mostly Mid Market; Junior → mostly Small. In V1 we use a simplified approach: each tier's deals are assigned entirely to one size bucket based on the assumption that tier mix drives deal size. This avoids the property-type sub-mix complexity while preserving the tiered bps structure.</t>
        </is>
      </c>
    </row>
    <row r="70" ht="3" customHeight="1" s="290"/>
    <row r="71" ht="15" customHeight="1" s="290">
      <c r="A71" s="307" t="inlineStr">
        <is>
          <t xml:space="preserve">    B2 — DEAL COUNT &amp; VOLUME BY SIZE BUCKET</t>
        </is>
      </c>
    </row>
    <row r="72" ht="3" customHeight="1" s="290"/>
    <row r="73" ht="13.5" customHeight="1" s="290">
      <c r="A73" s="395" t="n"/>
      <c r="B73" s="373" t="inlineStr">
        <is>
          <t xml:space="preserve">  Deals — Institutional (Rainmaker deals)</t>
        </is>
      </c>
      <c r="C73" s="374" t="inlineStr">
        <is>
          <t>#/qtr</t>
        </is>
      </c>
      <c r="D73" s="396" t="inlineStr">
        <is>
          <t xml:space="preserve"> is epe_rm × Deals/EPE_RM</t>
        </is>
      </c>
      <c r="E73" s="376">
        <f>E56*E59</f>
        <v/>
      </c>
      <c r="F73" s="376">
        <f>F56*F59</f>
        <v/>
      </c>
      <c r="G73" s="376">
        <f>G56*G59</f>
        <v/>
      </c>
      <c r="H73" s="376">
        <f>H56*H59</f>
        <v/>
      </c>
      <c r="I73" s="376">
        <f>SUM(E73:H73)</f>
        <v/>
      </c>
      <c r="J73" s="376">
        <f>J56*J59</f>
        <v/>
      </c>
      <c r="K73" s="376">
        <f>K56*K59</f>
        <v/>
      </c>
      <c r="L73" s="376">
        <f>L56*L59</f>
        <v/>
      </c>
      <c r="M73" s="376">
        <f>M56*M59</f>
        <v/>
      </c>
      <c r="N73" s="376">
        <f>SUM(J73:M73)</f>
        <v/>
      </c>
      <c r="O73" s="376">
        <f>O56*O59</f>
        <v/>
      </c>
      <c r="P73" s="376">
        <f>P56*P59</f>
        <v/>
      </c>
      <c r="Q73" s="376">
        <f>Q56*Q59</f>
        <v/>
      </c>
      <c r="R73" s="376">
        <f>R56*R59</f>
        <v/>
      </c>
      <c r="S73" s="376">
        <f>SUM(O73:R73)</f>
        <v/>
      </c>
      <c r="T73" s="376">
        <f>T56*T59</f>
        <v/>
      </c>
      <c r="U73" s="376">
        <f>U56*U59</f>
        <v/>
      </c>
      <c r="V73" s="376">
        <f>V56*V59</f>
        <v/>
      </c>
      <c r="W73" s="376">
        <f>W56*W59</f>
        <v/>
      </c>
      <c r="X73" s="376">
        <f>SUM(T73:W73)</f>
        <v/>
      </c>
      <c r="Y73" s="376">
        <f>Y56*Y59</f>
        <v/>
      </c>
      <c r="Z73" s="376">
        <f>Z56*Z59</f>
        <v/>
      </c>
      <c r="AA73" s="376">
        <f>AA56*AA59</f>
        <v/>
      </c>
      <c r="AB73" s="376">
        <f>AB56*AB59</f>
        <v/>
      </c>
      <c r="AC73" s="376">
        <f>SUM(Y73:AB73)</f>
        <v/>
      </c>
      <c r="AD73" s="376">
        <f>AD56*AD59</f>
        <v/>
      </c>
      <c r="AE73" s="376">
        <f>AE56*AE59</f>
        <v/>
      </c>
      <c r="AF73" s="376">
        <f>AF56*AF59</f>
        <v/>
      </c>
      <c r="AG73" s="376">
        <f>AG56*AG59</f>
        <v/>
      </c>
      <c r="AH73" s="376">
        <f>SUM(AD73:AG73)</f>
        <v/>
      </c>
      <c r="AI73" s="376">
        <f>AI56*AI59</f>
        <v/>
      </c>
      <c r="AJ73" s="376">
        <f>AJ56*AJ59</f>
        <v/>
      </c>
      <c r="AK73" s="376">
        <f>AK56*AK59</f>
        <v/>
      </c>
      <c r="AL73" s="376">
        <f>AL56*AL59</f>
        <v/>
      </c>
      <c r="AM73" s="376">
        <f>SUM(AI73:AL73)</f>
        <v/>
      </c>
      <c r="AN73" s="376">
        <f>AN56*AN59</f>
        <v/>
      </c>
      <c r="AO73" s="376">
        <f>AO56*AO59</f>
        <v/>
      </c>
      <c r="AP73" s="376">
        <f>AP56*AP59</f>
        <v/>
      </c>
      <c r="AQ73" s="376">
        <f>AQ56*AQ59</f>
        <v/>
      </c>
      <c r="AR73" s="376">
        <f>SUM(AN73:AQ73)</f>
        <v/>
      </c>
    </row>
    <row r="74" ht="13.5" customHeight="1" s="290">
      <c r="A74" s="395" t="n"/>
      <c r="B74" s="373" t="inlineStr">
        <is>
          <t xml:space="preserve">  Deals — Mid Market (Core deals)</t>
        </is>
      </c>
      <c r="C74" s="374" t="inlineStr">
        <is>
          <t>#/qtr</t>
        </is>
      </c>
      <c r="D74" s="396" t="inlineStr">
        <is>
          <t xml:space="preserve"> is epe_core × Deals/EPE_Core</t>
        </is>
      </c>
      <c r="E74" s="376">
        <f>E57*E60</f>
        <v/>
      </c>
      <c r="F74" s="376">
        <f>F57*F60</f>
        <v/>
      </c>
      <c r="G74" s="376">
        <f>G57*G60</f>
        <v/>
      </c>
      <c r="H74" s="376">
        <f>H57*H60</f>
        <v/>
      </c>
      <c r="I74" s="376">
        <f>SUM(E74:H74)</f>
        <v/>
      </c>
      <c r="J74" s="376">
        <f>J57*J60</f>
        <v/>
      </c>
      <c r="K74" s="376">
        <f>K57*K60</f>
        <v/>
      </c>
      <c r="L74" s="376">
        <f>L57*L60</f>
        <v/>
      </c>
      <c r="M74" s="376">
        <f>M57*M60</f>
        <v/>
      </c>
      <c r="N74" s="376">
        <f>SUM(J74:M74)</f>
        <v/>
      </c>
      <c r="O74" s="376">
        <f>O57*O60</f>
        <v/>
      </c>
      <c r="P74" s="376">
        <f>P57*P60</f>
        <v/>
      </c>
      <c r="Q74" s="376">
        <f>Q57*Q60</f>
        <v/>
      </c>
      <c r="R74" s="376">
        <f>R57*R60</f>
        <v/>
      </c>
      <c r="S74" s="376">
        <f>SUM(O74:R74)</f>
        <v/>
      </c>
      <c r="T74" s="376">
        <f>T57*T60</f>
        <v/>
      </c>
      <c r="U74" s="376">
        <f>U57*U60</f>
        <v/>
      </c>
      <c r="V74" s="376">
        <f>V57*V60</f>
        <v/>
      </c>
      <c r="W74" s="376">
        <f>W57*W60</f>
        <v/>
      </c>
      <c r="X74" s="376">
        <f>SUM(T74:W74)</f>
        <v/>
      </c>
      <c r="Y74" s="376">
        <f>Y57*Y60</f>
        <v/>
      </c>
      <c r="Z74" s="376">
        <f>Z57*Z60</f>
        <v/>
      </c>
      <c r="AA74" s="376">
        <f>AA57*AA60</f>
        <v/>
      </c>
      <c r="AB74" s="376">
        <f>AB57*AB60</f>
        <v/>
      </c>
      <c r="AC74" s="376">
        <f>SUM(Y74:AB74)</f>
        <v/>
      </c>
      <c r="AD74" s="376">
        <f>AD57*AD60</f>
        <v/>
      </c>
      <c r="AE74" s="376">
        <f>AE57*AE60</f>
        <v/>
      </c>
      <c r="AF74" s="376">
        <f>AF57*AF60</f>
        <v/>
      </c>
      <c r="AG74" s="376">
        <f>AG57*AG60</f>
        <v/>
      </c>
      <c r="AH74" s="376">
        <f>SUM(AD74:AG74)</f>
        <v/>
      </c>
      <c r="AI74" s="376">
        <f>AI57*AI60</f>
        <v/>
      </c>
      <c r="AJ74" s="376">
        <f>AJ57*AJ60</f>
        <v/>
      </c>
      <c r="AK74" s="376">
        <f>AK57*AK60</f>
        <v/>
      </c>
      <c r="AL74" s="376">
        <f>AL57*AL60</f>
        <v/>
      </c>
      <c r="AM74" s="376">
        <f>SUM(AI74:AL74)</f>
        <v/>
      </c>
      <c r="AN74" s="376">
        <f>AN57*AN60</f>
        <v/>
      </c>
      <c r="AO74" s="376">
        <f>AO57*AO60</f>
        <v/>
      </c>
      <c r="AP74" s="376">
        <f>AP57*AP60</f>
        <v/>
      </c>
      <c r="AQ74" s="376">
        <f>AQ57*AQ60</f>
        <v/>
      </c>
      <c r="AR74" s="376">
        <f>SUM(AN74:AQ74)</f>
        <v/>
      </c>
    </row>
    <row r="75" ht="13.5" customHeight="1" s="290">
      <c r="A75" s="395" t="n"/>
      <c r="B75" s="373" t="inlineStr">
        <is>
          <t xml:space="preserve">  Deals — Small (Junior deals)</t>
        </is>
      </c>
      <c r="C75" s="374" t="inlineStr">
        <is>
          <t>#/qtr</t>
        </is>
      </c>
      <c r="D75" s="396" t="inlineStr">
        <is>
          <t xml:space="preserve"> is epe_jr × Deals/EPE_Jr</t>
        </is>
      </c>
      <c r="E75" s="376">
        <f>E58*E61</f>
        <v/>
      </c>
      <c r="F75" s="376">
        <f>F58*F61</f>
        <v/>
      </c>
      <c r="G75" s="376">
        <f>G58*G61</f>
        <v/>
      </c>
      <c r="H75" s="376">
        <f>H58*H61</f>
        <v/>
      </c>
      <c r="I75" s="376">
        <f>SUM(E75:H75)</f>
        <v/>
      </c>
      <c r="J75" s="376">
        <f>J58*J61</f>
        <v/>
      </c>
      <c r="K75" s="376">
        <f>K58*K61</f>
        <v/>
      </c>
      <c r="L75" s="376">
        <f>L58*L61</f>
        <v/>
      </c>
      <c r="M75" s="376">
        <f>M58*M61</f>
        <v/>
      </c>
      <c r="N75" s="376">
        <f>SUM(J75:M75)</f>
        <v/>
      </c>
      <c r="O75" s="376">
        <f>O58*O61</f>
        <v/>
      </c>
      <c r="P75" s="376">
        <f>P58*P61</f>
        <v/>
      </c>
      <c r="Q75" s="376">
        <f>Q58*Q61</f>
        <v/>
      </c>
      <c r="R75" s="376">
        <f>R58*R61</f>
        <v/>
      </c>
      <c r="S75" s="376">
        <f>SUM(O75:R75)</f>
        <v/>
      </c>
      <c r="T75" s="376">
        <f>T58*T61</f>
        <v/>
      </c>
      <c r="U75" s="376">
        <f>U58*U61</f>
        <v/>
      </c>
      <c r="V75" s="376">
        <f>V58*V61</f>
        <v/>
      </c>
      <c r="W75" s="376">
        <f>W58*W61</f>
        <v/>
      </c>
      <c r="X75" s="376">
        <f>SUM(T75:W75)</f>
        <v/>
      </c>
      <c r="Y75" s="376">
        <f>Y58*Y61</f>
        <v/>
      </c>
      <c r="Z75" s="376">
        <f>Z58*Z61</f>
        <v/>
      </c>
      <c r="AA75" s="376">
        <f>AA58*AA61</f>
        <v/>
      </c>
      <c r="AB75" s="376">
        <f>AB58*AB61</f>
        <v/>
      </c>
      <c r="AC75" s="376">
        <f>SUM(Y75:AB75)</f>
        <v/>
      </c>
      <c r="AD75" s="376">
        <f>AD58*AD61</f>
        <v/>
      </c>
      <c r="AE75" s="376">
        <f>AE58*AE61</f>
        <v/>
      </c>
      <c r="AF75" s="376">
        <f>AF58*AF61</f>
        <v/>
      </c>
      <c r="AG75" s="376">
        <f>AG58*AG61</f>
        <v/>
      </c>
      <c r="AH75" s="376">
        <f>SUM(AD75:AG75)</f>
        <v/>
      </c>
      <c r="AI75" s="376">
        <f>AI58*AI61</f>
        <v/>
      </c>
      <c r="AJ75" s="376">
        <f>AJ58*AJ61</f>
        <v/>
      </c>
      <c r="AK75" s="376">
        <f>AK58*AK61</f>
        <v/>
      </c>
      <c r="AL75" s="376">
        <f>AL58*AL61</f>
        <v/>
      </c>
      <c r="AM75" s="376">
        <f>SUM(AI75:AL75)</f>
        <v/>
      </c>
      <c r="AN75" s="376">
        <f>AN58*AN61</f>
        <v/>
      </c>
      <c r="AO75" s="376">
        <f>AO58*AO61</f>
        <v/>
      </c>
      <c r="AP75" s="376">
        <f>AP58*AP61</f>
        <v/>
      </c>
      <c r="AQ75" s="376">
        <f>AQ58*AQ61</f>
        <v/>
      </c>
      <c r="AR75" s="376">
        <f>SUM(AN75:AQ75)</f>
        <v/>
      </c>
    </row>
    <row r="76" ht="13.5" customHeight="1" s="290">
      <c r="A76" s="397" t="n"/>
      <c r="B76" s="398" t="inlineStr">
        <is>
          <t xml:space="preserve">  Total IS Deal Count</t>
        </is>
      </c>
      <c r="C76" s="399" t="inlineStr">
        <is>
          <t>#/qtr</t>
        </is>
      </c>
      <c r="D76" s="400" t="inlineStr">
        <is>
          <t xml:space="preserve"> sum across all size tiers</t>
        </is>
      </c>
      <c r="E76" s="401">
        <f>E73+E74+E75</f>
        <v/>
      </c>
      <c r="F76" s="401">
        <f>F73+F74+F75</f>
        <v/>
      </c>
      <c r="G76" s="401">
        <f>G73+G74+G75</f>
        <v/>
      </c>
      <c r="H76" s="401">
        <f>H73+H74+H75</f>
        <v/>
      </c>
      <c r="I76" s="401">
        <f>SUM(E76:H76)</f>
        <v/>
      </c>
      <c r="J76" s="401">
        <f>J73+J74+J75</f>
        <v/>
      </c>
      <c r="K76" s="401">
        <f>K73+K74+K75</f>
        <v/>
      </c>
      <c r="L76" s="401">
        <f>L73+L74+L75</f>
        <v/>
      </c>
      <c r="M76" s="401">
        <f>M73+M74+M75</f>
        <v/>
      </c>
      <c r="N76" s="401">
        <f>SUM(J76:M76)</f>
        <v/>
      </c>
      <c r="O76" s="401">
        <f>O73+O74+O75</f>
        <v/>
      </c>
      <c r="P76" s="401">
        <f>P73+P74+P75</f>
        <v/>
      </c>
      <c r="Q76" s="401">
        <f>Q73+Q74+Q75</f>
        <v/>
      </c>
      <c r="R76" s="401">
        <f>R73+R74+R75</f>
        <v/>
      </c>
      <c r="S76" s="401">
        <f>SUM(O76:R76)</f>
        <v/>
      </c>
      <c r="T76" s="401">
        <f>T73+T74+T75</f>
        <v/>
      </c>
      <c r="U76" s="401">
        <f>U73+U74+U75</f>
        <v/>
      </c>
      <c r="V76" s="401">
        <f>V73+V74+V75</f>
        <v/>
      </c>
      <c r="W76" s="401">
        <f>W73+W74+W75</f>
        <v/>
      </c>
      <c r="X76" s="401">
        <f>SUM(T76:W76)</f>
        <v/>
      </c>
      <c r="Y76" s="401">
        <f>Y73+Y74+Y75</f>
        <v/>
      </c>
      <c r="Z76" s="401">
        <f>Z73+Z74+Z75</f>
        <v/>
      </c>
      <c r="AA76" s="401">
        <f>AA73+AA74+AA75</f>
        <v/>
      </c>
      <c r="AB76" s="401">
        <f>AB73+AB74+AB75</f>
        <v/>
      </c>
      <c r="AC76" s="401">
        <f>SUM(Y76:AB76)</f>
        <v/>
      </c>
      <c r="AD76" s="401">
        <f>AD73+AD74+AD75</f>
        <v/>
      </c>
      <c r="AE76" s="401">
        <f>AE73+AE74+AE75</f>
        <v/>
      </c>
      <c r="AF76" s="401">
        <f>AF73+AF74+AF75</f>
        <v/>
      </c>
      <c r="AG76" s="401">
        <f>AG73+AG74+AG75</f>
        <v/>
      </c>
      <c r="AH76" s="401">
        <f>SUM(AD76:AG76)</f>
        <v/>
      </c>
      <c r="AI76" s="401">
        <f>AI73+AI74+AI75</f>
        <v/>
      </c>
      <c r="AJ76" s="401">
        <f>AJ73+AJ74+AJ75</f>
        <v/>
      </c>
      <c r="AK76" s="401">
        <f>AK73+AK74+AK75</f>
        <v/>
      </c>
      <c r="AL76" s="401">
        <f>AL73+AL74+AL75</f>
        <v/>
      </c>
      <c r="AM76" s="401">
        <f>SUM(AI76:AL76)</f>
        <v/>
      </c>
      <c r="AN76" s="401">
        <f>AN73+AN74+AN75</f>
        <v/>
      </c>
      <c r="AO76" s="401">
        <f>AO73+AO74+AO75</f>
        <v/>
      </c>
      <c r="AP76" s="401">
        <f>AP73+AP74+AP75</f>
        <v/>
      </c>
      <c r="AQ76" s="401">
        <f>AQ73+AQ74+AQ75</f>
        <v/>
      </c>
      <c r="AR76" s="401">
        <f>SUM(AN76:AQ76)</f>
        <v/>
      </c>
    </row>
    <row r="77" ht="13.5" customHeight="1" s="290">
      <c r="A77" s="395" t="n"/>
      <c r="B77" s="373" t="inlineStr">
        <is>
          <t xml:space="preserve">  Transaction Volume — Institutional</t>
        </is>
      </c>
      <c r="C77" s="374" t="inlineStr">
        <is>
          <t>$M/qtr</t>
        </is>
      </c>
      <c r="D77" s="396" t="inlineStr">
        <is>
          <t xml:space="preserve"> inst deals × Avg Inst Deal Size ($M)</t>
        </is>
      </c>
      <c r="E77" s="376">
        <f>E73*E62</f>
        <v/>
      </c>
      <c r="F77" s="376">
        <f>F73*F62</f>
        <v/>
      </c>
      <c r="G77" s="376">
        <f>G73*G62</f>
        <v/>
      </c>
      <c r="H77" s="376">
        <f>H73*H62</f>
        <v/>
      </c>
      <c r="I77" s="376">
        <f>SUM(E77:H77)</f>
        <v/>
      </c>
      <c r="J77" s="376">
        <f>J73*J62</f>
        <v/>
      </c>
      <c r="K77" s="376">
        <f>K73*K62</f>
        <v/>
      </c>
      <c r="L77" s="376">
        <f>L73*L62</f>
        <v/>
      </c>
      <c r="M77" s="376">
        <f>M73*M62</f>
        <v/>
      </c>
      <c r="N77" s="376">
        <f>SUM(J77:M77)</f>
        <v/>
      </c>
      <c r="O77" s="376">
        <f>O73*O62</f>
        <v/>
      </c>
      <c r="P77" s="376">
        <f>P73*P62</f>
        <v/>
      </c>
      <c r="Q77" s="376">
        <f>Q73*Q62</f>
        <v/>
      </c>
      <c r="R77" s="376">
        <f>R73*R62</f>
        <v/>
      </c>
      <c r="S77" s="376">
        <f>SUM(O77:R77)</f>
        <v/>
      </c>
      <c r="T77" s="376">
        <f>T73*T62</f>
        <v/>
      </c>
      <c r="U77" s="376">
        <f>U73*U62</f>
        <v/>
      </c>
      <c r="V77" s="376">
        <f>V73*V62</f>
        <v/>
      </c>
      <c r="W77" s="376">
        <f>W73*W62</f>
        <v/>
      </c>
      <c r="X77" s="376">
        <f>SUM(T77:W77)</f>
        <v/>
      </c>
      <c r="Y77" s="376">
        <f>Y73*Y62</f>
        <v/>
      </c>
      <c r="Z77" s="376">
        <f>Z73*Z62</f>
        <v/>
      </c>
      <c r="AA77" s="376">
        <f>AA73*AA62</f>
        <v/>
      </c>
      <c r="AB77" s="376">
        <f>AB73*AB62</f>
        <v/>
      </c>
      <c r="AC77" s="376">
        <f>SUM(Y77:AB77)</f>
        <v/>
      </c>
      <c r="AD77" s="376">
        <f>AD73*AD62</f>
        <v/>
      </c>
      <c r="AE77" s="376">
        <f>AE73*AE62</f>
        <v/>
      </c>
      <c r="AF77" s="376">
        <f>AF73*AF62</f>
        <v/>
      </c>
      <c r="AG77" s="376">
        <f>AG73*AG62</f>
        <v/>
      </c>
      <c r="AH77" s="376">
        <f>SUM(AD77:AG77)</f>
        <v/>
      </c>
      <c r="AI77" s="376">
        <f>AI73*AI62</f>
        <v/>
      </c>
      <c r="AJ77" s="376">
        <f>AJ73*AJ62</f>
        <v/>
      </c>
      <c r="AK77" s="376">
        <f>AK73*AK62</f>
        <v/>
      </c>
      <c r="AL77" s="376">
        <f>AL73*AL62</f>
        <v/>
      </c>
      <c r="AM77" s="376">
        <f>SUM(AI77:AL77)</f>
        <v/>
      </c>
      <c r="AN77" s="376">
        <f>AN73*AN62</f>
        <v/>
      </c>
      <c r="AO77" s="376">
        <f>AO73*AO62</f>
        <v/>
      </c>
      <c r="AP77" s="376">
        <f>AP73*AP62</f>
        <v/>
      </c>
      <c r="AQ77" s="376">
        <f>AQ73*AQ62</f>
        <v/>
      </c>
      <c r="AR77" s="376">
        <f>SUM(AN77:AQ77)</f>
        <v/>
      </c>
    </row>
    <row r="78" ht="13.5" customHeight="1" s="290">
      <c r="A78" s="395" t="n"/>
      <c r="B78" s="373" t="inlineStr">
        <is>
          <t xml:space="preserve">  Transaction Volume — Mid Market</t>
        </is>
      </c>
      <c r="C78" s="374" t="inlineStr">
        <is>
          <t>$M/qtr</t>
        </is>
      </c>
      <c r="D78" s="396" t="inlineStr">
        <is>
          <t xml:space="preserve"> mid deals × Avg Mid Deal Size ($M)</t>
        </is>
      </c>
      <c r="E78" s="376">
        <f>E74*E63</f>
        <v/>
      </c>
      <c r="F78" s="376">
        <f>F74*F63</f>
        <v/>
      </c>
      <c r="G78" s="376">
        <f>G74*G63</f>
        <v/>
      </c>
      <c r="H78" s="376">
        <f>H74*H63</f>
        <v/>
      </c>
      <c r="I78" s="376">
        <f>SUM(E78:H78)</f>
        <v/>
      </c>
      <c r="J78" s="376">
        <f>J74*J63</f>
        <v/>
      </c>
      <c r="K78" s="376">
        <f>K74*K63</f>
        <v/>
      </c>
      <c r="L78" s="376">
        <f>L74*L63</f>
        <v/>
      </c>
      <c r="M78" s="376">
        <f>M74*M63</f>
        <v/>
      </c>
      <c r="N78" s="376">
        <f>SUM(J78:M78)</f>
        <v/>
      </c>
      <c r="O78" s="376">
        <f>O74*O63</f>
        <v/>
      </c>
      <c r="P78" s="376">
        <f>P74*P63</f>
        <v/>
      </c>
      <c r="Q78" s="376">
        <f>Q74*Q63</f>
        <v/>
      </c>
      <c r="R78" s="376">
        <f>R74*R63</f>
        <v/>
      </c>
      <c r="S78" s="376">
        <f>SUM(O78:R78)</f>
        <v/>
      </c>
      <c r="T78" s="376">
        <f>T74*T63</f>
        <v/>
      </c>
      <c r="U78" s="376">
        <f>U74*U63</f>
        <v/>
      </c>
      <c r="V78" s="376">
        <f>V74*V63</f>
        <v/>
      </c>
      <c r="W78" s="376">
        <f>W74*W63</f>
        <v/>
      </c>
      <c r="X78" s="376">
        <f>SUM(T78:W78)</f>
        <v/>
      </c>
      <c r="Y78" s="376">
        <f>Y74*Y63</f>
        <v/>
      </c>
      <c r="Z78" s="376">
        <f>Z74*Z63</f>
        <v/>
      </c>
      <c r="AA78" s="376">
        <f>AA74*AA63</f>
        <v/>
      </c>
      <c r="AB78" s="376">
        <f>AB74*AB63</f>
        <v/>
      </c>
      <c r="AC78" s="376">
        <f>SUM(Y78:AB78)</f>
        <v/>
      </c>
      <c r="AD78" s="376">
        <f>AD74*AD63</f>
        <v/>
      </c>
      <c r="AE78" s="376">
        <f>AE74*AE63</f>
        <v/>
      </c>
      <c r="AF78" s="376">
        <f>AF74*AF63</f>
        <v/>
      </c>
      <c r="AG78" s="376">
        <f>AG74*AG63</f>
        <v/>
      </c>
      <c r="AH78" s="376">
        <f>SUM(AD78:AG78)</f>
        <v/>
      </c>
      <c r="AI78" s="376">
        <f>AI74*AI63</f>
        <v/>
      </c>
      <c r="AJ78" s="376">
        <f>AJ74*AJ63</f>
        <v/>
      </c>
      <c r="AK78" s="376">
        <f>AK74*AK63</f>
        <v/>
      </c>
      <c r="AL78" s="376">
        <f>AL74*AL63</f>
        <v/>
      </c>
      <c r="AM78" s="376">
        <f>SUM(AI78:AL78)</f>
        <v/>
      </c>
      <c r="AN78" s="376">
        <f>AN74*AN63</f>
        <v/>
      </c>
      <c r="AO78" s="376">
        <f>AO74*AO63</f>
        <v/>
      </c>
      <c r="AP78" s="376">
        <f>AP74*AP63</f>
        <v/>
      </c>
      <c r="AQ78" s="376">
        <f>AQ74*AQ63</f>
        <v/>
      </c>
      <c r="AR78" s="376">
        <f>SUM(AN78:AQ78)</f>
        <v/>
      </c>
    </row>
    <row r="79" ht="13.5" customHeight="1" s="290">
      <c r="A79" s="395" t="n"/>
      <c r="B79" s="373" t="inlineStr">
        <is>
          <t xml:space="preserve">  Transaction Volume — Small</t>
        </is>
      </c>
      <c r="C79" s="374" t="inlineStr">
        <is>
          <t>$M/qtr</t>
        </is>
      </c>
      <c r="D79" s="396" t="inlineStr">
        <is>
          <t xml:space="preserve"> small deals × Avg Small Deal Size ($M)</t>
        </is>
      </c>
      <c r="E79" s="376">
        <f>E75*E64</f>
        <v/>
      </c>
      <c r="F79" s="376">
        <f>F75*F64</f>
        <v/>
      </c>
      <c r="G79" s="376">
        <f>G75*G64</f>
        <v/>
      </c>
      <c r="H79" s="376">
        <f>H75*H64</f>
        <v/>
      </c>
      <c r="I79" s="376">
        <f>SUM(E79:H79)</f>
        <v/>
      </c>
      <c r="J79" s="376">
        <f>J75*J64</f>
        <v/>
      </c>
      <c r="K79" s="376">
        <f>K75*K64</f>
        <v/>
      </c>
      <c r="L79" s="376">
        <f>L75*L64</f>
        <v/>
      </c>
      <c r="M79" s="376">
        <f>M75*M64</f>
        <v/>
      </c>
      <c r="N79" s="376">
        <f>SUM(J79:M79)</f>
        <v/>
      </c>
      <c r="O79" s="376">
        <f>O75*O64</f>
        <v/>
      </c>
      <c r="P79" s="376">
        <f>P75*P64</f>
        <v/>
      </c>
      <c r="Q79" s="376">
        <f>Q75*Q64</f>
        <v/>
      </c>
      <c r="R79" s="376">
        <f>R75*R64</f>
        <v/>
      </c>
      <c r="S79" s="376">
        <f>SUM(O79:R79)</f>
        <v/>
      </c>
      <c r="T79" s="376">
        <f>T75*T64</f>
        <v/>
      </c>
      <c r="U79" s="376">
        <f>U75*U64</f>
        <v/>
      </c>
      <c r="V79" s="376">
        <f>V75*V64</f>
        <v/>
      </c>
      <c r="W79" s="376">
        <f>W75*W64</f>
        <v/>
      </c>
      <c r="X79" s="376">
        <f>SUM(T79:W79)</f>
        <v/>
      </c>
      <c r="Y79" s="376">
        <f>Y75*Y64</f>
        <v/>
      </c>
      <c r="Z79" s="376">
        <f>Z75*Z64</f>
        <v/>
      </c>
      <c r="AA79" s="376">
        <f>AA75*AA64</f>
        <v/>
      </c>
      <c r="AB79" s="376">
        <f>AB75*AB64</f>
        <v/>
      </c>
      <c r="AC79" s="376">
        <f>SUM(Y79:AB79)</f>
        <v/>
      </c>
      <c r="AD79" s="376">
        <f>AD75*AD64</f>
        <v/>
      </c>
      <c r="AE79" s="376">
        <f>AE75*AE64</f>
        <v/>
      </c>
      <c r="AF79" s="376">
        <f>AF75*AF64</f>
        <v/>
      </c>
      <c r="AG79" s="376">
        <f>AG75*AG64</f>
        <v/>
      </c>
      <c r="AH79" s="376">
        <f>SUM(AD79:AG79)</f>
        <v/>
      </c>
      <c r="AI79" s="376">
        <f>AI75*AI64</f>
        <v/>
      </c>
      <c r="AJ79" s="376">
        <f>AJ75*AJ64</f>
        <v/>
      </c>
      <c r="AK79" s="376">
        <f>AK75*AK64</f>
        <v/>
      </c>
      <c r="AL79" s="376">
        <f>AL75*AL64</f>
        <v/>
      </c>
      <c r="AM79" s="376">
        <f>SUM(AI79:AL79)</f>
        <v/>
      </c>
      <c r="AN79" s="376">
        <f>AN75*AN64</f>
        <v/>
      </c>
      <c r="AO79" s="376">
        <f>AO75*AO64</f>
        <v/>
      </c>
      <c r="AP79" s="376">
        <f>AP75*AP64</f>
        <v/>
      </c>
      <c r="AQ79" s="376">
        <f>AQ75*AQ64</f>
        <v/>
      </c>
      <c r="AR79" s="376">
        <f>SUM(AN79:AQ79)</f>
        <v/>
      </c>
    </row>
    <row r="80" ht="15" customHeight="1" s="290">
      <c r="A80" s="397" t="n"/>
      <c r="B80" s="398" t="inlineStr">
        <is>
          <t xml:space="preserve">  ★ Total IS Transaction Volume</t>
        </is>
      </c>
      <c r="C80" s="399" t="inlineStr">
        <is>
          <t>$M/qtr</t>
        </is>
      </c>
      <c r="D80" s="400" t="inlineStr">
        <is>
          <t xml:space="preserve"> sum of all tier volumes</t>
        </is>
      </c>
      <c r="E80" s="401">
        <f>E77+E78+E79</f>
        <v/>
      </c>
      <c r="F80" s="401">
        <f>F77+F78+F79</f>
        <v/>
      </c>
      <c r="G80" s="401">
        <f>G77+G78+G79</f>
        <v/>
      </c>
      <c r="H80" s="401">
        <f>H77+H78+H79</f>
        <v/>
      </c>
      <c r="I80" s="401">
        <f>SUM(E80:H80)</f>
        <v/>
      </c>
      <c r="J80" s="401">
        <f>J77+J78+J79</f>
        <v/>
      </c>
      <c r="K80" s="401">
        <f>K77+K78+K79</f>
        <v/>
      </c>
      <c r="L80" s="401">
        <f>L77+L78+L79</f>
        <v/>
      </c>
      <c r="M80" s="401">
        <f>M77+M78+M79</f>
        <v/>
      </c>
      <c r="N80" s="401">
        <f>SUM(J80:M80)</f>
        <v/>
      </c>
      <c r="O80" s="401">
        <f>O77+O78+O79</f>
        <v/>
      </c>
      <c r="P80" s="401">
        <f>P77+P78+P79</f>
        <v/>
      </c>
      <c r="Q80" s="401">
        <f>Q77+Q78+Q79</f>
        <v/>
      </c>
      <c r="R80" s="401">
        <f>R77+R78+R79</f>
        <v/>
      </c>
      <c r="S80" s="401">
        <f>SUM(O80:R80)</f>
        <v/>
      </c>
      <c r="T80" s="401">
        <f>T77+T78+T79</f>
        <v/>
      </c>
      <c r="U80" s="401">
        <f>U77+U78+U79</f>
        <v/>
      </c>
      <c r="V80" s="401">
        <f>V77+V78+V79</f>
        <v/>
      </c>
      <c r="W80" s="401">
        <f>W77+W78+W79</f>
        <v/>
      </c>
      <c r="X80" s="401">
        <f>SUM(T80:W80)</f>
        <v/>
      </c>
      <c r="Y80" s="401">
        <f>Y77+Y78+Y79</f>
        <v/>
      </c>
      <c r="Z80" s="401">
        <f>Z77+Z78+Z79</f>
        <v/>
      </c>
      <c r="AA80" s="401">
        <f>AA77+AA78+AA79</f>
        <v/>
      </c>
      <c r="AB80" s="401">
        <f>AB77+AB78+AB79</f>
        <v/>
      </c>
      <c r="AC80" s="401">
        <f>SUM(Y80:AB80)</f>
        <v/>
      </c>
      <c r="AD80" s="401">
        <f>AD77+AD78+AD79</f>
        <v/>
      </c>
      <c r="AE80" s="401">
        <f>AE77+AE78+AE79</f>
        <v/>
      </c>
      <c r="AF80" s="401">
        <f>AF77+AF78+AF79</f>
        <v/>
      </c>
      <c r="AG80" s="401">
        <f>AG77+AG78+AG79</f>
        <v/>
      </c>
      <c r="AH80" s="401">
        <f>SUM(AD80:AG80)</f>
        <v/>
      </c>
      <c r="AI80" s="401">
        <f>AI77+AI78+AI79</f>
        <v/>
      </c>
      <c r="AJ80" s="401">
        <f>AJ77+AJ78+AJ79</f>
        <v/>
      </c>
      <c r="AK80" s="401">
        <f>AK77+AK78+AK79</f>
        <v/>
      </c>
      <c r="AL80" s="401">
        <f>AL77+AL78+AL79</f>
        <v/>
      </c>
      <c r="AM80" s="401">
        <f>SUM(AI80:AL80)</f>
        <v/>
      </c>
      <c r="AN80" s="401">
        <f>AN77+AN78+AN79</f>
        <v/>
      </c>
      <c r="AO80" s="401">
        <f>AO77+AO78+AO79</f>
        <v/>
      </c>
      <c r="AP80" s="401">
        <f>AP77+AP78+AP79</f>
        <v/>
      </c>
      <c r="AQ80" s="401">
        <f>AQ77+AQ78+AQ79</f>
        <v/>
      </c>
      <c r="AR80" s="401">
        <f>SUM(AN80:AQ80)</f>
        <v/>
      </c>
    </row>
    <row r="81" ht="15" customHeight="1" s="290">
      <c r="A81" s="307" t="inlineStr">
        <is>
          <t xml:space="preserve">    B3 — GCI BUILD</t>
        </is>
      </c>
    </row>
    <row r="82" ht="3" customHeight="1" s="290"/>
    <row r="83" ht="13.5" customHeight="1" s="290">
      <c r="A83" s="395" t="n"/>
      <c r="B83" s="373" t="inlineStr">
        <is>
          <t xml:space="preserve">  GCI — Institutional</t>
        </is>
      </c>
      <c r="C83" s="374" t="inlineStr">
        <is>
          <t>$K/qtr</t>
        </is>
      </c>
      <c r="D83" s="396" t="inlineStr">
        <is>
          <t xml:space="preserve"> = Vol($M) × Bps ÷ 10  [= $M × bps/10,000 × 1,000 → $K]</t>
        </is>
      </c>
      <c r="E83" s="376">
        <f>E77*E65/10</f>
        <v/>
      </c>
      <c r="F83" s="376">
        <f>F77*F65/10</f>
        <v/>
      </c>
      <c r="G83" s="376">
        <f>G77*G65/10</f>
        <v/>
      </c>
      <c r="H83" s="376">
        <f>H77*H65/10</f>
        <v/>
      </c>
      <c r="I83" s="376">
        <f>SUM(E83:H83)</f>
        <v/>
      </c>
      <c r="J83" s="376">
        <f>J77*J65/10</f>
        <v/>
      </c>
      <c r="K83" s="376">
        <f>K77*K65/10</f>
        <v/>
      </c>
      <c r="L83" s="376">
        <f>L77*L65/10</f>
        <v/>
      </c>
      <c r="M83" s="376">
        <f>M77*M65/10</f>
        <v/>
      </c>
      <c r="N83" s="376">
        <f>SUM(J83:M83)</f>
        <v/>
      </c>
      <c r="O83" s="376">
        <f>O77*O65/10</f>
        <v/>
      </c>
      <c r="P83" s="376">
        <f>P77*P65/10</f>
        <v/>
      </c>
      <c r="Q83" s="376">
        <f>Q77*Q65/10</f>
        <v/>
      </c>
      <c r="R83" s="376">
        <f>R77*R65/10</f>
        <v/>
      </c>
      <c r="S83" s="376">
        <f>SUM(O83:R83)</f>
        <v/>
      </c>
      <c r="T83" s="376">
        <f>T77*T65/10</f>
        <v/>
      </c>
      <c r="U83" s="376">
        <f>U77*U65/10</f>
        <v/>
      </c>
      <c r="V83" s="376">
        <f>V77*V65/10</f>
        <v/>
      </c>
      <c r="W83" s="376">
        <f>W77*W65/10</f>
        <v/>
      </c>
      <c r="X83" s="376">
        <f>SUM(T83:W83)</f>
        <v/>
      </c>
      <c r="Y83" s="376">
        <f>Y77*Y65/10</f>
        <v/>
      </c>
      <c r="Z83" s="376">
        <f>Z77*Z65/10</f>
        <v/>
      </c>
      <c r="AA83" s="376">
        <f>AA77*AA65/10</f>
        <v/>
      </c>
      <c r="AB83" s="376">
        <f>AB77*AB65/10</f>
        <v/>
      </c>
      <c r="AC83" s="376">
        <f>SUM(Y83:AB83)</f>
        <v/>
      </c>
      <c r="AD83" s="376">
        <f>AD77*AD65/10</f>
        <v/>
      </c>
      <c r="AE83" s="376">
        <f>AE77*AE65/10</f>
        <v/>
      </c>
      <c r="AF83" s="376">
        <f>AF77*AF65/10</f>
        <v/>
      </c>
      <c r="AG83" s="376">
        <f>AG77*AG65/10</f>
        <v/>
      </c>
      <c r="AH83" s="376">
        <f>SUM(AD83:AG83)</f>
        <v/>
      </c>
      <c r="AI83" s="376">
        <f>AI77*AI65/10</f>
        <v/>
      </c>
      <c r="AJ83" s="376">
        <f>AJ77*AJ65/10</f>
        <v/>
      </c>
      <c r="AK83" s="376">
        <f>AK77*AK65/10</f>
        <v/>
      </c>
      <c r="AL83" s="376">
        <f>AL77*AL65/10</f>
        <v/>
      </c>
      <c r="AM83" s="376">
        <f>SUM(AI83:AL83)</f>
        <v/>
      </c>
      <c r="AN83" s="376">
        <f>AN77*AN65/10</f>
        <v/>
      </c>
      <c r="AO83" s="376">
        <f>AO77*AO65/10</f>
        <v/>
      </c>
      <c r="AP83" s="376">
        <f>AP77*AP65/10</f>
        <v/>
      </c>
      <c r="AQ83" s="376">
        <f>AQ77*AQ65/10</f>
        <v/>
      </c>
      <c r="AR83" s="376">
        <f>SUM(AN83:AQ83)</f>
        <v/>
      </c>
    </row>
    <row r="84" ht="13.5" customHeight="1" s="290">
      <c r="A84" s="395" t="n"/>
      <c r="B84" s="373" t="inlineStr">
        <is>
          <t xml:space="preserve">  GCI — Mid Market</t>
        </is>
      </c>
      <c r="C84" s="374" t="inlineStr">
        <is>
          <t>$K/qtr</t>
        </is>
      </c>
      <c r="D84" s="396" t="inlineStr">
        <is>
          <t xml:space="preserve"> = Vol($M) × Bps ÷ 10  → $K</t>
        </is>
      </c>
      <c r="E84" s="376">
        <f>E78*E66/10</f>
        <v/>
      </c>
      <c r="F84" s="376">
        <f>F78*F66/10</f>
        <v/>
      </c>
      <c r="G84" s="376">
        <f>G78*G66/10</f>
        <v/>
      </c>
      <c r="H84" s="376">
        <f>H78*H66/10</f>
        <v/>
      </c>
      <c r="I84" s="376">
        <f>SUM(E84:H84)</f>
        <v/>
      </c>
      <c r="J84" s="376">
        <f>J78*J66/10</f>
        <v/>
      </c>
      <c r="K84" s="376">
        <f>K78*K66/10</f>
        <v/>
      </c>
      <c r="L84" s="376">
        <f>L78*L66/10</f>
        <v/>
      </c>
      <c r="M84" s="376">
        <f>M78*M66/10</f>
        <v/>
      </c>
      <c r="N84" s="376">
        <f>SUM(J84:M84)</f>
        <v/>
      </c>
      <c r="O84" s="376">
        <f>O78*O66/10</f>
        <v/>
      </c>
      <c r="P84" s="376">
        <f>P78*P66/10</f>
        <v/>
      </c>
      <c r="Q84" s="376">
        <f>Q78*Q66/10</f>
        <v/>
      </c>
      <c r="R84" s="376">
        <f>R78*R66/10</f>
        <v/>
      </c>
      <c r="S84" s="376">
        <f>SUM(O84:R84)</f>
        <v/>
      </c>
      <c r="T84" s="376">
        <f>T78*T66/10</f>
        <v/>
      </c>
      <c r="U84" s="376">
        <f>U78*U66/10</f>
        <v/>
      </c>
      <c r="V84" s="376">
        <f>V78*V66/10</f>
        <v/>
      </c>
      <c r="W84" s="376">
        <f>W78*W66/10</f>
        <v/>
      </c>
      <c r="X84" s="376">
        <f>SUM(T84:W84)</f>
        <v/>
      </c>
      <c r="Y84" s="376">
        <f>Y78*Y66/10</f>
        <v/>
      </c>
      <c r="Z84" s="376">
        <f>Z78*Z66/10</f>
        <v/>
      </c>
      <c r="AA84" s="376">
        <f>AA78*AA66/10</f>
        <v/>
      </c>
      <c r="AB84" s="376">
        <f>AB78*AB66/10</f>
        <v/>
      </c>
      <c r="AC84" s="376">
        <f>SUM(Y84:AB84)</f>
        <v/>
      </c>
      <c r="AD84" s="376">
        <f>AD78*AD66/10</f>
        <v/>
      </c>
      <c r="AE84" s="376">
        <f>AE78*AE66/10</f>
        <v/>
      </c>
      <c r="AF84" s="376">
        <f>AF78*AF66/10</f>
        <v/>
      </c>
      <c r="AG84" s="376">
        <f>AG78*AG66/10</f>
        <v/>
      </c>
      <c r="AH84" s="376">
        <f>SUM(AD84:AG84)</f>
        <v/>
      </c>
      <c r="AI84" s="376">
        <f>AI78*AI66/10</f>
        <v/>
      </c>
      <c r="AJ84" s="376">
        <f>AJ78*AJ66/10</f>
        <v/>
      </c>
      <c r="AK84" s="376">
        <f>AK78*AK66/10</f>
        <v/>
      </c>
      <c r="AL84" s="376">
        <f>AL78*AL66/10</f>
        <v/>
      </c>
      <c r="AM84" s="376">
        <f>SUM(AI84:AL84)</f>
        <v/>
      </c>
      <c r="AN84" s="376">
        <f>AN78*AN66/10</f>
        <v/>
      </c>
      <c r="AO84" s="376">
        <f>AO78*AO66/10</f>
        <v/>
      </c>
      <c r="AP84" s="376">
        <f>AP78*AP66/10</f>
        <v/>
      </c>
      <c r="AQ84" s="376">
        <f>AQ78*AQ66/10</f>
        <v/>
      </c>
      <c r="AR84" s="376">
        <f>SUM(AN84:AQ84)</f>
        <v/>
      </c>
    </row>
    <row r="85" ht="13.5" customHeight="1" s="290">
      <c r="A85" s="395" t="n"/>
      <c r="B85" s="373" t="inlineStr">
        <is>
          <t xml:space="preserve">  GCI — Small</t>
        </is>
      </c>
      <c r="C85" s="374" t="inlineStr">
        <is>
          <t>$K/qtr</t>
        </is>
      </c>
      <c r="D85" s="396" t="inlineStr">
        <is>
          <t xml:space="preserve"> = Vol($M) × Bps ÷ 10  → $K</t>
        </is>
      </c>
      <c r="E85" s="376">
        <f>E79*E67/10</f>
        <v/>
      </c>
      <c r="F85" s="376">
        <f>F79*F67/10</f>
        <v/>
      </c>
      <c r="G85" s="376">
        <f>G79*G67/10</f>
        <v/>
      </c>
      <c r="H85" s="376">
        <f>H79*H67/10</f>
        <v/>
      </c>
      <c r="I85" s="376">
        <f>SUM(E85:H85)</f>
        <v/>
      </c>
      <c r="J85" s="376">
        <f>J79*J67/10</f>
        <v/>
      </c>
      <c r="K85" s="376">
        <f>K79*K67/10</f>
        <v/>
      </c>
      <c r="L85" s="376">
        <f>L79*L67/10</f>
        <v/>
      </c>
      <c r="M85" s="376">
        <f>M79*M67/10</f>
        <v/>
      </c>
      <c r="N85" s="376">
        <f>SUM(J85:M85)</f>
        <v/>
      </c>
      <c r="O85" s="376">
        <f>O79*O67/10</f>
        <v/>
      </c>
      <c r="P85" s="376">
        <f>P79*P67/10</f>
        <v/>
      </c>
      <c r="Q85" s="376">
        <f>Q79*Q67/10</f>
        <v/>
      </c>
      <c r="R85" s="376">
        <f>R79*R67/10</f>
        <v/>
      </c>
      <c r="S85" s="376">
        <f>SUM(O85:R85)</f>
        <v/>
      </c>
      <c r="T85" s="376">
        <f>T79*T67/10</f>
        <v/>
      </c>
      <c r="U85" s="376">
        <f>U79*U67/10</f>
        <v/>
      </c>
      <c r="V85" s="376">
        <f>V79*V67/10</f>
        <v/>
      </c>
      <c r="W85" s="376">
        <f>W79*W67/10</f>
        <v/>
      </c>
      <c r="X85" s="376">
        <f>SUM(T85:W85)</f>
        <v/>
      </c>
      <c r="Y85" s="376">
        <f>Y79*Y67/10</f>
        <v/>
      </c>
      <c r="Z85" s="376">
        <f>Z79*Z67/10</f>
        <v/>
      </c>
      <c r="AA85" s="376">
        <f>AA79*AA67/10</f>
        <v/>
      </c>
      <c r="AB85" s="376">
        <f>AB79*AB67/10</f>
        <v/>
      </c>
      <c r="AC85" s="376">
        <f>SUM(Y85:AB85)</f>
        <v/>
      </c>
      <c r="AD85" s="376">
        <f>AD79*AD67/10</f>
        <v/>
      </c>
      <c r="AE85" s="376">
        <f>AE79*AE67/10</f>
        <v/>
      </c>
      <c r="AF85" s="376">
        <f>AF79*AF67/10</f>
        <v/>
      </c>
      <c r="AG85" s="376">
        <f>AG79*AG67/10</f>
        <v/>
      </c>
      <c r="AH85" s="376">
        <f>SUM(AD85:AG85)</f>
        <v/>
      </c>
      <c r="AI85" s="376">
        <f>AI79*AI67/10</f>
        <v/>
      </c>
      <c r="AJ85" s="376">
        <f>AJ79*AJ67/10</f>
        <v/>
      </c>
      <c r="AK85" s="376">
        <f>AK79*AK67/10</f>
        <v/>
      </c>
      <c r="AL85" s="376">
        <f>AL79*AL67/10</f>
        <v/>
      </c>
      <c r="AM85" s="376">
        <f>SUM(AI85:AL85)</f>
        <v/>
      </c>
      <c r="AN85" s="376">
        <f>AN79*AN67/10</f>
        <v/>
      </c>
      <c r="AO85" s="376">
        <f>AO79*AO67/10</f>
        <v/>
      </c>
      <c r="AP85" s="376">
        <f>AP79*AP67/10</f>
        <v/>
      </c>
      <c r="AQ85" s="376">
        <f>AQ79*AQ67/10</f>
        <v/>
      </c>
      <c r="AR85" s="376">
        <f>SUM(AN85:AQ85)</f>
        <v/>
      </c>
    </row>
    <row r="86" ht="13.5" customHeight="1" s="290">
      <c r="A86" s="395" t="n"/>
      <c r="B86" s="402" t="inlineStr">
        <is>
          <t xml:space="preserve">  Gross IS GCI</t>
        </is>
      </c>
      <c r="C86" s="374" t="inlineStr">
        <is>
          <t>$K/qtr</t>
        </is>
      </c>
      <c r="D86" s="396" t="inlineStr">
        <is>
          <t xml:space="preserve"> sum gci across all size tiers</t>
        </is>
      </c>
      <c r="E86" s="403">
        <f>E83+E84+E85</f>
        <v/>
      </c>
      <c r="F86" s="403">
        <f>F83+F84+F85</f>
        <v/>
      </c>
      <c r="G86" s="403">
        <f>G83+G84+G85</f>
        <v/>
      </c>
      <c r="H86" s="403">
        <f>H83+H84+H85</f>
        <v/>
      </c>
      <c r="I86" s="403">
        <f>SUM(E86:H86)</f>
        <v/>
      </c>
      <c r="J86" s="403">
        <f>J83+J84+J85</f>
        <v/>
      </c>
      <c r="K86" s="403">
        <f>K83+K84+K85</f>
        <v/>
      </c>
      <c r="L86" s="403">
        <f>L83+L84+L85</f>
        <v/>
      </c>
      <c r="M86" s="403">
        <f>M83+M84+M85</f>
        <v/>
      </c>
      <c r="N86" s="403">
        <f>SUM(J86:M86)</f>
        <v/>
      </c>
      <c r="O86" s="403">
        <f>O83+O84+O85</f>
        <v/>
      </c>
      <c r="P86" s="403">
        <f>P83+P84+P85</f>
        <v/>
      </c>
      <c r="Q86" s="403">
        <f>Q83+Q84+Q85</f>
        <v/>
      </c>
      <c r="R86" s="403">
        <f>R83+R84+R85</f>
        <v/>
      </c>
      <c r="S86" s="403">
        <f>SUM(O86:R86)</f>
        <v/>
      </c>
      <c r="T86" s="403">
        <f>T83+T84+T85</f>
        <v/>
      </c>
      <c r="U86" s="403">
        <f>U83+U84+U85</f>
        <v/>
      </c>
      <c r="V86" s="403">
        <f>V83+V84+V85</f>
        <v/>
      </c>
      <c r="W86" s="403">
        <f>W83+W84+W85</f>
        <v/>
      </c>
      <c r="X86" s="403">
        <f>SUM(T86:W86)</f>
        <v/>
      </c>
      <c r="Y86" s="403">
        <f>Y83+Y84+Y85</f>
        <v/>
      </c>
      <c r="Z86" s="403">
        <f>Z83+Z84+Z85</f>
        <v/>
      </c>
      <c r="AA86" s="403">
        <f>AA83+AA84+AA85</f>
        <v/>
      </c>
      <c r="AB86" s="403">
        <f>AB83+AB84+AB85</f>
        <v/>
      </c>
      <c r="AC86" s="403">
        <f>SUM(Y86:AB86)</f>
        <v/>
      </c>
      <c r="AD86" s="403">
        <f>AD83+AD84+AD85</f>
        <v/>
      </c>
      <c r="AE86" s="403">
        <f>AE83+AE84+AE85</f>
        <v/>
      </c>
      <c r="AF86" s="403">
        <f>AF83+AF84+AF85</f>
        <v/>
      </c>
      <c r="AG86" s="403">
        <f>AG83+AG84+AG85</f>
        <v/>
      </c>
      <c r="AH86" s="403">
        <f>SUM(AD86:AG86)</f>
        <v/>
      </c>
      <c r="AI86" s="403">
        <f>AI83+AI84+AI85</f>
        <v/>
      </c>
      <c r="AJ86" s="403">
        <f>AJ83+AJ84+AJ85</f>
        <v/>
      </c>
      <c r="AK86" s="403">
        <f>AK83+AK84+AK85</f>
        <v/>
      </c>
      <c r="AL86" s="403">
        <f>AL83+AL84+AL85</f>
        <v/>
      </c>
      <c r="AM86" s="403">
        <f>SUM(AI86:AL86)</f>
        <v/>
      </c>
      <c r="AN86" s="403">
        <f>AN83+AN84+AN85</f>
        <v/>
      </c>
      <c r="AO86" s="403">
        <f>AO83+AO84+AO85</f>
        <v/>
      </c>
      <c r="AP86" s="403">
        <f>AP83+AP84+AP85</f>
        <v/>
      </c>
      <c r="AQ86" s="403">
        <f>AQ83+AQ84+AQ85</f>
        <v/>
      </c>
      <c r="AR86" s="403">
        <f>SUM(AN86:AQ86)</f>
        <v/>
      </c>
    </row>
    <row r="87" ht="13.5" customHeight="1" s="290">
      <c r="A87" s="345" t="n"/>
      <c r="B87" s="370" t="inlineStr">
        <is>
          <t xml:space="preserve">  Book Loss Adjustment — IS</t>
        </is>
      </c>
      <c r="C87" s="371" t="inlineStr">
        <is>
          <t>$K</t>
        </is>
      </c>
      <c r="D87" s="394" t="inlineStr">
        <is>
          <t>← Tab 04 row 234 (negative)</t>
        </is>
      </c>
      <c r="E87" s="361">
        <f>'04 Producer Engine'!E234</f>
        <v/>
      </c>
      <c r="F87" s="361">
        <f>'04 Producer Engine'!F234</f>
        <v/>
      </c>
      <c r="G87" s="361">
        <f>'04 Producer Engine'!G234</f>
        <v/>
      </c>
      <c r="H87" s="361">
        <f>'04 Producer Engine'!H234</f>
        <v/>
      </c>
      <c r="I87" s="361">
        <f>SUM(E87:H87)</f>
        <v/>
      </c>
      <c r="J87" s="361">
        <f>'04 Producer Engine'!J234</f>
        <v/>
      </c>
      <c r="K87" s="361">
        <f>'04 Producer Engine'!K234</f>
        <v/>
      </c>
      <c r="L87" s="361">
        <f>'04 Producer Engine'!L234</f>
        <v/>
      </c>
      <c r="M87" s="361">
        <f>'04 Producer Engine'!M234</f>
        <v/>
      </c>
      <c r="N87" s="361">
        <f>SUM(J87:M87)</f>
        <v/>
      </c>
      <c r="O87" s="361">
        <f>'04 Producer Engine'!O234</f>
        <v/>
      </c>
      <c r="P87" s="361">
        <f>'04 Producer Engine'!P234</f>
        <v/>
      </c>
      <c r="Q87" s="361">
        <f>'04 Producer Engine'!Q234</f>
        <v/>
      </c>
      <c r="R87" s="361">
        <f>'04 Producer Engine'!R234</f>
        <v/>
      </c>
      <c r="S87" s="361">
        <f>SUM(O87:R87)</f>
        <v/>
      </c>
      <c r="T87" s="361">
        <f>'04 Producer Engine'!T234</f>
        <v/>
      </c>
      <c r="U87" s="361">
        <f>'04 Producer Engine'!U234</f>
        <v/>
      </c>
      <c r="V87" s="361">
        <f>'04 Producer Engine'!V234</f>
        <v/>
      </c>
      <c r="W87" s="361">
        <f>'04 Producer Engine'!W234</f>
        <v/>
      </c>
      <c r="X87" s="361">
        <f>SUM(T87:W87)</f>
        <v/>
      </c>
      <c r="Y87" s="361">
        <f>'04 Producer Engine'!Y234</f>
        <v/>
      </c>
      <c r="Z87" s="361">
        <f>'04 Producer Engine'!Z234</f>
        <v/>
      </c>
      <c r="AA87" s="361">
        <f>'04 Producer Engine'!AA234</f>
        <v/>
      </c>
      <c r="AB87" s="361">
        <f>'04 Producer Engine'!AB234</f>
        <v/>
      </c>
      <c r="AC87" s="361">
        <f>SUM(Y87:AB87)</f>
        <v/>
      </c>
      <c r="AD87" s="361">
        <f>'04 Producer Engine'!AD234</f>
        <v/>
      </c>
      <c r="AE87" s="361">
        <f>'04 Producer Engine'!AE234</f>
        <v/>
      </c>
      <c r="AF87" s="361">
        <f>'04 Producer Engine'!AF234</f>
        <v/>
      </c>
      <c r="AG87" s="361">
        <f>'04 Producer Engine'!AG234</f>
        <v/>
      </c>
      <c r="AH87" s="361">
        <f>SUM(AD87:AG87)</f>
        <v/>
      </c>
      <c r="AI87" s="361">
        <f>'04 Producer Engine'!AI234</f>
        <v/>
      </c>
      <c r="AJ87" s="361">
        <f>'04 Producer Engine'!AJ234</f>
        <v/>
      </c>
      <c r="AK87" s="361">
        <f>'04 Producer Engine'!AK234</f>
        <v/>
      </c>
      <c r="AL87" s="361">
        <f>'04 Producer Engine'!AL234</f>
        <v/>
      </c>
      <c r="AM87" s="361">
        <f>SUM(AI87:AL87)</f>
        <v/>
      </c>
      <c r="AN87" s="361">
        <f>'04 Producer Engine'!AN234</f>
        <v/>
      </c>
      <c r="AO87" s="361">
        <f>'04 Producer Engine'!AO234</f>
        <v/>
      </c>
      <c r="AP87" s="361">
        <f>'04 Producer Engine'!AP234</f>
        <v/>
      </c>
      <c r="AQ87" s="361">
        <f>'04 Producer Engine'!AQ234</f>
        <v/>
      </c>
      <c r="AR87" s="361">
        <f>SUM(AN87:AQ87)</f>
        <v/>
      </c>
    </row>
    <row r="88" ht="15" customHeight="1" s="290">
      <c r="A88" s="397" t="n"/>
      <c r="B88" s="377" t="inlineStr">
        <is>
          <t xml:space="preserve">  ★ Net IS GCI</t>
        </is>
      </c>
      <c r="C88" s="378" t="inlineStr">
        <is>
          <t>$K/qtr</t>
        </is>
      </c>
      <c r="D88" s="400" t="inlineStr">
        <is>
          <t xml:space="preserve"> gross gci + book loss adj</t>
        </is>
      </c>
      <c r="E88" s="379">
        <f>E86+E87</f>
        <v/>
      </c>
      <c r="F88" s="379">
        <f>F86+F87</f>
        <v/>
      </c>
      <c r="G88" s="379">
        <f>G86+G87</f>
        <v/>
      </c>
      <c r="H88" s="379">
        <f>H86+H87</f>
        <v/>
      </c>
      <c r="I88" s="379">
        <f>SUM(E88:H88)</f>
        <v/>
      </c>
      <c r="J88" s="379">
        <f>J86+J87</f>
        <v/>
      </c>
      <c r="K88" s="379">
        <f>K86+K87</f>
        <v/>
      </c>
      <c r="L88" s="379">
        <f>L86+L87</f>
        <v/>
      </c>
      <c r="M88" s="379">
        <f>M86+M87</f>
        <v/>
      </c>
      <c r="N88" s="379">
        <f>SUM(J88:M88)</f>
        <v/>
      </c>
      <c r="O88" s="379">
        <f>O86+O87</f>
        <v/>
      </c>
      <c r="P88" s="379">
        <f>P86+P87</f>
        <v/>
      </c>
      <c r="Q88" s="379">
        <f>Q86+Q87</f>
        <v/>
      </c>
      <c r="R88" s="379">
        <f>R86+R87</f>
        <v/>
      </c>
      <c r="S88" s="379">
        <f>SUM(O88:R88)</f>
        <v/>
      </c>
      <c r="T88" s="379">
        <f>T86+T87</f>
        <v/>
      </c>
      <c r="U88" s="379">
        <f>U86+U87</f>
        <v/>
      </c>
      <c r="V88" s="379">
        <f>V86+V87</f>
        <v/>
      </c>
      <c r="W88" s="379">
        <f>W86+W87</f>
        <v/>
      </c>
      <c r="X88" s="379">
        <f>SUM(T88:W88)</f>
        <v/>
      </c>
      <c r="Y88" s="379">
        <f>Y86+Y87</f>
        <v/>
      </c>
      <c r="Z88" s="379">
        <f>Z86+Z87</f>
        <v/>
      </c>
      <c r="AA88" s="379">
        <f>AA86+AA87</f>
        <v/>
      </c>
      <c r="AB88" s="379">
        <f>AB86+AB87</f>
        <v/>
      </c>
      <c r="AC88" s="379">
        <f>SUM(Y88:AB88)</f>
        <v/>
      </c>
      <c r="AD88" s="379">
        <f>AD86+AD87</f>
        <v/>
      </c>
      <c r="AE88" s="379">
        <f>AE86+AE87</f>
        <v/>
      </c>
      <c r="AF88" s="379">
        <f>AF86+AF87</f>
        <v/>
      </c>
      <c r="AG88" s="379">
        <f>AG86+AG87</f>
        <v/>
      </c>
      <c r="AH88" s="379">
        <f>SUM(AD88:AG88)</f>
        <v/>
      </c>
      <c r="AI88" s="379">
        <f>AI86+AI87</f>
        <v/>
      </c>
      <c r="AJ88" s="379">
        <f>AJ86+AJ87</f>
        <v/>
      </c>
      <c r="AK88" s="379">
        <f>AK86+AK87</f>
        <v/>
      </c>
      <c r="AL88" s="379">
        <f>AL86+AL87</f>
        <v/>
      </c>
      <c r="AM88" s="379">
        <f>SUM(AI88:AL88)</f>
        <v/>
      </c>
      <c r="AN88" s="379">
        <f>AN86+AN87</f>
        <v/>
      </c>
      <c r="AO88" s="379">
        <f>AO86+AO87</f>
        <v/>
      </c>
      <c r="AP88" s="379">
        <f>AP86+AP87</f>
        <v/>
      </c>
      <c r="AQ88" s="379">
        <f>AQ86+AQ87</f>
        <v/>
      </c>
      <c r="AR88" s="379">
        <f>SUM(AN88:AQ88)</f>
        <v/>
      </c>
    </row>
    <row r="89" ht="3.75" customHeight="1" s="290"/>
    <row r="90" ht="15" customHeight="1" s="290">
      <c r="A90" s="307" t="inlineStr">
        <is>
          <t xml:space="preserve">    B4 — IS KPIs</t>
        </is>
      </c>
    </row>
    <row r="91" ht="3" customHeight="1" s="290"/>
    <row r="92" ht="13.5" customHeight="1" s="290">
      <c r="A92" s="395" t="n"/>
      <c r="B92" s="373" t="inlineStr">
        <is>
          <t xml:space="preserve">  Blended Effective Bps</t>
        </is>
      </c>
      <c r="C92" s="374" t="inlineStr">
        <is>
          <t>bps</t>
        </is>
      </c>
      <c r="D92" s="396" t="inlineStr">
        <is>
          <t xml:space="preserve"> net gci($k) ÷ Volume($M) × 10  [reverse of GCI formula]</t>
        </is>
      </c>
      <c r="E92" s="376">
        <f>IFERROR(E88/E80*10,0)</f>
        <v/>
      </c>
      <c r="F92" s="376">
        <f>IFERROR(F88/F80*10,0)</f>
        <v/>
      </c>
      <c r="G92" s="376">
        <f>IFERROR(G88/G80*10,0)</f>
        <v/>
      </c>
      <c r="H92" s="376">
        <f>IFERROR(H88/H80*10,0)</f>
        <v/>
      </c>
      <c r="I92" s="376">
        <f>IFERROR(I88/I80*10,0)</f>
        <v/>
      </c>
      <c r="J92" s="376">
        <f>IFERROR(J88/J80*10,0)</f>
        <v/>
      </c>
      <c r="K92" s="376">
        <f>IFERROR(K88/K80*10,0)</f>
        <v/>
      </c>
      <c r="L92" s="376">
        <f>IFERROR(L88/L80*10,0)</f>
        <v/>
      </c>
      <c r="M92" s="376">
        <f>IFERROR(M88/M80*10,0)</f>
        <v/>
      </c>
      <c r="N92" s="376">
        <f>IFERROR(N88/N80*10,0)</f>
        <v/>
      </c>
      <c r="O92" s="376">
        <f>IFERROR(O88/O80*10,0)</f>
        <v/>
      </c>
      <c r="P92" s="376">
        <f>IFERROR(P88/P80*10,0)</f>
        <v/>
      </c>
      <c r="Q92" s="376">
        <f>IFERROR(Q88/Q80*10,0)</f>
        <v/>
      </c>
      <c r="R92" s="376">
        <f>IFERROR(R88/R80*10,0)</f>
        <v/>
      </c>
      <c r="S92" s="376">
        <f>IFERROR(S88/S80*10,0)</f>
        <v/>
      </c>
      <c r="T92" s="376">
        <f>IFERROR(T88/T80*10,0)</f>
        <v/>
      </c>
      <c r="U92" s="376">
        <f>IFERROR(U88/U80*10,0)</f>
        <v/>
      </c>
      <c r="V92" s="376">
        <f>IFERROR(V88/V80*10,0)</f>
        <v/>
      </c>
      <c r="W92" s="376">
        <f>IFERROR(W88/W80*10,0)</f>
        <v/>
      </c>
      <c r="X92" s="376">
        <f>IFERROR(X88/X80*10,0)</f>
        <v/>
      </c>
      <c r="Y92" s="376">
        <f>IFERROR(Y88/Y80*10,0)</f>
        <v/>
      </c>
      <c r="Z92" s="376">
        <f>IFERROR(Z88/Z80*10,0)</f>
        <v/>
      </c>
      <c r="AA92" s="376">
        <f>IFERROR(AA88/AA80*10,0)</f>
        <v/>
      </c>
      <c r="AB92" s="376">
        <f>IFERROR(AB88/AB80*10,0)</f>
        <v/>
      </c>
      <c r="AC92" s="376">
        <f>IFERROR(AC88/AC80*10,0)</f>
        <v/>
      </c>
      <c r="AD92" s="376">
        <f>IFERROR(AD88/AD80*10,0)</f>
        <v/>
      </c>
      <c r="AE92" s="376">
        <f>IFERROR(AE88/AE80*10,0)</f>
        <v/>
      </c>
      <c r="AF92" s="376">
        <f>IFERROR(AF88/AF80*10,0)</f>
        <v/>
      </c>
      <c r="AG92" s="376">
        <f>IFERROR(AG88/AG80*10,0)</f>
        <v/>
      </c>
      <c r="AH92" s="376">
        <f>IFERROR(AH88/AH80*10,0)</f>
        <v/>
      </c>
      <c r="AI92" s="376">
        <f>IFERROR(AI88/AI80*10,0)</f>
        <v/>
      </c>
      <c r="AJ92" s="376">
        <f>IFERROR(AJ88/AJ80*10,0)</f>
        <v/>
      </c>
      <c r="AK92" s="376">
        <f>IFERROR(AK88/AK80*10,0)</f>
        <v/>
      </c>
      <c r="AL92" s="376">
        <f>IFERROR(AL88/AL80*10,0)</f>
        <v/>
      </c>
      <c r="AM92" s="376">
        <f>IFERROR(AM88/AM80*10,0)</f>
        <v/>
      </c>
      <c r="AN92" s="376">
        <f>IFERROR(AN88/AN80*10,0)</f>
        <v/>
      </c>
      <c r="AO92" s="376">
        <f>IFERROR(AO88/AO80*10,0)</f>
        <v/>
      </c>
      <c r="AP92" s="376">
        <f>IFERROR(AP88/AP80*10,0)</f>
        <v/>
      </c>
      <c r="AQ92" s="376">
        <f>IFERROR(AQ88/AQ80*10,0)</f>
        <v/>
      </c>
      <c r="AR92" s="376">
        <f>IFERROR(AR88/AR80*10,0)</f>
        <v/>
      </c>
    </row>
    <row r="93" ht="13.5" customHeight="1" s="290">
      <c r="A93" s="395" t="n"/>
      <c r="B93" s="373" t="inlineStr">
        <is>
          <t xml:space="preserve">  Avg Deal Size (Blended)</t>
        </is>
      </c>
      <c r="C93" s="374" t="inlineStr">
        <is>
          <t>$M/deal</t>
        </is>
      </c>
      <c r="D93" s="396" t="inlineStr">
        <is>
          <t xml:space="preserve"> total volume ÷ Total Deals</t>
        </is>
      </c>
      <c r="E93" s="376">
        <f>IFERROR(E80/E76,0)</f>
        <v/>
      </c>
      <c r="F93" s="376">
        <f>IFERROR(F80/F76,0)</f>
        <v/>
      </c>
      <c r="G93" s="376">
        <f>IFERROR(G80/G76,0)</f>
        <v/>
      </c>
      <c r="H93" s="376">
        <f>IFERROR(H80/H76,0)</f>
        <v/>
      </c>
      <c r="I93" s="376">
        <f>IFERROR(I80/I76,0)</f>
        <v/>
      </c>
      <c r="J93" s="376">
        <f>IFERROR(J80/J76,0)</f>
        <v/>
      </c>
      <c r="K93" s="376">
        <f>IFERROR(K80/K76,0)</f>
        <v/>
      </c>
      <c r="L93" s="376">
        <f>IFERROR(L80/L76,0)</f>
        <v/>
      </c>
      <c r="M93" s="376">
        <f>IFERROR(M80/M76,0)</f>
        <v/>
      </c>
      <c r="N93" s="376">
        <f>IFERROR(N80/N76,0)</f>
        <v/>
      </c>
      <c r="O93" s="376">
        <f>IFERROR(O80/O76,0)</f>
        <v/>
      </c>
      <c r="P93" s="376">
        <f>IFERROR(P80/P76,0)</f>
        <v/>
      </c>
      <c r="Q93" s="376">
        <f>IFERROR(Q80/Q76,0)</f>
        <v/>
      </c>
      <c r="R93" s="376">
        <f>IFERROR(R80/R76,0)</f>
        <v/>
      </c>
      <c r="S93" s="376">
        <f>IFERROR(S80/S76,0)</f>
        <v/>
      </c>
      <c r="T93" s="376">
        <f>IFERROR(T80/T76,0)</f>
        <v/>
      </c>
      <c r="U93" s="376">
        <f>IFERROR(U80/U76,0)</f>
        <v/>
      </c>
      <c r="V93" s="376">
        <f>IFERROR(V80/V76,0)</f>
        <v/>
      </c>
      <c r="W93" s="376">
        <f>IFERROR(W80/W76,0)</f>
        <v/>
      </c>
      <c r="X93" s="376">
        <f>IFERROR(X80/X76,0)</f>
        <v/>
      </c>
      <c r="Y93" s="376">
        <f>IFERROR(Y80/Y76,0)</f>
        <v/>
      </c>
      <c r="Z93" s="376">
        <f>IFERROR(Z80/Z76,0)</f>
        <v/>
      </c>
      <c r="AA93" s="376">
        <f>IFERROR(AA80/AA76,0)</f>
        <v/>
      </c>
      <c r="AB93" s="376">
        <f>IFERROR(AB80/AB76,0)</f>
        <v/>
      </c>
      <c r="AC93" s="376">
        <f>IFERROR(AC80/AC76,0)</f>
        <v/>
      </c>
      <c r="AD93" s="376">
        <f>IFERROR(AD80/AD76,0)</f>
        <v/>
      </c>
      <c r="AE93" s="376">
        <f>IFERROR(AE80/AE76,0)</f>
        <v/>
      </c>
      <c r="AF93" s="376">
        <f>IFERROR(AF80/AF76,0)</f>
        <v/>
      </c>
      <c r="AG93" s="376">
        <f>IFERROR(AG80/AG76,0)</f>
        <v/>
      </c>
      <c r="AH93" s="376">
        <f>IFERROR(AH80/AH76,0)</f>
        <v/>
      </c>
      <c r="AI93" s="376">
        <f>IFERROR(AI80/AI76,0)</f>
        <v/>
      </c>
      <c r="AJ93" s="376">
        <f>IFERROR(AJ80/AJ76,0)</f>
        <v/>
      </c>
      <c r="AK93" s="376">
        <f>IFERROR(AK80/AK76,0)</f>
        <v/>
      </c>
      <c r="AL93" s="376">
        <f>IFERROR(AL80/AL76,0)</f>
        <v/>
      </c>
      <c r="AM93" s="376">
        <f>IFERROR(AM80/AM76,0)</f>
        <v/>
      </c>
      <c r="AN93" s="376">
        <f>IFERROR(AN80/AN76,0)</f>
        <v/>
      </c>
      <c r="AO93" s="376">
        <f>IFERROR(AO80/AO76,0)</f>
        <v/>
      </c>
      <c r="AP93" s="376">
        <f>IFERROR(AP80/AP76,0)</f>
        <v/>
      </c>
      <c r="AQ93" s="376">
        <f>IFERROR(AQ80/AQ76,0)</f>
        <v/>
      </c>
      <c r="AR93" s="376">
        <f>IFERROR(AR80/AR76,0)</f>
        <v/>
      </c>
    </row>
    <row r="94" ht="13.5" customHeight="1" s="290">
      <c r="A94" s="395" t="n"/>
      <c r="B94" s="373" t="inlineStr">
        <is>
          <t xml:space="preserve">  GCI per EPE (Blended)</t>
        </is>
      </c>
      <c r="C94" s="374" t="inlineStr">
        <is>
          <t>$K/EPE</t>
        </is>
      </c>
      <c r="D94" s="396" t="inlineStr">
        <is>
          <t xml:space="preserve"> net is gci ÷ Total IS EPE</t>
        </is>
      </c>
      <c r="E94" s="376">
        <f>IFERROR(E88/(E56+E57+E58),0)</f>
        <v/>
      </c>
      <c r="F94" s="376">
        <f>IFERROR(F88/(F56+F57+F58),0)</f>
        <v/>
      </c>
      <c r="G94" s="376">
        <f>IFERROR(G88/(G56+G57+G58),0)</f>
        <v/>
      </c>
      <c r="H94" s="376">
        <f>IFERROR(H88/(H56+H57+H58),0)</f>
        <v/>
      </c>
      <c r="I94" s="344">
        <f>IFERROR(I88/(I56+I57+I58),0)</f>
        <v/>
      </c>
      <c r="J94" s="376">
        <f>IFERROR(J88/(J56+J57+J58),0)</f>
        <v/>
      </c>
      <c r="K94" s="376">
        <f>IFERROR(K88/(K56+K57+K58),0)</f>
        <v/>
      </c>
      <c r="L94" s="376">
        <f>IFERROR(L88/(L56+L57+L58),0)</f>
        <v/>
      </c>
      <c r="M94" s="376">
        <f>IFERROR(M88/(M56+M57+M58),0)</f>
        <v/>
      </c>
      <c r="N94" s="344">
        <f>IFERROR(N88/(N56+N57+N58),0)</f>
        <v/>
      </c>
      <c r="O94" s="376">
        <f>IFERROR(O88/(O56+O57+O58),0)</f>
        <v/>
      </c>
      <c r="P94" s="376">
        <f>IFERROR(P88/(P56+P57+P58),0)</f>
        <v/>
      </c>
      <c r="Q94" s="376">
        <f>IFERROR(Q88/(Q56+Q57+Q58),0)</f>
        <v/>
      </c>
      <c r="R94" s="376">
        <f>IFERROR(R88/(R56+R57+R58),0)</f>
        <v/>
      </c>
      <c r="S94" s="344">
        <f>IFERROR(S88/(S56+S57+S58),0)</f>
        <v/>
      </c>
      <c r="T94" s="376">
        <f>IFERROR(T88/(T56+T57+T58),0)</f>
        <v/>
      </c>
      <c r="U94" s="376">
        <f>IFERROR(U88/(U56+U57+U58),0)</f>
        <v/>
      </c>
      <c r="V94" s="376">
        <f>IFERROR(V88/(V56+V57+V58),0)</f>
        <v/>
      </c>
      <c r="W94" s="376">
        <f>IFERROR(W88/(W56+W57+W58),0)</f>
        <v/>
      </c>
      <c r="X94" s="344">
        <f>IFERROR(X88/(X56+X57+X58),0)</f>
        <v/>
      </c>
      <c r="Y94" s="376">
        <f>IFERROR(Y88/(Y56+Y57+Y58),0)</f>
        <v/>
      </c>
      <c r="Z94" s="376">
        <f>IFERROR(Z88/(Z56+Z57+Z58),0)</f>
        <v/>
      </c>
      <c r="AA94" s="376">
        <f>IFERROR(AA88/(AA56+AA57+AA58),0)</f>
        <v/>
      </c>
      <c r="AB94" s="376">
        <f>IFERROR(AB88/(AB56+AB57+AB58),0)</f>
        <v/>
      </c>
      <c r="AC94" s="344">
        <f>IFERROR(AC88/(AC56+AC57+AC58),0)</f>
        <v/>
      </c>
      <c r="AD94" s="376">
        <f>IFERROR(AD88/(AD56+AD57+AD58),0)</f>
        <v/>
      </c>
      <c r="AE94" s="376">
        <f>IFERROR(AE88/(AE56+AE57+AE58),0)</f>
        <v/>
      </c>
      <c r="AF94" s="376">
        <f>IFERROR(AF88/(AF56+AF57+AF58),0)</f>
        <v/>
      </c>
      <c r="AG94" s="376">
        <f>IFERROR(AG88/(AG56+AG57+AG58),0)</f>
        <v/>
      </c>
      <c r="AH94" s="344">
        <f>IFERROR(AH88/(AH56+AH57+AH58),0)</f>
        <v/>
      </c>
      <c r="AI94" s="376">
        <f>IFERROR(AI88/(AI56+AI57+AI58),0)</f>
        <v/>
      </c>
      <c r="AJ94" s="376">
        <f>IFERROR(AJ88/(AJ56+AJ57+AJ58),0)</f>
        <v/>
      </c>
      <c r="AK94" s="376">
        <f>IFERROR(AK88/(AK56+AK57+AK58),0)</f>
        <v/>
      </c>
      <c r="AL94" s="376">
        <f>IFERROR(AL88/(AL56+AL57+AL58),0)</f>
        <v/>
      </c>
      <c r="AM94" s="344">
        <f>IFERROR(AM88/(AM56+AM57+AM58),0)</f>
        <v/>
      </c>
      <c r="AN94" s="376">
        <f>IFERROR(AN88/(AN56+AN57+AN58),0)</f>
        <v/>
      </c>
      <c r="AO94" s="376">
        <f>IFERROR(AO88/(AO56+AO57+AO58),0)</f>
        <v/>
      </c>
      <c r="AP94" s="376">
        <f>IFERROR(AP88/(AP56+AP57+AP58),0)</f>
        <v/>
      </c>
      <c r="AQ94" s="376">
        <f>IFERROR(AQ88/(AQ56+AQ57+AQ58),0)</f>
        <v/>
      </c>
      <c r="AR94" s="344">
        <f>IFERROR(AR88/(AR56+AR57+AR58),0)</f>
        <v/>
      </c>
    </row>
    <row r="95" ht="13.5" customHeight="1" s="290">
      <c r="A95" s="395" t="n"/>
      <c r="B95" s="373" t="inlineStr">
        <is>
          <t xml:space="preserve">  Implied IS Market Share</t>
        </is>
      </c>
      <c r="C95" s="374" t="inlineStr">
        <is>
          <t>% of mkt vol</t>
        </is>
      </c>
      <c r="D95" s="396" t="inlineStr">
        <is>
          <t xml:space="preserve"> firm vol($m) ÷ Market Vol($B×1000)</t>
        </is>
      </c>
      <c r="E95" s="376">
        <f>IFERROR(E80/(E68*1000),0)</f>
        <v/>
      </c>
      <c r="F95" s="376">
        <f>IFERROR(F80/(F68*1000),0)</f>
        <v/>
      </c>
      <c r="G95" s="376">
        <f>IFERROR(G80/(G68*1000),0)</f>
        <v/>
      </c>
      <c r="H95" s="376">
        <f>IFERROR(H80/(H68*1000),0)</f>
        <v/>
      </c>
      <c r="I95" s="376">
        <f>IFERROR(I80/(I68*1000),0)</f>
        <v/>
      </c>
      <c r="J95" s="376">
        <f>IFERROR(J80/(J68*1000),0)</f>
        <v/>
      </c>
      <c r="K95" s="376">
        <f>IFERROR(K80/(K68*1000),0)</f>
        <v/>
      </c>
      <c r="L95" s="376">
        <f>IFERROR(L80/(L68*1000),0)</f>
        <v/>
      </c>
      <c r="M95" s="376">
        <f>IFERROR(M80/(M68*1000),0)</f>
        <v/>
      </c>
      <c r="N95" s="376">
        <f>IFERROR(N80/(N68*1000),0)</f>
        <v/>
      </c>
      <c r="O95" s="376">
        <f>IFERROR(O80/(O68*1000),0)</f>
        <v/>
      </c>
      <c r="P95" s="376">
        <f>IFERROR(P80/(P68*1000),0)</f>
        <v/>
      </c>
      <c r="Q95" s="376">
        <f>IFERROR(Q80/(Q68*1000),0)</f>
        <v/>
      </c>
      <c r="R95" s="376">
        <f>IFERROR(R80/(R68*1000),0)</f>
        <v/>
      </c>
      <c r="S95" s="376">
        <f>IFERROR(S80/(S68*1000),0)</f>
        <v/>
      </c>
      <c r="T95" s="376">
        <f>IFERROR(T80/(T68*1000),0)</f>
        <v/>
      </c>
      <c r="U95" s="376">
        <f>IFERROR(U80/(U68*1000),0)</f>
        <v/>
      </c>
      <c r="V95" s="376">
        <f>IFERROR(V80/(V68*1000),0)</f>
        <v/>
      </c>
      <c r="W95" s="376">
        <f>IFERROR(W80/(W68*1000),0)</f>
        <v/>
      </c>
      <c r="X95" s="376">
        <f>IFERROR(X80/(X68*1000),0)</f>
        <v/>
      </c>
      <c r="Y95" s="376">
        <f>IFERROR(Y80/(Y68*1000),0)</f>
        <v/>
      </c>
      <c r="Z95" s="376">
        <f>IFERROR(Z80/(Z68*1000),0)</f>
        <v/>
      </c>
      <c r="AA95" s="376">
        <f>IFERROR(AA80/(AA68*1000),0)</f>
        <v/>
      </c>
      <c r="AB95" s="376">
        <f>IFERROR(AB80/(AB68*1000),0)</f>
        <v/>
      </c>
      <c r="AC95" s="376">
        <f>IFERROR(AC80/(AC68*1000),0)</f>
        <v/>
      </c>
      <c r="AD95" s="376">
        <f>IFERROR(AD80/(AD68*1000),0)</f>
        <v/>
      </c>
      <c r="AE95" s="376">
        <f>IFERROR(AE80/(AE68*1000),0)</f>
        <v/>
      </c>
      <c r="AF95" s="376">
        <f>IFERROR(AF80/(AF68*1000),0)</f>
        <v/>
      </c>
      <c r="AG95" s="376">
        <f>IFERROR(AG80/(AG68*1000),0)</f>
        <v/>
      </c>
      <c r="AH95" s="376">
        <f>IFERROR(AH80/(AH68*1000),0)</f>
        <v/>
      </c>
      <c r="AI95" s="376">
        <f>IFERROR(AI80/(AI68*1000),0)</f>
        <v/>
      </c>
      <c r="AJ95" s="376">
        <f>IFERROR(AJ80/(AJ68*1000),0)</f>
        <v/>
      </c>
      <c r="AK95" s="376">
        <f>IFERROR(AK80/(AK68*1000),0)</f>
        <v/>
      </c>
      <c r="AL95" s="376">
        <f>IFERROR(AL80/(AL68*1000),0)</f>
        <v/>
      </c>
      <c r="AM95" s="376">
        <f>IFERROR(AM80/(AM68*1000),0)</f>
        <v/>
      </c>
      <c r="AN95" s="376">
        <f>IFERROR(AN80/(AN68*1000),0)</f>
        <v/>
      </c>
      <c r="AO95" s="376">
        <f>IFERROR(AO80/(AO68*1000),0)</f>
        <v/>
      </c>
      <c r="AP95" s="376">
        <f>IFERROR(AP80/(AP68*1000),0)</f>
        <v/>
      </c>
      <c r="AQ95" s="376">
        <f>IFERROR(AQ80/(AQ68*1000),0)</f>
        <v/>
      </c>
      <c r="AR95" s="376">
        <f>IFERROR(AR80/(AR68*1000),0)</f>
        <v/>
      </c>
    </row>
    <row r="96" ht="4.5" customHeight="1" s="290"/>
    <row r="97" ht="3" customHeight="1" s="290">
      <c r="A97" s="293" t="n"/>
    </row>
    <row r="98" ht="4.5" customHeight="1" s="290"/>
    <row r="99" ht="15.75" customHeight="1" s="290">
      <c r="A99" s="338" t="inlineStr">
        <is>
          <t xml:space="preserve">  SECTION C — DEBT &amp; EQUITY PLACEMENT REVENUE</t>
        </is>
      </c>
    </row>
    <row r="100" ht="3.75" customHeight="1" s="290"/>
    <row r="101" ht="15" customHeight="1" s="290">
      <c r="A101" s="307" t="inlineStr">
        <is>
          <t xml:space="preserve">    C1 — INPUT LINKS</t>
        </is>
      </c>
    </row>
    <row r="102" ht="3" customHeight="1" s="290"/>
    <row r="103" ht="13.5" customHeight="1" s="290">
      <c r="A103" s="395" t="n"/>
      <c r="B103" s="373" t="inlineStr">
        <is>
          <t xml:space="preserve">  IS Transaction Volume (from Section B)</t>
        </is>
      </c>
      <c r="C103" s="374" t="inlineStr">
        <is>
          <t>$M/qtr</t>
        </is>
      </c>
      <c r="D103" s="396" t="inlineStr">
        <is>
          <t>← Section B IS_VOL_TOT (same tab, no circular ref)</t>
        </is>
      </c>
      <c r="E103" s="376">
        <f>E80</f>
        <v/>
      </c>
      <c r="F103" s="376">
        <f>F80</f>
        <v/>
      </c>
      <c r="G103" s="376">
        <f>G80</f>
        <v/>
      </c>
      <c r="H103" s="376">
        <f>H80</f>
        <v/>
      </c>
      <c r="I103" s="376">
        <f>SUM(E103:H103)</f>
        <v/>
      </c>
      <c r="J103" s="376">
        <f>J80</f>
        <v/>
      </c>
      <c r="K103" s="376">
        <f>K80</f>
        <v/>
      </c>
      <c r="L103" s="376">
        <f>L80</f>
        <v/>
      </c>
      <c r="M103" s="376">
        <f>M80</f>
        <v/>
      </c>
      <c r="N103" s="376">
        <f>SUM(J103:M103)</f>
        <v/>
      </c>
      <c r="O103" s="376">
        <f>O80</f>
        <v/>
      </c>
      <c r="P103" s="376">
        <f>P80</f>
        <v/>
      </c>
      <c r="Q103" s="376">
        <f>Q80</f>
        <v/>
      </c>
      <c r="R103" s="376">
        <f>R80</f>
        <v/>
      </c>
      <c r="S103" s="376">
        <f>SUM(O103:R103)</f>
        <v/>
      </c>
      <c r="T103" s="376">
        <f>T80</f>
        <v/>
      </c>
      <c r="U103" s="376">
        <f>U80</f>
        <v/>
      </c>
      <c r="V103" s="376">
        <f>V80</f>
        <v/>
      </c>
      <c r="W103" s="376">
        <f>W80</f>
        <v/>
      </c>
      <c r="X103" s="376">
        <f>SUM(T103:W103)</f>
        <v/>
      </c>
      <c r="Y103" s="376">
        <f>Y80</f>
        <v/>
      </c>
      <c r="Z103" s="376">
        <f>Z80</f>
        <v/>
      </c>
      <c r="AA103" s="376">
        <f>AA80</f>
        <v/>
      </c>
      <c r="AB103" s="376">
        <f>AB80</f>
        <v/>
      </c>
      <c r="AC103" s="376">
        <f>SUM(Y103:AB103)</f>
        <v/>
      </c>
      <c r="AD103" s="376">
        <f>AD80</f>
        <v/>
      </c>
      <c r="AE103" s="376">
        <f>AE80</f>
        <v/>
      </c>
      <c r="AF103" s="376">
        <f>AF80</f>
        <v/>
      </c>
      <c r="AG103" s="376">
        <f>AG80</f>
        <v/>
      </c>
      <c r="AH103" s="376">
        <f>SUM(AD103:AG103)</f>
        <v/>
      </c>
      <c r="AI103" s="376">
        <f>AI80</f>
        <v/>
      </c>
      <c r="AJ103" s="376">
        <f>AJ80</f>
        <v/>
      </c>
      <c r="AK103" s="376">
        <f>AK80</f>
        <v/>
      </c>
      <c r="AL103" s="376">
        <f>AL80</f>
        <v/>
      </c>
      <c r="AM103" s="376">
        <f>SUM(AI103:AL103)</f>
        <v/>
      </c>
      <c r="AN103" s="376">
        <f>AN80</f>
        <v/>
      </c>
      <c r="AO103" s="376">
        <f>AO80</f>
        <v/>
      </c>
      <c r="AP103" s="376">
        <f>AP80</f>
        <v/>
      </c>
      <c r="AQ103" s="376">
        <f>AQ80</f>
        <v/>
      </c>
      <c r="AR103" s="376">
        <f>SUM(AN103:AQ103)</f>
        <v/>
      </c>
    </row>
    <row r="104" ht="13.5" customHeight="1" s="290">
      <c r="A104" s="345" t="n"/>
      <c r="B104" s="370" t="inlineStr">
        <is>
          <t xml:space="preserve">  D&amp;E Capture Rate (Active)</t>
        </is>
      </c>
      <c r="C104" s="371" t="inlineStr">
        <is>
          <t>% of IS vol</t>
        </is>
      </c>
      <c r="D104" s="394" t="inlineStr">
        <is>
          <t>← Tab 03 row 217 Active</t>
        </is>
      </c>
      <c r="E104" s="361">
        <f>'03 Operational Assumptions'!E217</f>
        <v/>
      </c>
      <c r="F104" s="361">
        <f>'03 Operational Assumptions'!F217</f>
        <v/>
      </c>
      <c r="G104" s="361">
        <f>'03 Operational Assumptions'!G217</f>
        <v/>
      </c>
      <c r="H104" s="361">
        <f>'03 Operational Assumptions'!H217</f>
        <v/>
      </c>
      <c r="I104" s="361">
        <f>AVERAGE(E104:H104)</f>
        <v/>
      </c>
      <c r="J104" s="361">
        <f>'03 Operational Assumptions'!J217</f>
        <v/>
      </c>
      <c r="K104" s="361">
        <f>'03 Operational Assumptions'!K217</f>
        <v/>
      </c>
      <c r="L104" s="361">
        <f>'03 Operational Assumptions'!L217</f>
        <v/>
      </c>
      <c r="M104" s="361">
        <f>'03 Operational Assumptions'!M217</f>
        <v/>
      </c>
      <c r="N104" s="361">
        <f>AVERAGE(J104:M104)</f>
        <v/>
      </c>
      <c r="O104" s="361">
        <f>'03 Operational Assumptions'!O217</f>
        <v/>
      </c>
      <c r="P104" s="361">
        <f>'03 Operational Assumptions'!P217</f>
        <v/>
      </c>
      <c r="Q104" s="361">
        <f>'03 Operational Assumptions'!Q217</f>
        <v/>
      </c>
      <c r="R104" s="361">
        <f>'03 Operational Assumptions'!R217</f>
        <v/>
      </c>
      <c r="S104" s="361">
        <f>AVERAGE(O104:R104)</f>
        <v/>
      </c>
      <c r="T104" s="361">
        <f>'03 Operational Assumptions'!T217</f>
        <v/>
      </c>
      <c r="U104" s="361">
        <f>'03 Operational Assumptions'!U217</f>
        <v/>
      </c>
      <c r="V104" s="361">
        <f>'03 Operational Assumptions'!V217</f>
        <v/>
      </c>
      <c r="W104" s="361">
        <f>'03 Operational Assumptions'!W217</f>
        <v/>
      </c>
      <c r="X104" s="361">
        <f>AVERAGE(T104:W104)</f>
        <v/>
      </c>
      <c r="Y104" s="361">
        <f>'03 Operational Assumptions'!Y217</f>
        <v/>
      </c>
      <c r="Z104" s="361">
        <f>'03 Operational Assumptions'!Z217</f>
        <v/>
      </c>
      <c r="AA104" s="361">
        <f>'03 Operational Assumptions'!AA217</f>
        <v/>
      </c>
      <c r="AB104" s="361">
        <f>'03 Operational Assumptions'!AB217</f>
        <v/>
      </c>
      <c r="AC104" s="361">
        <f>AVERAGE(Y104:AB104)</f>
        <v/>
      </c>
      <c r="AD104" s="361">
        <f>'03 Operational Assumptions'!AD217</f>
        <v/>
      </c>
      <c r="AE104" s="361">
        <f>'03 Operational Assumptions'!AE217</f>
        <v/>
      </c>
      <c r="AF104" s="361">
        <f>'03 Operational Assumptions'!AF217</f>
        <v/>
      </c>
      <c r="AG104" s="361">
        <f>'03 Operational Assumptions'!AG217</f>
        <v/>
      </c>
      <c r="AH104" s="361">
        <f>AVERAGE(AD104:AG104)</f>
        <v/>
      </c>
      <c r="AI104" s="361">
        <f>'03 Operational Assumptions'!AI217</f>
        <v/>
      </c>
      <c r="AJ104" s="361">
        <f>'03 Operational Assumptions'!AJ217</f>
        <v/>
      </c>
      <c r="AK104" s="361">
        <f>'03 Operational Assumptions'!AK217</f>
        <v/>
      </c>
      <c r="AL104" s="361">
        <f>'03 Operational Assumptions'!AL217</f>
        <v/>
      </c>
      <c r="AM104" s="361">
        <f>AVERAGE(AI104:AL104)</f>
        <v/>
      </c>
      <c r="AN104" s="361">
        <f>'03 Operational Assumptions'!AN217</f>
        <v/>
      </c>
      <c r="AO104" s="361">
        <f>'03 Operational Assumptions'!AO217</f>
        <v/>
      </c>
      <c r="AP104" s="361">
        <f>'03 Operational Assumptions'!AP217</f>
        <v/>
      </c>
      <c r="AQ104" s="361">
        <f>'03 Operational Assumptions'!AQ217</f>
        <v/>
      </c>
      <c r="AR104" s="361">
        <f>AVERAGE(AN104:AQ104)</f>
        <v/>
      </c>
    </row>
    <row r="105" ht="13.5" customHeight="1" s="290">
      <c r="A105" s="345" t="n"/>
      <c r="B105" s="370" t="inlineStr">
        <is>
          <t xml:space="preserve">  Debt / Equity Mix (% Debt)</t>
        </is>
      </c>
      <c r="C105" s="371" t="inlineStr">
        <is>
          <t>% debt</t>
        </is>
      </c>
      <c r="D105" s="394" t="inlineStr">
        <is>
          <t>← Tab 03 row 225</t>
        </is>
      </c>
      <c r="E105" s="361">
        <f>'03 Operational Assumptions'!E225</f>
        <v/>
      </c>
      <c r="F105" s="361">
        <f>'03 Operational Assumptions'!F225</f>
        <v/>
      </c>
      <c r="G105" s="361">
        <f>'03 Operational Assumptions'!G225</f>
        <v/>
      </c>
      <c r="H105" s="361">
        <f>'03 Operational Assumptions'!H225</f>
        <v/>
      </c>
      <c r="I105" s="361">
        <f>AVERAGE(E105:H105)</f>
        <v/>
      </c>
      <c r="J105" s="361">
        <f>'03 Operational Assumptions'!J225</f>
        <v/>
      </c>
      <c r="K105" s="361">
        <f>'03 Operational Assumptions'!K225</f>
        <v/>
      </c>
      <c r="L105" s="361">
        <f>'03 Operational Assumptions'!L225</f>
        <v/>
      </c>
      <c r="M105" s="361">
        <f>'03 Operational Assumptions'!M225</f>
        <v/>
      </c>
      <c r="N105" s="361">
        <f>AVERAGE(J105:M105)</f>
        <v/>
      </c>
      <c r="O105" s="361">
        <f>'03 Operational Assumptions'!O225</f>
        <v/>
      </c>
      <c r="P105" s="361">
        <f>'03 Operational Assumptions'!P225</f>
        <v/>
      </c>
      <c r="Q105" s="361">
        <f>'03 Operational Assumptions'!Q225</f>
        <v/>
      </c>
      <c r="R105" s="361">
        <f>'03 Operational Assumptions'!R225</f>
        <v/>
      </c>
      <c r="S105" s="361">
        <f>AVERAGE(O105:R105)</f>
        <v/>
      </c>
      <c r="T105" s="361">
        <f>'03 Operational Assumptions'!T225</f>
        <v/>
      </c>
      <c r="U105" s="361">
        <f>'03 Operational Assumptions'!U225</f>
        <v/>
      </c>
      <c r="V105" s="361">
        <f>'03 Operational Assumptions'!V225</f>
        <v/>
      </c>
      <c r="W105" s="361">
        <f>'03 Operational Assumptions'!W225</f>
        <v/>
      </c>
      <c r="X105" s="361">
        <f>AVERAGE(T105:W105)</f>
        <v/>
      </c>
      <c r="Y105" s="361">
        <f>'03 Operational Assumptions'!Y225</f>
        <v/>
      </c>
      <c r="Z105" s="361">
        <f>'03 Operational Assumptions'!Z225</f>
        <v/>
      </c>
      <c r="AA105" s="361">
        <f>'03 Operational Assumptions'!AA225</f>
        <v/>
      </c>
      <c r="AB105" s="361">
        <f>'03 Operational Assumptions'!AB225</f>
        <v/>
      </c>
      <c r="AC105" s="361">
        <f>AVERAGE(Y105:AB105)</f>
        <v/>
      </c>
      <c r="AD105" s="361">
        <f>'03 Operational Assumptions'!AD225</f>
        <v/>
      </c>
      <c r="AE105" s="361">
        <f>'03 Operational Assumptions'!AE225</f>
        <v/>
      </c>
      <c r="AF105" s="361">
        <f>'03 Operational Assumptions'!AF225</f>
        <v/>
      </c>
      <c r="AG105" s="361">
        <f>'03 Operational Assumptions'!AG225</f>
        <v/>
      </c>
      <c r="AH105" s="361">
        <f>AVERAGE(AD105:AG105)</f>
        <v/>
      </c>
      <c r="AI105" s="361">
        <f>'03 Operational Assumptions'!AI225</f>
        <v/>
      </c>
      <c r="AJ105" s="361">
        <f>'03 Operational Assumptions'!AJ225</f>
        <v/>
      </c>
      <c r="AK105" s="361">
        <f>'03 Operational Assumptions'!AK225</f>
        <v/>
      </c>
      <c r="AL105" s="361">
        <f>'03 Operational Assumptions'!AL225</f>
        <v/>
      </c>
      <c r="AM105" s="361">
        <f>AVERAGE(AI105:AL105)</f>
        <v/>
      </c>
      <c r="AN105" s="361">
        <f>'03 Operational Assumptions'!AN225</f>
        <v/>
      </c>
      <c r="AO105" s="361">
        <f>'03 Operational Assumptions'!AO225</f>
        <v/>
      </c>
      <c r="AP105" s="361">
        <f>'03 Operational Assumptions'!AP225</f>
        <v/>
      </c>
      <c r="AQ105" s="361">
        <f>'03 Operational Assumptions'!AQ225</f>
        <v/>
      </c>
      <c r="AR105" s="361">
        <f>AVERAGE(AN105:AQ105)</f>
        <v/>
      </c>
    </row>
    <row r="106" ht="13.5" customHeight="1" s="290">
      <c r="A106" s="345" t="n"/>
      <c r="B106" s="370" t="inlineStr">
        <is>
          <t xml:space="preserve">  Firm Refi Capture Rate</t>
        </is>
      </c>
      <c r="C106" s="371" t="inlineStr">
        <is>
          <t>% of natl refi</t>
        </is>
      </c>
      <c r="D106" s="394" t="inlineStr">
        <is>
          <t>← Tab 03 row 226</t>
        </is>
      </c>
      <c r="E106" s="361">
        <f>'03 Operational Assumptions'!E226</f>
        <v/>
      </c>
      <c r="F106" s="361">
        <f>'03 Operational Assumptions'!F226</f>
        <v/>
      </c>
      <c r="G106" s="361">
        <f>'03 Operational Assumptions'!G226</f>
        <v/>
      </c>
      <c r="H106" s="361">
        <f>'03 Operational Assumptions'!H226</f>
        <v/>
      </c>
      <c r="I106" s="361">
        <f>AVERAGE(E106:H106)</f>
        <v/>
      </c>
      <c r="J106" s="361">
        <f>'03 Operational Assumptions'!J226</f>
        <v/>
      </c>
      <c r="K106" s="361">
        <f>'03 Operational Assumptions'!K226</f>
        <v/>
      </c>
      <c r="L106" s="361">
        <f>'03 Operational Assumptions'!L226</f>
        <v/>
      </c>
      <c r="M106" s="361">
        <f>'03 Operational Assumptions'!M226</f>
        <v/>
      </c>
      <c r="N106" s="361">
        <f>AVERAGE(J106:M106)</f>
        <v/>
      </c>
      <c r="O106" s="361">
        <f>'03 Operational Assumptions'!O226</f>
        <v/>
      </c>
      <c r="P106" s="361">
        <f>'03 Operational Assumptions'!P226</f>
        <v/>
      </c>
      <c r="Q106" s="361">
        <f>'03 Operational Assumptions'!Q226</f>
        <v/>
      </c>
      <c r="R106" s="361">
        <f>'03 Operational Assumptions'!R226</f>
        <v/>
      </c>
      <c r="S106" s="361">
        <f>AVERAGE(O106:R106)</f>
        <v/>
      </c>
      <c r="T106" s="361">
        <f>'03 Operational Assumptions'!T226</f>
        <v/>
      </c>
      <c r="U106" s="361">
        <f>'03 Operational Assumptions'!U226</f>
        <v/>
      </c>
      <c r="V106" s="361">
        <f>'03 Operational Assumptions'!V226</f>
        <v/>
      </c>
      <c r="W106" s="361">
        <f>'03 Operational Assumptions'!W226</f>
        <v/>
      </c>
      <c r="X106" s="361">
        <f>AVERAGE(T106:W106)</f>
        <v/>
      </c>
      <c r="Y106" s="361">
        <f>'03 Operational Assumptions'!Y226</f>
        <v/>
      </c>
      <c r="Z106" s="361">
        <f>'03 Operational Assumptions'!Z226</f>
        <v/>
      </c>
      <c r="AA106" s="361">
        <f>'03 Operational Assumptions'!AA226</f>
        <v/>
      </c>
      <c r="AB106" s="361">
        <f>'03 Operational Assumptions'!AB226</f>
        <v/>
      </c>
      <c r="AC106" s="361">
        <f>AVERAGE(Y106:AB106)</f>
        <v/>
      </c>
      <c r="AD106" s="361">
        <f>'03 Operational Assumptions'!AD226</f>
        <v/>
      </c>
      <c r="AE106" s="361">
        <f>'03 Operational Assumptions'!AE226</f>
        <v/>
      </c>
      <c r="AF106" s="361">
        <f>'03 Operational Assumptions'!AF226</f>
        <v/>
      </c>
      <c r="AG106" s="361">
        <f>'03 Operational Assumptions'!AG226</f>
        <v/>
      </c>
      <c r="AH106" s="361">
        <f>AVERAGE(AD106:AG106)</f>
        <v/>
      </c>
      <c r="AI106" s="361">
        <f>'03 Operational Assumptions'!AI226</f>
        <v/>
      </c>
      <c r="AJ106" s="361">
        <f>'03 Operational Assumptions'!AJ226</f>
        <v/>
      </c>
      <c r="AK106" s="361">
        <f>'03 Operational Assumptions'!AK226</f>
        <v/>
      </c>
      <c r="AL106" s="361">
        <f>'03 Operational Assumptions'!AL226</f>
        <v/>
      </c>
      <c r="AM106" s="361">
        <f>AVERAGE(AI106:AL106)</f>
        <v/>
      </c>
      <c r="AN106" s="361">
        <f>'03 Operational Assumptions'!AN226</f>
        <v/>
      </c>
      <c r="AO106" s="361">
        <f>'03 Operational Assumptions'!AO226</f>
        <v/>
      </c>
      <c r="AP106" s="361">
        <f>'03 Operational Assumptions'!AP226</f>
        <v/>
      </c>
      <c r="AQ106" s="361">
        <f>'03 Operational Assumptions'!AQ226</f>
        <v/>
      </c>
      <c r="AR106" s="361">
        <f>AVERAGE(AN106:AQ106)</f>
        <v/>
      </c>
    </row>
    <row r="107" ht="13.5" customHeight="1" s="290">
      <c r="A107" s="345" t="n"/>
      <c r="B107" s="370" t="inlineStr">
        <is>
          <t xml:space="preserve">  National Orig Volume (Active)</t>
        </is>
      </c>
      <c r="C107" s="371" t="inlineStr">
        <is>
          <t>$B/qtr</t>
        </is>
      </c>
      <c r="D107" s="394" t="inlineStr">
        <is>
          <t>← Tab 02 row 102 Active</t>
        </is>
      </c>
      <c r="E107" s="361">
        <f>'02 Market Assumptions'!E102</f>
        <v/>
      </c>
      <c r="F107" s="361">
        <f>'02 Market Assumptions'!F102</f>
        <v/>
      </c>
      <c r="G107" s="361">
        <f>'02 Market Assumptions'!G102</f>
        <v/>
      </c>
      <c r="H107" s="361">
        <f>'02 Market Assumptions'!H102</f>
        <v/>
      </c>
      <c r="I107" s="361">
        <f>SUM(E107:H107)</f>
        <v/>
      </c>
      <c r="J107" s="361">
        <f>'02 Market Assumptions'!J102</f>
        <v/>
      </c>
      <c r="K107" s="361">
        <f>'02 Market Assumptions'!K102</f>
        <v/>
      </c>
      <c r="L107" s="361">
        <f>'02 Market Assumptions'!L102</f>
        <v/>
      </c>
      <c r="M107" s="361">
        <f>'02 Market Assumptions'!M102</f>
        <v/>
      </c>
      <c r="N107" s="361">
        <f>SUM(J107:M107)</f>
        <v/>
      </c>
      <c r="O107" s="361">
        <f>'02 Market Assumptions'!O102</f>
        <v/>
      </c>
      <c r="P107" s="361">
        <f>'02 Market Assumptions'!P102</f>
        <v/>
      </c>
      <c r="Q107" s="361">
        <f>'02 Market Assumptions'!Q102</f>
        <v/>
      </c>
      <c r="R107" s="361">
        <f>'02 Market Assumptions'!R102</f>
        <v/>
      </c>
      <c r="S107" s="361">
        <f>SUM(O107:R107)</f>
        <v/>
      </c>
      <c r="T107" s="361">
        <f>'02 Market Assumptions'!T102</f>
        <v/>
      </c>
      <c r="U107" s="361">
        <f>'02 Market Assumptions'!U102</f>
        <v/>
      </c>
      <c r="V107" s="361">
        <f>'02 Market Assumptions'!V102</f>
        <v/>
      </c>
      <c r="W107" s="361">
        <f>'02 Market Assumptions'!W102</f>
        <v/>
      </c>
      <c r="X107" s="361">
        <f>SUM(T107:W107)</f>
        <v/>
      </c>
      <c r="Y107" s="361">
        <f>'02 Market Assumptions'!Y102</f>
        <v/>
      </c>
      <c r="Z107" s="361">
        <f>'02 Market Assumptions'!Z102</f>
        <v/>
      </c>
      <c r="AA107" s="361">
        <f>'02 Market Assumptions'!AA102</f>
        <v/>
      </c>
      <c r="AB107" s="361">
        <f>'02 Market Assumptions'!AB102</f>
        <v/>
      </c>
      <c r="AC107" s="361">
        <f>SUM(Y107:AB107)</f>
        <v/>
      </c>
      <c r="AD107" s="361">
        <f>'02 Market Assumptions'!AD102</f>
        <v/>
      </c>
      <c r="AE107" s="361">
        <f>'02 Market Assumptions'!AE102</f>
        <v/>
      </c>
      <c r="AF107" s="361">
        <f>'02 Market Assumptions'!AF102</f>
        <v/>
      </c>
      <c r="AG107" s="361">
        <f>'02 Market Assumptions'!AG102</f>
        <v/>
      </c>
      <c r="AH107" s="361">
        <f>SUM(AD107:AG107)</f>
        <v/>
      </c>
      <c r="AI107" s="361">
        <f>'02 Market Assumptions'!AI102</f>
        <v/>
      </c>
      <c r="AJ107" s="361">
        <f>'02 Market Assumptions'!AJ102</f>
        <v/>
      </c>
      <c r="AK107" s="361">
        <f>'02 Market Assumptions'!AK102</f>
        <v/>
      </c>
      <c r="AL107" s="361">
        <f>'02 Market Assumptions'!AL102</f>
        <v/>
      </c>
      <c r="AM107" s="361">
        <f>SUM(AI107:AL107)</f>
        <v/>
      </c>
      <c r="AN107" s="361">
        <f>'02 Market Assumptions'!AN102</f>
        <v/>
      </c>
      <c r="AO107" s="361">
        <f>'02 Market Assumptions'!AO102</f>
        <v/>
      </c>
      <c r="AP107" s="361">
        <f>'02 Market Assumptions'!AP102</f>
        <v/>
      </c>
      <c r="AQ107" s="361">
        <f>'02 Market Assumptions'!AQ102</f>
        <v/>
      </c>
      <c r="AR107" s="361">
        <f>SUM(AN107:AQ107)</f>
        <v/>
      </c>
    </row>
    <row r="108" ht="13.5" customHeight="1" s="290">
      <c r="A108" s="345" t="n"/>
      <c r="B108" s="370" t="inlineStr">
        <is>
          <t xml:space="preserve">  Refinancing Share (Active)</t>
        </is>
      </c>
      <c r="C108" s="371" t="inlineStr">
        <is>
          <t>% of orig</t>
        </is>
      </c>
      <c r="D108" s="394" t="inlineStr">
        <is>
          <t>← Tab 02 row 107 Active</t>
        </is>
      </c>
      <c r="E108" s="361">
        <f>'02 Market Assumptions'!E107</f>
        <v/>
      </c>
      <c r="F108" s="361">
        <f>'02 Market Assumptions'!F107</f>
        <v/>
      </c>
      <c r="G108" s="361">
        <f>'02 Market Assumptions'!G107</f>
        <v/>
      </c>
      <c r="H108" s="361">
        <f>'02 Market Assumptions'!H107</f>
        <v/>
      </c>
      <c r="I108" s="361">
        <f>AVERAGE(E108:H108)</f>
        <v/>
      </c>
      <c r="J108" s="361">
        <f>'02 Market Assumptions'!J107</f>
        <v/>
      </c>
      <c r="K108" s="361">
        <f>'02 Market Assumptions'!K107</f>
        <v/>
      </c>
      <c r="L108" s="361">
        <f>'02 Market Assumptions'!L107</f>
        <v/>
      </c>
      <c r="M108" s="361">
        <f>'02 Market Assumptions'!M107</f>
        <v/>
      </c>
      <c r="N108" s="361">
        <f>AVERAGE(J108:M108)</f>
        <v/>
      </c>
      <c r="O108" s="361">
        <f>'02 Market Assumptions'!O107</f>
        <v/>
      </c>
      <c r="P108" s="361">
        <f>'02 Market Assumptions'!P107</f>
        <v/>
      </c>
      <c r="Q108" s="361">
        <f>'02 Market Assumptions'!Q107</f>
        <v/>
      </c>
      <c r="R108" s="361">
        <f>'02 Market Assumptions'!R107</f>
        <v/>
      </c>
      <c r="S108" s="361">
        <f>AVERAGE(O108:R108)</f>
        <v/>
      </c>
      <c r="T108" s="361">
        <f>'02 Market Assumptions'!T107</f>
        <v/>
      </c>
      <c r="U108" s="361">
        <f>'02 Market Assumptions'!U107</f>
        <v/>
      </c>
      <c r="V108" s="361">
        <f>'02 Market Assumptions'!V107</f>
        <v/>
      </c>
      <c r="W108" s="361">
        <f>'02 Market Assumptions'!W107</f>
        <v/>
      </c>
      <c r="X108" s="361">
        <f>AVERAGE(T108:W108)</f>
        <v/>
      </c>
      <c r="Y108" s="361">
        <f>'02 Market Assumptions'!Y107</f>
        <v/>
      </c>
      <c r="Z108" s="361">
        <f>'02 Market Assumptions'!Z107</f>
        <v/>
      </c>
      <c r="AA108" s="361">
        <f>'02 Market Assumptions'!AA107</f>
        <v/>
      </c>
      <c r="AB108" s="361">
        <f>'02 Market Assumptions'!AB107</f>
        <v/>
      </c>
      <c r="AC108" s="361">
        <f>AVERAGE(Y108:AB108)</f>
        <v/>
      </c>
      <c r="AD108" s="361">
        <f>'02 Market Assumptions'!AD107</f>
        <v/>
      </c>
      <c r="AE108" s="361">
        <f>'02 Market Assumptions'!AE107</f>
        <v/>
      </c>
      <c r="AF108" s="361">
        <f>'02 Market Assumptions'!AF107</f>
        <v/>
      </c>
      <c r="AG108" s="361">
        <f>'02 Market Assumptions'!AG107</f>
        <v/>
      </c>
      <c r="AH108" s="361">
        <f>AVERAGE(AD108:AG108)</f>
        <v/>
      </c>
      <c r="AI108" s="361">
        <f>'02 Market Assumptions'!AI107</f>
        <v/>
      </c>
      <c r="AJ108" s="361">
        <f>'02 Market Assumptions'!AJ107</f>
        <v/>
      </c>
      <c r="AK108" s="361">
        <f>'02 Market Assumptions'!AK107</f>
        <v/>
      </c>
      <c r="AL108" s="361">
        <f>'02 Market Assumptions'!AL107</f>
        <v/>
      </c>
      <c r="AM108" s="361">
        <f>AVERAGE(AI108:AL108)</f>
        <v/>
      </c>
      <c r="AN108" s="361">
        <f>'02 Market Assumptions'!AN107</f>
        <v/>
      </c>
      <c r="AO108" s="361">
        <f>'02 Market Assumptions'!AO107</f>
        <v/>
      </c>
      <c r="AP108" s="361">
        <f>'02 Market Assumptions'!AP107</f>
        <v/>
      </c>
      <c r="AQ108" s="361">
        <f>'02 Market Assumptions'!AQ107</f>
        <v/>
      </c>
      <c r="AR108" s="361">
        <f>AVERAGE(AN108:AQ108)</f>
        <v/>
      </c>
    </row>
    <row r="109" ht="13.5" customHeight="1" s="290">
      <c r="A109" s="345" t="n"/>
      <c r="B109" s="370" t="inlineStr">
        <is>
          <t xml:space="preserve">  Debt Bps — Acquisition (Active)</t>
        </is>
      </c>
      <c r="C109" s="371" t="inlineStr">
        <is>
          <t>bps</t>
        </is>
      </c>
      <c r="D109" s="394" t="inlineStr">
        <is>
          <t>← Tab 02 row 138 Active</t>
        </is>
      </c>
      <c r="E109" s="361">
        <f>'02 Market Assumptions'!E138</f>
        <v/>
      </c>
      <c r="F109" s="361">
        <f>'02 Market Assumptions'!F138</f>
        <v/>
      </c>
      <c r="G109" s="361">
        <f>'02 Market Assumptions'!G138</f>
        <v/>
      </c>
      <c r="H109" s="361">
        <f>'02 Market Assumptions'!H138</f>
        <v/>
      </c>
      <c r="I109" s="361">
        <f>AVERAGE(E109:H109)</f>
        <v/>
      </c>
      <c r="J109" s="361">
        <f>'02 Market Assumptions'!J138</f>
        <v/>
      </c>
      <c r="K109" s="361">
        <f>'02 Market Assumptions'!K138</f>
        <v/>
      </c>
      <c r="L109" s="361">
        <f>'02 Market Assumptions'!L138</f>
        <v/>
      </c>
      <c r="M109" s="361">
        <f>'02 Market Assumptions'!M138</f>
        <v/>
      </c>
      <c r="N109" s="361">
        <f>AVERAGE(J109:M109)</f>
        <v/>
      </c>
      <c r="O109" s="361">
        <f>'02 Market Assumptions'!O138</f>
        <v/>
      </c>
      <c r="P109" s="361">
        <f>'02 Market Assumptions'!P138</f>
        <v/>
      </c>
      <c r="Q109" s="361">
        <f>'02 Market Assumptions'!Q138</f>
        <v/>
      </c>
      <c r="R109" s="361">
        <f>'02 Market Assumptions'!R138</f>
        <v/>
      </c>
      <c r="S109" s="361">
        <f>AVERAGE(O109:R109)</f>
        <v/>
      </c>
      <c r="T109" s="361">
        <f>'02 Market Assumptions'!T138</f>
        <v/>
      </c>
      <c r="U109" s="361">
        <f>'02 Market Assumptions'!U138</f>
        <v/>
      </c>
      <c r="V109" s="361">
        <f>'02 Market Assumptions'!V138</f>
        <v/>
      </c>
      <c r="W109" s="361">
        <f>'02 Market Assumptions'!W138</f>
        <v/>
      </c>
      <c r="X109" s="361">
        <f>AVERAGE(T109:W109)</f>
        <v/>
      </c>
      <c r="Y109" s="361">
        <f>'02 Market Assumptions'!Y138</f>
        <v/>
      </c>
      <c r="Z109" s="361">
        <f>'02 Market Assumptions'!Z138</f>
        <v/>
      </c>
      <c r="AA109" s="361">
        <f>'02 Market Assumptions'!AA138</f>
        <v/>
      </c>
      <c r="AB109" s="361">
        <f>'02 Market Assumptions'!AB138</f>
        <v/>
      </c>
      <c r="AC109" s="361">
        <f>AVERAGE(Y109:AB109)</f>
        <v/>
      </c>
      <c r="AD109" s="361">
        <f>'02 Market Assumptions'!AD138</f>
        <v/>
      </c>
      <c r="AE109" s="361">
        <f>'02 Market Assumptions'!AE138</f>
        <v/>
      </c>
      <c r="AF109" s="361">
        <f>'02 Market Assumptions'!AF138</f>
        <v/>
      </c>
      <c r="AG109" s="361">
        <f>'02 Market Assumptions'!AG138</f>
        <v/>
      </c>
      <c r="AH109" s="361">
        <f>AVERAGE(AD109:AG109)</f>
        <v/>
      </c>
      <c r="AI109" s="361">
        <f>'02 Market Assumptions'!AI138</f>
        <v/>
      </c>
      <c r="AJ109" s="361">
        <f>'02 Market Assumptions'!AJ138</f>
        <v/>
      </c>
      <c r="AK109" s="361">
        <f>'02 Market Assumptions'!AK138</f>
        <v/>
      </c>
      <c r="AL109" s="361">
        <f>'02 Market Assumptions'!AL138</f>
        <v/>
      </c>
      <c r="AM109" s="361">
        <f>AVERAGE(AI109:AL109)</f>
        <v/>
      </c>
      <c r="AN109" s="361">
        <f>'02 Market Assumptions'!AN138</f>
        <v/>
      </c>
      <c r="AO109" s="361">
        <f>'02 Market Assumptions'!AO138</f>
        <v/>
      </c>
      <c r="AP109" s="361">
        <f>'02 Market Assumptions'!AP138</f>
        <v/>
      </c>
      <c r="AQ109" s="361">
        <f>'02 Market Assumptions'!AQ138</f>
        <v/>
      </c>
      <c r="AR109" s="361">
        <f>AVERAGE(AN109:AQ109)</f>
        <v/>
      </c>
    </row>
    <row r="110" ht="13.5" customHeight="1" s="290">
      <c r="A110" s="345" t="n"/>
      <c r="B110" s="370" t="inlineStr">
        <is>
          <t xml:space="preserve">  Debt Bps — Refinancing (Active)</t>
        </is>
      </c>
      <c r="C110" s="371" t="inlineStr">
        <is>
          <t>bps</t>
        </is>
      </c>
      <c r="D110" s="394" t="inlineStr">
        <is>
          <t>← Tab 02 row 143 Active</t>
        </is>
      </c>
      <c r="E110" s="361">
        <f>'02 Market Assumptions'!E143</f>
        <v/>
      </c>
      <c r="F110" s="361">
        <f>'02 Market Assumptions'!F143</f>
        <v/>
      </c>
      <c r="G110" s="361">
        <f>'02 Market Assumptions'!G143</f>
        <v/>
      </c>
      <c r="H110" s="361">
        <f>'02 Market Assumptions'!H143</f>
        <v/>
      </c>
      <c r="I110" s="361">
        <f>AVERAGE(E110:H110)</f>
        <v/>
      </c>
      <c r="J110" s="361">
        <f>'02 Market Assumptions'!J143</f>
        <v/>
      </c>
      <c r="K110" s="361">
        <f>'02 Market Assumptions'!K143</f>
        <v/>
      </c>
      <c r="L110" s="361">
        <f>'02 Market Assumptions'!L143</f>
        <v/>
      </c>
      <c r="M110" s="361">
        <f>'02 Market Assumptions'!M143</f>
        <v/>
      </c>
      <c r="N110" s="361">
        <f>AVERAGE(J110:M110)</f>
        <v/>
      </c>
      <c r="O110" s="361">
        <f>'02 Market Assumptions'!O143</f>
        <v/>
      </c>
      <c r="P110" s="361">
        <f>'02 Market Assumptions'!P143</f>
        <v/>
      </c>
      <c r="Q110" s="361">
        <f>'02 Market Assumptions'!Q143</f>
        <v/>
      </c>
      <c r="R110" s="361">
        <f>'02 Market Assumptions'!R143</f>
        <v/>
      </c>
      <c r="S110" s="361">
        <f>AVERAGE(O110:R110)</f>
        <v/>
      </c>
      <c r="T110" s="361">
        <f>'02 Market Assumptions'!T143</f>
        <v/>
      </c>
      <c r="U110" s="361">
        <f>'02 Market Assumptions'!U143</f>
        <v/>
      </c>
      <c r="V110" s="361">
        <f>'02 Market Assumptions'!V143</f>
        <v/>
      </c>
      <c r="W110" s="361">
        <f>'02 Market Assumptions'!W143</f>
        <v/>
      </c>
      <c r="X110" s="361">
        <f>AVERAGE(T110:W110)</f>
        <v/>
      </c>
      <c r="Y110" s="361">
        <f>'02 Market Assumptions'!Y143</f>
        <v/>
      </c>
      <c r="Z110" s="361">
        <f>'02 Market Assumptions'!Z143</f>
        <v/>
      </c>
      <c r="AA110" s="361">
        <f>'02 Market Assumptions'!AA143</f>
        <v/>
      </c>
      <c r="AB110" s="361">
        <f>'02 Market Assumptions'!AB143</f>
        <v/>
      </c>
      <c r="AC110" s="361">
        <f>AVERAGE(Y110:AB110)</f>
        <v/>
      </c>
      <c r="AD110" s="361">
        <f>'02 Market Assumptions'!AD143</f>
        <v/>
      </c>
      <c r="AE110" s="361">
        <f>'02 Market Assumptions'!AE143</f>
        <v/>
      </c>
      <c r="AF110" s="361">
        <f>'02 Market Assumptions'!AF143</f>
        <v/>
      </c>
      <c r="AG110" s="361">
        <f>'02 Market Assumptions'!AG143</f>
        <v/>
      </c>
      <c r="AH110" s="361">
        <f>AVERAGE(AD110:AG110)</f>
        <v/>
      </c>
      <c r="AI110" s="361">
        <f>'02 Market Assumptions'!AI143</f>
        <v/>
      </c>
      <c r="AJ110" s="361">
        <f>'02 Market Assumptions'!AJ143</f>
        <v/>
      </c>
      <c r="AK110" s="361">
        <f>'02 Market Assumptions'!AK143</f>
        <v/>
      </c>
      <c r="AL110" s="361">
        <f>'02 Market Assumptions'!AL143</f>
        <v/>
      </c>
      <c r="AM110" s="361">
        <f>AVERAGE(AI110:AL110)</f>
        <v/>
      </c>
      <c r="AN110" s="361">
        <f>'02 Market Assumptions'!AN143</f>
        <v/>
      </c>
      <c r="AO110" s="361">
        <f>'02 Market Assumptions'!AO143</f>
        <v/>
      </c>
      <c r="AP110" s="361">
        <f>'02 Market Assumptions'!AP143</f>
        <v/>
      </c>
      <c r="AQ110" s="361">
        <f>'02 Market Assumptions'!AQ143</f>
        <v/>
      </c>
      <c r="AR110" s="361">
        <f>AVERAGE(AN110:AQ110)</f>
        <v/>
      </c>
    </row>
    <row r="111" ht="13.5" customHeight="1" s="290">
      <c r="A111" s="345" t="n"/>
      <c r="B111" s="370" t="inlineStr">
        <is>
          <t xml:space="preserve">  Equity Placement Fee (Active)</t>
        </is>
      </c>
      <c r="C111" s="371" t="inlineStr">
        <is>
          <t>%</t>
        </is>
      </c>
      <c r="D111" s="394" t="inlineStr">
        <is>
          <t>← Tab 02 row 148 Active</t>
        </is>
      </c>
      <c r="E111" s="361">
        <f>'02 Market Assumptions'!E148</f>
        <v/>
      </c>
      <c r="F111" s="361">
        <f>'02 Market Assumptions'!F148</f>
        <v/>
      </c>
      <c r="G111" s="361">
        <f>'02 Market Assumptions'!G148</f>
        <v/>
      </c>
      <c r="H111" s="361">
        <f>'02 Market Assumptions'!H148</f>
        <v/>
      </c>
      <c r="I111" s="361">
        <f>AVERAGE(E111:H111)</f>
        <v/>
      </c>
      <c r="J111" s="361">
        <f>'02 Market Assumptions'!J148</f>
        <v/>
      </c>
      <c r="K111" s="361">
        <f>'02 Market Assumptions'!K148</f>
        <v/>
      </c>
      <c r="L111" s="361">
        <f>'02 Market Assumptions'!L148</f>
        <v/>
      </c>
      <c r="M111" s="361">
        <f>'02 Market Assumptions'!M148</f>
        <v/>
      </c>
      <c r="N111" s="361">
        <f>AVERAGE(J111:M111)</f>
        <v/>
      </c>
      <c r="O111" s="361">
        <f>'02 Market Assumptions'!O148</f>
        <v/>
      </c>
      <c r="P111" s="361">
        <f>'02 Market Assumptions'!P148</f>
        <v/>
      </c>
      <c r="Q111" s="361">
        <f>'02 Market Assumptions'!Q148</f>
        <v/>
      </c>
      <c r="R111" s="361">
        <f>'02 Market Assumptions'!R148</f>
        <v/>
      </c>
      <c r="S111" s="361">
        <f>AVERAGE(O111:R111)</f>
        <v/>
      </c>
      <c r="T111" s="361">
        <f>'02 Market Assumptions'!T148</f>
        <v/>
      </c>
      <c r="U111" s="361">
        <f>'02 Market Assumptions'!U148</f>
        <v/>
      </c>
      <c r="V111" s="361">
        <f>'02 Market Assumptions'!V148</f>
        <v/>
      </c>
      <c r="W111" s="361">
        <f>'02 Market Assumptions'!W148</f>
        <v/>
      </c>
      <c r="X111" s="361">
        <f>AVERAGE(T111:W111)</f>
        <v/>
      </c>
      <c r="Y111" s="361">
        <f>'02 Market Assumptions'!Y148</f>
        <v/>
      </c>
      <c r="Z111" s="361">
        <f>'02 Market Assumptions'!Z148</f>
        <v/>
      </c>
      <c r="AA111" s="361">
        <f>'02 Market Assumptions'!AA148</f>
        <v/>
      </c>
      <c r="AB111" s="361">
        <f>'02 Market Assumptions'!AB148</f>
        <v/>
      </c>
      <c r="AC111" s="361">
        <f>AVERAGE(Y111:AB111)</f>
        <v/>
      </c>
      <c r="AD111" s="361">
        <f>'02 Market Assumptions'!AD148</f>
        <v/>
      </c>
      <c r="AE111" s="361">
        <f>'02 Market Assumptions'!AE148</f>
        <v/>
      </c>
      <c r="AF111" s="361">
        <f>'02 Market Assumptions'!AF148</f>
        <v/>
      </c>
      <c r="AG111" s="361">
        <f>'02 Market Assumptions'!AG148</f>
        <v/>
      </c>
      <c r="AH111" s="361">
        <f>AVERAGE(AD111:AG111)</f>
        <v/>
      </c>
      <c r="AI111" s="361">
        <f>'02 Market Assumptions'!AI148</f>
        <v/>
      </c>
      <c r="AJ111" s="361">
        <f>'02 Market Assumptions'!AJ148</f>
        <v/>
      </c>
      <c r="AK111" s="361">
        <f>'02 Market Assumptions'!AK148</f>
        <v/>
      </c>
      <c r="AL111" s="361">
        <f>'02 Market Assumptions'!AL148</f>
        <v/>
      </c>
      <c r="AM111" s="361">
        <f>AVERAGE(AI111:AL111)</f>
        <v/>
      </c>
      <c r="AN111" s="361">
        <f>'02 Market Assumptions'!AN148</f>
        <v/>
      </c>
      <c r="AO111" s="361">
        <f>'02 Market Assumptions'!AO148</f>
        <v/>
      </c>
      <c r="AP111" s="361">
        <f>'02 Market Assumptions'!AP148</f>
        <v/>
      </c>
      <c r="AQ111" s="361">
        <f>'02 Market Assumptions'!AQ148</f>
        <v/>
      </c>
      <c r="AR111" s="361">
        <f>AVERAGE(AN111:AQ111)</f>
        <v/>
      </c>
    </row>
    <row r="112" ht="13.5" customHeight="1" s="290">
      <c r="A112" s="345" t="n"/>
      <c r="B112" s="370" t="inlineStr">
        <is>
          <t xml:space="preserve">  Pull-Through — Acquisition (Active)</t>
        </is>
      </c>
      <c r="C112" s="371" t="inlineStr">
        <is>
          <t>%</t>
        </is>
      </c>
      <c r="D112" s="394" t="inlineStr">
        <is>
          <t>← Tab 03 row 222 Active</t>
        </is>
      </c>
      <c r="E112" s="361">
        <f>'03 Operational Assumptions'!E222</f>
        <v/>
      </c>
      <c r="F112" s="361">
        <f>'03 Operational Assumptions'!F222</f>
        <v/>
      </c>
      <c r="G112" s="361">
        <f>'03 Operational Assumptions'!G222</f>
        <v/>
      </c>
      <c r="H112" s="361">
        <f>'03 Operational Assumptions'!H222</f>
        <v/>
      </c>
      <c r="I112" s="361">
        <f>AVERAGE(E112:H112)</f>
        <v/>
      </c>
      <c r="J112" s="361">
        <f>'03 Operational Assumptions'!J222</f>
        <v/>
      </c>
      <c r="K112" s="361">
        <f>'03 Operational Assumptions'!K222</f>
        <v/>
      </c>
      <c r="L112" s="361">
        <f>'03 Operational Assumptions'!L222</f>
        <v/>
      </c>
      <c r="M112" s="361">
        <f>'03 Operational Assumptions'!M222</f>
        <v/>
      </c>
      <c r="N112" s="361">
        <f>AVERAGE(J112:M112)</f>
        <v/>
      </c>
      <c r="O112" s="361">
        <f>'03 Operational Assumptions'!O222</f>
        <v/>
      </c>
      <c r="P112" s="361">
        <f>'03 Operational Assumptions'!P222</f>
        <v/>
      </c>
      <c r="Q112" s="361">
        <f>'03 Operational Assumptions'!Q222</f>
        <v/>
      </c>
      <c r="R112" s="361">
        <f>'03 Operational Assumptions'!R222</f>
        <v/>
      </c>
      <c r="S112" s="361">
        <f>AVERAGE(O112:R112)</f>
        <v/>
      </c>
      <c r="T112" s="361">
        <f>'03 Operational Assumptions'!T222</f>
        <v/>
      </c>
      <c r="U112" s="361">
        <f>'03 Operational Assumptions'!U222</f>
        <v/>
      </c>
      <c r="V112" s="361">
        <f>'03 Operational Assumptions'!V222</f>
        <v/>
      </c>
      <c r="W112" s="361">
        <f>'03 Operational Assumptions'!W222</f>
        <v/>
      </c>
      <c r="X112" s="361">
        <f>AVERAGE(T112:W112)</f>
        <v/>
      </c>
      <c r="Y112" s="361">
        <f>'03 Operational Assumptions'!Y222</f>
        <v/>
      </c>
      <c r="Z112" s="361">
        <f>'03 Operational Assumptions'!Z222</f>
        <v/>
      </c>
      <c r="AA112" s="361">
        <f>'03 Operational Assumptions'!AA222</f>
        <v/>
      </c>
      <c r="AB112" s="361">
        <f>'03 Operational Assumptions'!AB222</f>
        <v/>
      </c>
      <c r="AC112" s="361">
        <f>AVERAGE(Y112:AB112)</f>
        <v/>
      </c>
      <c r="AD112" s="361">
        <f>'03 Operational Assumptions'!AD222</f>
        <v/>
      </c>
      <c r="AE112" s="361">
        <f>'03 Operational Assumptions'!AE222</f>
        <v/>
      </c>
      <c r="AF112" s="361">
        <f>'03 Operational Assumptions'!AF222</f>
        <v/>
      </c>
      <c r="AG112" s="361">
        <f>'03 Operational Assumptions'!AG222</f>
        <v/>
      </c>
      <c r="AH112" s="361">
        <f>AVERAGE(AD112:AG112)</f>
        <v/>
      </c>
      <c r="AI112" s="361">
        <f>'03 Operational Assumptions'!AI222</f>
        <v/>
      </c>
      <c r="AJ112" s="361">
        <f>'03 Operational Assumptions'!AJ222</f>
        <v/>
      </c>
      <c r="AK112" s="361">
        <f>'03 Operational Assumptions'!AK222</f>
        <v/>
      </c>
      <c r="AL112" s="361">
        <f>'03 Operational Assumptions'!AL222</f>
        <v/>
      </c>
      <c r="AM112" s="361">
        <f>AVERAGE(AI112:AL112)</f>
        <v/>
      </c>
      <c r="AN112" s="361">
        <f>'03 Operational Assumptions'!AN222</f>
        <v/>
      </c>
      <c r="AO112" s="361">
        <f>'03 Operational Assumptions'!AO222</f>
        <v/>
      </c>
      <c r="AP112" s="361">
        <f>'03 Operational Assumptions'!AP222</f>
        <v/>
      </c>
      <c r="AQ112" s="361">
        <f>'03 Operational Assumptions'!AQ222</f>
        <v/>
      </c>
      <c r="AR112" s="361">
        <f>AVERAGE(AN112:AQ112)</f>
        <v/>
      </c>
    </row>
    <row r="113" ht="13.5" customHeight="1" s="290">
      <c r="A113" s="345" t="n"/>
      <c r="B113" s="370" t="inlineStr">
        <is>
          <t xml:space="preserve">  Pull-Through — Refinancing</t>
        </is>
      </c>
      <c r="C113" s="371" t="inlineStr">
        <is>
          <t>%</t>
        </is>
      </c>
      <c r="D113" s="394" t="inlineStr">
        <is>
          <t>← Tab 03 row 224</t>
        </is>
      </c>
      <c r="E113" s="361">
        <f>'03 Operational Assumptions'!E224</f>
        <v/>
      </c>
      <c r="F113" s="361">
        <f>'03 Operational Assumptions'!F224</f>
        <v/>
      </c>
      <c r="G113" s="361">
        <f>'03 Operational Assumptions'!G224</f>
        <v/>
      </c>
      <c r="H113" s="361">
        <f>'03 Operational Assumptions'!H224</f>
        <v/>
      </c>
      <c r="I113" s="361">
        <f>AVERAGE(E113:H113)</f>
        <v/>
      </c>
      <c r="J113" s="361">
        <f>'03 Operational Assumptions'!J224</f>
        <v/>
      </c>
      <c r="K113" s="361">
        <f>'03 Operational Assumptions'!K224</f>
        <v/>
      </c>
      <c r="L113" s="361">
        <f>'03 Operational Assumptions'!L224</f>
        <v/>
      </c>
      <c r="M113" s="361">
        <f>'03 Operational Assumptions'!M224</f>
        <v/>
      </c>
      <c r="N113" s="361">
        <f>AVERAGE(J113:M113)</f>
        <v/>
      </c>
      <c r="O113" s="361">
        <f>'03 Operational Assumptions'!O224</f>
        <v/>
      </c>
      <c r="P113" s="361">
        <f>'03 Operational Assumptions'!P224</f>
        <v/>
      </c>
      <c r="Q113" s="361">
        <f>'03 Operational Assumptions'!Q224</f>
        <v/>
      </c>
      <c r="R113" s="361">
        <f>'03 Operational Assumptions'!R224</f>
        <v/>
      </c>
      <c r="S113" s="361">
        <f>AVERAGE(O113:R113)</f>
        <v/>
      </c>
      <c r="T113" s="361">
        <f>'03 Operational Assumptions'!T224</f>
        <v/>
      </c>
      <c r="U113" s="361">
        <f>'03 Operational Assumptions'!U224</f>
        <v/>
      </c>
      <c r="V113" s="361">
        <f>'03 Operational Assumptions'!V224</f>
        <v/>
      </c>
      <c r="W113" s="361">
        <f>'03 Operational Assumptions'!W224</f>
        <v/>
      </c>
      <c r="X113" s="361">
        <f>AVERAGE(T113:W113)</f>
        <v/>
      </c>
      <c r="Y113" s="361">
        <f>'03 Operational Assumptions'!Y224</f>
        <v/>
      </c>
      <c r="Z113" s="361">
        <f>'03 Operational Assumptions'!Z224</f>
        <v/>
      </c>
      <c r="AA113" s="361">
        <f>'03 Operational Assumptions'!AA224</f>
        <v/>
      </c>
      <c r="AB113" s="361">
        <f>'03 Operational Assumptions'!AB224</f>
        <v/>
      </c>
      <c r="AC113" s="361">
        <f>AVERAGE(Y113:AB113)</f>
        <v/>
      </c>
      <c r="AD113" s="361">
        <f>'03 Operational Assumptions'!AD224</f>
        <v/>
      </c>
      <c r="AE113" s="361">
        <f>'03 Operational Assumptions'!AE224</f>
        <v/>
      </c>
      <c r="AF113" s="361">
        <f>'03 Operational Assumptions'!AF224</f>
        <v/>
      </c>
      <c r="AG113" s="361">
        <f>'03 Operational Assumptions'!AG224</f>
        <v/>
      </c>
      <c r="AH113" s="361">
        <f>AVERAGE(AD113:AG113)</f>
        <v/>
      </c>
      <c r="AI113" s="361">
        <f>'03 Operational Assumptions'!AI224</f>
        <v/>
      </c>
      <c r="AJ113" s="361">
        <f>'03 Operational Assumptions'!AJ224</f>
        <v/>
      </c>
      <c r="AK113" s="361">
        <f>'03 Operational Assumptions'!AK224</f>
        <v/>
      </c>
      <c r="AL113" s="361">
        <f>'03 Operational Assumptions'!AL224</f>
        <v/>
      </c>
      <c r="AM113" s="361">
        <f>AVERAGE(AI113:AL113)</f>
        <v/>
      </c>
      <c r="AN113" s="361">
        <f>'03 Operational Assumptions'!AN224</f>
        <v/>
      </c>
      <c r="AO113" s="361">
        <f>'03 Operational Assumptions'!AO224</f>
        <v/>
      </c>
      <c r="AP113" s="361">
        <f>'03 Operational Assumptions'!AP224</f>
        <v/>
      </c>
      <c r="AQ113" s="361">
        <f>'03 Operational Assumptions'!AQ224</f>
        <v/>
      </c>
      <c r="AR113" s="361">
        <f>AVERAGE(AN113:AQ113)</f>
        <v/>
      </c>
    </row>
    <row r="114" ht="3.75" customHeight="1" s="290"/>
    <row r="115" ht="15" customHeight="1" s="290">
      <c r="A115" s="307" t="inlineStr">
        <is>
          <t xml:space="preserve">    C2 — VOLUME BUILD</t>
        </is>
      </c>
    </row>
    <row r="116" ht="3" customHeight="1" s="290"/>
    <row r="117" ht="12.75" customHeight="1" s="290">
      <c r="A117" s="348" t="inlineStr">
        <is>
          <t xml:space="preserve">  Placement volume has two components: (1) Attachment = firm IS volume × capture rate (firm arranges financing for its own IS deals). (2) Standalone/Refi = firm's share of national refinancing market. Pull-through applied separately to each. Total funded volume → GCI via bps schedule.</t>
        </is>
      </c>
    </row>
    <row r="118" ht="3" customHeight="1" s="290"/>
    <row r="119" ht="13.5" customHeight="1" s="290">
      <c r="A119" s="395" t="n"/>
      <c r="B119" s="373" t="inlineStr">
        <is>
          <t xml:space="preserve">  Attachment Volume (IS × Capture Rate)</t>
        </is>
      </c>
      <c r="C119" s="374" t="inlineStr">
        <is>
          <t>$M/qtr</t>
        </is>
      </c>
      <c r="D119" s="396" t="inlineStr">
        <is>
          <t xml:space="preserve"> is vol × Capture Rate</t>
        </is>
      </c>
      <c r="E119" s="376">
        <f>E103*E104</f>
        <v/>
      </c>
      <c r="F119" s="376">
        <f>F103*F104</f>
        <v/>
      </c>
      <c r="G119" s="376">
        <f>G103*G104</f>
        <v/>
      </c>
      <c r="H119" s="376">
        <f>H103*H104</f>
        <v/>
      </c>
      <c r="I119" s="376">
        <f>SUM(E119:H119)</f>
        <v/>
      </c>
      <c r="J119" s="376">
        <f>J103*J104</f>
        <v/>
      </c>
      <c r="K119" s="376">
        <f>K103*K104</f>
        <v/>
      </c>
      <c r="L119" s="376">
        <f>L103*L104</f>
        <v/>
      </c>
      <c r="M119" s="376">
        <f>M103*M104</f>
        <v/>
      </c>
      <c r="N119" s="376">
        <f>SUM(J119:M119)</f>
        <v/>
      </c>
      <c r="O119" s="376">
        <f>O103*O104</f>
        <v/>
      </c>
      <c r="P119" s="376">
        <f>P103*P104</f>
        <v/>
      </c>
      <c r="Q119" s="376">
        <f>Q103*Q104</f>
        <v/>
      </c>
      <c r="R119" s="376">
        <f>R103*R104</f>
        <v/>
      </c>
      <c r="S119" s="376">
        <f>SUM(O119:R119)</f>
        <v/>
      </c>
      <c r="T119" s="376">
        <f>T103*T104</f>
        <v/>
      </c>
      <c r="U119" s="376">
        <f>U103*U104</f>
        <v/>
      </c>
      <c r="V119" s="376">
        <f>V103*V104</f>
        <v/>
      </c>
      <c r="W119" s="376">
        <f>W103*W104</f>
        <v/>
      </c>
      <c r="X119" s="376">
        <f>SUM(T119:W119)</f>
        <v/>
      </c>
      <c r="Y119" s="376">
        <f>Y103*Y104</f>
        <v/>
      </c>
      <c r="Z119" s="376">
        <f>Z103*Z104</f>
        <v/>
      </c>
      <c r="AA119" s="376">
        <f>AA103*AA104</f>
        <v/>
      </c>
      <c r="AB119" s="376">
        <f>AB103*AB104</f>
        <v/>
      </c>
      <c r="AC119" s="376">
        <f>SUM(Y119:AB119)</f>
        <v/>
      </c>
      <c r="AD119" s="376">
        <f>AD103*AD104</f>
        <v/>
      </c>
      <c r="AE119" s="376">
        <f>AE103*AE104</f>
        <v/>
      </c>
      <c r="AF119" s="376">
        <f>AF103*AF104</f>
        <v/>
      </c>
      <c r="AG119" s="376">
        <f>AG103*AG104</f>
        <v/>
      </c>
      <c r="AH119" s="376">
        <f>SUM(AD119:AG119)</f>
        <v/>
      </c>
      <c r="AI119" s="376">
        <f>AI103*AI104</f>
        <v/>
      </c>
      <c r="AJ119" s="376">
        <f>AJ103*AJ104</f>
        <v/>
      </c>
      <c r="AK119" s="376">
        <f>AK103*AK104</f>
        <v/>
      </c>
      <c r="AL119" s="376">
        <f>AL103*AL104</f>
        <v/>
      </c>
      <c r="AM119" s="376">
        <f>SUM(AI119:AL119)</f>
        <v/>
      </c>
      <c r="AN119" s="376">
        <f>AN103*AN104</f>
        <v/>
      </c>
      <c r="AO119" s="376">
        <f>AO103*AO104</f>
        <v/>
      </c>
      <c r="AP119" s="376">
        <f>AP103*AP104</f>
        <v/>
      </c>
      <c r="AQ119" s="376">
        <f>AQ103*AQ104</f>
        <v/>
      </c>
      <c r="AR119" s="376">
        <f>SUM(AN119:AQ119)</f>
        <v/>
      </c>
    </row>
    <row r="120" ht="13.5" customHeight="1" s="290">
      <c r="A120" s="395" t="n"/>
      <c r="B120" s="373" t="inlineStr">
        <is>
          <t xml:space="preserve">  National Refi Volume</t>
        </is>
      </c>
      <c r="C120" s="374" t="inlineStr">
        <is>
          <t>$B/qtr</t>
        </is>
      </c>
      <c r="D120" s="396" t="inlineStr">
        <is>
          <t xml:space="preserve"> natl orig × Refi Share</t>
        </is>
      </c>
      <c r="E120" s="376">
        <f>E107*E108</f>
        <v/>
      </c>
      <c r="F120" s="376">
        <f>F107*F108</f>
        <v/>
      </c>
      <c r="G120" s="376">
        <f>G107*G108</f>
        <v/>
      </c>
      <c r="H120" s="376">
        <f>H107*H108</f>
        <v/>
      </c>
      <c r="I120" s="376">
        <f>SUM(E120:H120)</f>
        <v/>
      </c>
      <c r="J120" s="376">
        <f>J107*J108</f>
        <v/>
      </c>
      <c r="K120" s="376">
        <f>K107*K108</f>
        <v/>
      </c>
      <c r="L120" s="376">
        <f>L107*L108</f>
        <v/>
      </c>
      <c r="M120" s="376">
        <f>M107*M108</f>
        <v/>
      </c>
      <c r="N120" s="376">
        <f>SUM(J120:M120)</f>
        <v/>
      </c>
      <c r="O120" s="376">
        <f>O107*O108</f>
        <v/>
      </c>
      <c r="P120" s="376">
        <f>P107*P108</f>
        <v/>
      </c>
      <c r="Q120" s="376">
        <f>Q107*Q108</f>
        <v/>
      </c>
      <c r="R120" s="376">
        <f>R107*R108</f>
        <v/>
      </c>
      <c r="S120" s="376">
        <f>SUM(O120:R120)</f>
        <v/>
      </c>
      <c r="T120" s="376">
        <f>T107*T108</f>
        <v/>
      </c>
      <c r="U120" s="376">
        <f>U107*U108</f>
        <v/>
      </c>
      <c r="V120" s="376">
        <f>V107*V108</f>
        <v/>
      </c>
      <c r="W120" s="376">
        <f>W107*W108</f>
        <v/>
      </c>
      <c r="X120" s="376">
        <f>SUM(T120:W120)</f>
        <v/>
      </c>
      <c r="Y120" s="376">
        <f>Y107*Y108</f>
        <v/>
      </c>
      <c r="Z120" s="376">
        <f>Z107*Z108</f>
        <v/>
      </c>
      <c r="AA120" s="376">
        <f>AA107*AA108</f>
        <v/>
      </c>
      <c r="AB120" s="376">
        <f>AB107*AB108</f>
        <v/>
      </c>
      <c r="AC120" s="376">
        <f>SUM(Y120:AB120)</f>
        <v/>
      </c>
      <c r="AD120" s="376">
        <f>AD107*AD108</f>
        <v/>
      </c>
      <c r="AE120" s="376">
        <f>AE107*AE108</f>
        <v/>
      </c>
      <c r="AF120" s="376">
        <f>AF107*AF108</f>
        <v/>
      </c>
      <c r="AG120" s="376">
        <f>AG107*AG108</f>
        <v/>
      </c>
      <c r="AH120" s="376">
        <f>SUM(AD120:AG120)</f>
        <v/>
      </c>
      <c r="AI120" s="376">
        <f>AI107*AI108</f>
        <v/>
      </c>
      <c r="AJ120" s="376">
        <f>AJ107*AJ108</f>
        <v/>
      </c>
      <c r="AK120" s="376">
        <f>AK107*AK108</f>
        <v/>
      </c>
      <c r="AL120" s="376">
        <f>AL107*AL108</f>
        <v/>
      </c>
      <c r="AM120" s="376">
        <f>SUM(AI120:AL120)</f>
        <v/>
      </c>
      <c r="AN120" s="376">
        <f>AN107*AN108</f>
        <v/>
      </c>
      <c r="AO120" s="376">
        <f>AO107*AO108</f>
        <v/>
      </c>
      <c r="AP120" s="376">
        <f>AP107*AP108</f>
        <v/>
      </c>
      <c r="AQ120" s="376">
        <f>AQ107*AQ108</f>
        <v/>
      </c>
      <c r="AR120" s="376">
        <f>SUM(AN120:AQ120)</f>
        <v/>
      </c>
    </row>
    <row r="121" ht="13.5" customHeight="1" s="290">
      <c r="A121" s="395" t="n"/>
      <c r="B121" s="373" t="inlineStr">
        <is>
          <t xml:space="preserve">  Standalone / Refi Volume (Firm)</t>
        </is>
      </c>
      <c r="C121" s="374" t="inlineStr">
        <is>
          <t>$M/qtr</t>
        </is>
      </c>
      <c r="D121" s="396" t="inlineStr">
        <is>
          <t xml:space="preserve"> natl refi($b) × Firm Refi Capture × 1000 → $M</t>
        </is>
      </c>
      <c r="E121" s="376">
        <f>E120*E106*1000</f>
        <v/>
      </c>
      <c r="F121" s="376">
        <f>F120*F106*1000</f>
        <v/>
      </c>
      <c r="G121" s="376">
        <f>G120*G106*1000</f>
        <v/>
      </c>
      <c r="H121" s="376">
        <f>H120*H106*1000</f>
        <v/>
      </c>
      <c r="I121" s="376">
        <f>SUM(E121:H121)</f>
        <v/>
      </c>
      <c r="J121" s="376">
        <f>J120*J106*1000</f>
        <v/>
      </c>
      <c r="K121" s="376">
        <f>K120*K106*1000</f>
        <v/>
      </c>
      <c r="L121" s="376">
        <f>L120*L106*1000</f>
        <v/>
      </c>
      <c r="M121" s="376">
        <f>M120*M106*1000</f>
        <v/>
      </c>
      <c r="N121" s="376">
        <f>SUM(J121:M121)</f>
        <v/>
      </c>
      <c r="O121" s="376">
        <f>O120*O106*1000</f>
        <v/>
      </c>
      <c r="P121" s="376">
        <f>P120*P106*1000</f>
        <v/>
      </c>
      <c r="Q121" s="376">
        <f>Q120*Q106*1000</f>
        <v/>
      </c>
      <c r="R121" s="376">
        <f>R120*R106*1000</f>
        <v/>
      </c>
      <c r="S121" s="376">
        <f>SUM(O121:R121)</f>
        <v/>
      </c>
      <c r="T121" s="376">
        <f>T120*T106*1000</f>
        <v/>
      </c>
      <c r="U121" s="376">
        <f>U120*U106*1000</f>
        <v/>
      </c>
      <c r="V121" s="376">
        <f>V120*V106*1000</f>
        <v/>
      </c>
      <c r="W121" s="376">
        <f>W120*W106*1000</f>
        <v/>
      </c>
      <c r="X121" s="376">
        <f>SUM(T121:W121)</f>
        <v/>
      </c>
      <c r="Y121" s="376">
        <f>Y120*Y106*1000</f>
        <v/>
      </c>
      <c r="Z121" s="376">
        <f>Z120*Z106*1000</f>
        <v/>
      </c>
      <c r="AA121" s="376">
        <f>AA120*AA106*1000</f>
        <v/>
      </c>
      <c r="AB121" s="376">
        <f>AB120*AB106*1000</f>
        <v/>
      </c>
      <c r="AC121" s="376">
        <f>SUM(Y121:AB121)</f>
        <v/>
      </c>
      <c r="AD121" s="376">
        <f>AD120*AD106*1000</f>
        <v/>
      </c>
      <c r="AE121" s="376">
        <f>AE120*AE106*1000</f>
        <v/>
      </c>
      <c r="AF121" s="376">
        <f>AF120*AF106*1000</f>
        <v/>
      </c>
      <c r="AG121" s="376">
        <f>AG120*AG106*1000</f>
        <v/>
      </c>
      <c r="AH121" s="376">
        <f>SUM(AD121:AG121)</f>
        <v/>
      </c>
      <c r="AI121" s="376">
        <f>AI120*AI106*1000</f>
        <v/>
      </c>
      <c r="AJ121" s="376">
        <f>AJ120*AJ106*1000</f>
        <v/>
      </c>
      <c r="AK121" s="376">
        <f>AK120*AK106*1000</f>
        <v/>
      </c>
      <c r="AL121" s="376">
        <f>AL120*AL106*1000</f>
        <v/>
      </c>
      <c r="AM121" s="376">
        <f>SUM(AI121:AL121)</f>
        <v/>
      </c>
      <c r="AN121" s="376">
        <f>AN120*AN106*1000</f>
        <v/>
      </c>
      <c r="AO121" s="376">
        <f>AO120*AO106*1000</f>
        <v/>
      </c>
      <c r="AP121" s="376">
        <f>AP120*AP106*1000</f>
        <v/>
      </c>
      <c r="AQ121" s="376">
        <f>AQ120*AQ106*1000</f>
        <v/>
      </c>
      <c r="AR121" s="376">
        <f>SUM(AN121:AQ121)</f>
        <v/>
      </c>
    </row>
    <row r="122" ht="13.5" customHeight="1" s="290">
      <c r="A122" s="395" t="n"/>
      <c r="B122" s="402" t="inlineStr">
        <is>
          <t xml:space="preserve">  Total Gross Placement Volume</t>
        </is>
      </c>
      <c r="C122" s="374" t="inlineStr">
        <is>
          <t>$M/qtr</t>
        </is>
      </c>
      <c r="D122" s="396" t="inlineStr">
        <is>
          <t xml:space="preserve"> attachment + standalone/refi</t>
        </is>
      </c>
      <c r="E122" s="403">
        <f>E119+E121</f>
        <v/>
      </c>
      <c r="F122" s="403">
        <f>F119+F121</f>
        <v/>
      </c>
      <c r="G122" s="403">
        <f>G119+G121</f>
        <v/>
      </c>
      <c r="H122" s="403">
        <f>H119+H121</f>
        <v/>
      </c>
      <c r="I122" s="403">
        <f>SUM(E122:H122)</f>
        <v/>
      </c>
      <c r="J122" s="403">
        <f>J119+J121</f>
        <v/>
      </c>
      <c r="K122" s="403">
        <f>K119+K121</f>
        <v/>
      </c>
      <c r="L122" s="403">
        <f>L119+L121</f>
        <v/>
      </c>
      <c r="M122" s="403">
        <f>M119+M121</f>
        <v/>
      </c>
      <c r="N122" s="403">
        <f>SUM(J122:M122)</f>
        <v/>
      </c>
      <c r="O122" s="403">
        <f>O119+O121</f>
        <v/>
      </c>
      <c r="P122" s="403">
        <f>P119+P121</f>
        <v/>
      </c>
      <c r="Q122" s="403">
        <f>Q119+Q121</f>
        <v/>
      </c>
      <c r="R122" s="403">
        <f>R119+R121</f>
        <v/>
      </c>
      <c r="S122" s="403">
        <f>SUM(O122:R122)</f>
        <v/>
      </c>
      <c r="T122" s="403">
        <f>T119+T121</f>
        <v/>
      </c>
      <c r="U122" s="403">
        <f>U119+U121</f>
        <v/>
      </c>
      <c r="V122" s="403">
        <f>V119+V121</f>
        <v/>
      </c>
      <c r="W122" s="403">
        <f>W119+W121</f>
        <v/>
      </c>
      <c r="X122" s="403">
        <f>SUM(T122:W122)</f>
        <v/>
      </c>
      <c r="Y122" s="403">
        <f>Y119+Y121</f>
        <v/>
      </c>
      <c r="Z122" s="403">
        <f>Z119+Z121</f>
        <v/>
      </c>
      <c r="AA122" s="403">
        <f>AA119+AA121</f>
        <v/>
      </c>
      <c r="AB122" s="403">
        <f>AB119+AB121</f>
        <v/>
      </c>
      <c r="AC122" s="403">
        <f>SUM(Y122:AB122)</f>
        <v/>
      </c>
      <c r="AD122" s="403">
        <f>AD119+AD121</f>
        <v/>
      </c>
      <c r="AE122" s="403">
        <f>AE119+AE121</f>
        <v/>
      </c>
      <c r="AF122" s="403">
        <f>AF119+AF121</f>
        <v/>
      </c>
      <c r="AG122" s="403">
        <f>AG119+AG121</f>
        <v/>
      </c>
      <c r="AH122" s="403">
        <f>SUM(AD122:AG122)</f>
        <v/>
      </c>
      <c r="AI122" s="403">
        <f>AI119+AI121</f>
        <v/>
      </c>
      <c r="AJ122" s="403">
        <f>AJ119+AJ121</f>
        <v/>
      </c>
      <c r="AK122" s="403">
        <f>AK119+AK121</f>
        <v/>
      </c>
      <c r="AL122" s="403">
        <f>AL119+AL121</f>
        <v/>
      </c>
      <c r="AM122" s="403">
        <f>SUM(AI122:AL122)</f>
        <v/>
      </c>
      <c r="AN122" s="403">
        <f>AN119+AN121</f>
        <v/>
      </c>
      <c r="AO122" s="403">
        <f>AO119+AO121</f>
        <v/>
      </c>
      <c r="AP122" s="403">
        <f>AP119+AP121</f>
        <v/>
      </c>
      <c r="AQ122" s="403">
        <f>AQ119+AQ121</f>
        <v/>
      </c>
      <c r="AR122" s="403">
        <f>SUM(AN122:AQ122)</f>
        <v/>
      </c>
    </row>
    <row r="123" ht="13.5" customHeight="1" s="290">
      <c r="A123" s="395" t="n"/>
      <c r="B123" s="373" t="inlineStr">
        <is>
          <t xml:space="preserve">  Funded Volume — Acquisition</t>
        </is>
      </c>
      <c r="C123" s="374" t="inlineStr">
        <is>
          <t>$M/qtr</t>
        </is>
      </c>
      <c r="D123" s="396" t="inlineStr">
        <is>
          <t xml:space="preserve"> attachment vol × Acquisition Pull-Through</t>
        </is>
      </c>
      <c r="E123" s="376">
        <f>E119*E112</f>
        <v/>
      </c>
      <c r="F123" s="376">
        <f>F119*F112</f>
        <v/>
      </c>
      <c r="G123" s="376">
        <f>G119*G112</f>
        <v/>
      </c>
      <c r="H123" s="376">
        <f>H119*H112</f>
        <v/>
      </c>
      <c r="I123" s="376">
        <f>SUM(E123:H123)</f>
        <v/>
      </c>
      <c r="J123" s="376">
        <f>J119*J112</f>
        <v/>
      </c>
      <c r="K123" s="376">
        <f>K119*K112</f>
        <v/>
      </c>
      <c r="L123" s="376">
        <f>L119*L112</f>
        <v/>
      </c>
      <c r="M123" s="376">
        <f>M119*M112</f>
        <v/>
      </c>
      <c r="N123" s="376">
        <f>SUM(J123:M123)</f>
        <v/>
      </c>
      <c r="O123" s="376">
        <f>O119*O112</f>
        <v/>
      </c>
      <c r="P123" s="376">
        <f>P119*P112</f>
        <v/>
      </c>
      <c r="Q123" s="376">
        <f>Q119*Q112</f>
        <v/>
      </c>
      <c r="R123" s="376">
        <f>R119*R112</f>
        <v/>
      </c>
      <c r="S123" s="376">
        <f>SUM(O123:R123)</f>
        <v/>
      </c>
      <c r="T123" s="376">
        <f>T119*T112</f>
        <v/>
      </c>
      <c r="U123" s="376">
        <f>U119*U112</f>
        <v/>
      </c>
      <c r="V123" s="376">
        <f>V119*V112</f>
        <v/>
      </c>
      <c r="W123" s="376">
        <f>W119*W112</f>
        <v/>
      </c>
      <c r="X123" s="376">
        <f>SUM(T123:W123)</f>
        <v/>
      </c>
      <c r="Y123" s="376">
        <f>Y119*Y112</f>
        <v/>
      </c>
      <c r="Z123" s="376">
        <f>Z119*Z112</f>
        <v/>
      </c>
      <c r="AA123" s="376">
        <f>AA119*AA112</f>
        <v/>
      </c>
      <c r="AB123" s="376">
        <f>AB119*AB112</f>
        <v/>
      </c>
      <c r="AC123" s="376">
        <f>SUM(Y123:AB123)</f>
        <v/>
      </c>
      <c r="AD123" s="376">
        <f>AD119*AD112</f>
        <v/>
      </c>
      <c r="AE123" s="376">
        <f>AE119*AE112</f>
        <v/>
      </c>
      <c r="AF123" s="376">
        <f>AF119*AF112</f>
        <v/>
      </c>
      <c r="AG123" s="376">
        <f>AG119*AG112</f>
        <v/>
      </c>
      <c r="AH123" s="376">
        <f>SUM(AD123:AG123)</f>
        <v/>
      </c>
      <c r="AI123" s="376">
        <f>AI119*AI112</f>
        <v/>
      </c>
      <c r="AJ123" s="376">
        <f>AJ119*AJ112</f>
        <v/>
      </c>
      <c r="AK123" s="376">
        <f>AK119*AK112</f>
        <v/>
      </c>
      <c r="AL123" s="376">
        <f>AL119*AL112</f>
        <v/>
      </c>
      <c r="AM123" s="376">
        <f>SUM(AI123:AL123)</f>
        <v/>
      </c>
      <c r="AN123" s="376">
        <f>AN119*AN112</f>
        <v/>
      </c>
      <c r="AO123" s="376">
        <f>AO119*AO112</f>
        <v/>
      </c>
      <c r="AP123" s="376">
        <f>AP119*AP112</f>
        <v/>
      </c>
      <c r="AQ123" s="376">
        <f>AQ119*AQ112</f>
        <v/>
      </c>
      <c r="AR123" s="376">
        <f>SUM(AN123:AQ123)</f>
        <v/>
      </c>
    </row>
    <row r="124" ht="13.5" customHeight="1" s="290">
      <c r="A124" s="395" t="n"/>
      <c r="B124" s="373" t="inlineStr">
        <is>
          <t xml:space="preserve">  Funded Volume — Refinancing</t>
        </is>
      </c>
      <c r="C124" s="374" t="inlineStr">
        <is>
          <t>$M/qtr</t>
        </is>
      </c>
      <c r="D124" s="396" t="inlineStr">
        <is>
          <t xml:space="preserve"> refi vol × Refi Pull-Through</t>
        </is>
      </c>
      <c r="E124" s="376">
        <f>E121*E113</f>
        <v/>
      </c>
      <c r="F124" s="376">
        <f>F121*F113</f>
        <v/>
      </c>
      <c r="G124" s="376">
        <f>G121*G113</f>
        <v/>
      </c>
      <c r="H124" s="376">
        <f>H121*H113</f>
        <v/>
      </c>
      <c r="I124" s="376">
        <f>SUM(E124:H124)</f>
        <v/>
      </c>
      <c r="J124" s="376">
        <f>J121*J113</f>
        <v/>
      </c>
      <c r="K124" s="376">
        <f>K121*K113</f>
        <v/>
      </c>
      <c r="L124" s="376">
        <f>L121*L113</f>
        <v/>
      </c>
      <c r="M124" s="376">
        <f>M121*M113</f>
        <v/>
      </c>
      <c r="N124" s="376">
        <f>SUM(J124:M124)</f>
        <v/>
      </c>
      <c r="O124" s="376">
        <f>O121*O113</f>
        <v/>
      </c>
      <c r="P124" s="376">
        <f>P121*P113</f>
        <v/>
      </c>
      <c r="Q124" s="376">
        <f>Q121*Q113</f>
        <v/>
      </c>
      <c r="R124" s="376">
        <f>R121*R113</f>
        <v/>
      </c>
      <c r="S124" s="376">
        <f>SUM(O124:R124)</f>
        <v/>
      </c>
      <c r="T124" s="376">
        <f>T121*T113</f>
        <v/>
      </c>
      <c r="U124" s="376">
        <f>U121*U113</f>
        <v/>
      </c>
      <c r="V124" s="376">
        <f>V121*V113</f>
        <v/>
      </c>
      <c r="W124" s="376">
        <f>W121*W113</f>
        <v/>
      </c>
      <c r="X124" s="376">
        <f>SUM(T124:W124)</f>
        <v/>
      </c>
      <c r="Y124" s="376">
        <f>Y121*Y113</f>
        <v/>
      </c>
      <c r="Z124" s="376">
        <f>Z121*Z113</f>
        <v/>
      </c>
      <c r="AA124" s="376">
        <f>AA121*AA113</f>
        <v/>
      </c>
      <c r="AB124" s="376">
        <f>AB121*AB113</f>
        <v/>
      </c>
      <c r="AC124" s="376">
        <f>SUM(Y124:AB124)</f>
        <v/>
      </c>
      <c r="AD124" s="376">
        <f>AD121*AD113</f>
        <v/>
      </c>
      <c r="AE124" s="376">
        <f>AE121*AE113</f>
        <v/>
      </c>
      <c r="AF124" s="376">
        <f>AF121*AF113</f>
        <v/>
      </c>
      <c r="AG124" s="376">
        <f>AG121*AG113</f>
        <v/>
      </c>
      <c r="AH124" s="376">
        <f>SUM(AD124:AG124)</f>
        <v/>
      </c>
      <c r="AI124" s="376">
        <f>AI121*AI113</f>
        <v/>
      </c>
      <c r="AJ124" s="376">
        <f>AJ121*AJ113</f>
        <v/>
      </c>
      <c r="AK124" s="376">
        <f>AK121*AK113</f>
        <v/>
      </c>
      <c r="AL124" s="376">
        <f>AL121*AL113</f>
        <v/>
      </c>
      <c r="AM124" s="376">
        <f>SUM(AI124:AL124)</f>
        <v/>
      </c>
      <c r="AN124" s="376">
        <f>AN121*AN113</f>
        <v/>
      </c>
      <c r="AO124" s="376">
        <f>AO121*AO113</f>
        <v/>
      </c>
      <c r="AP124" s="376">
        <f>AP121*AP113</f>
        <v/>
      </c>
      <c r="AQ124" s="376">
        <f>AQ121*AQ113</f>
        <v/>
      </c>
      <c r="AR124" s="376">
        <f>SUM(AN124:AQ124)</f>
        <v/>
      </c>
    </row>
    <row r="125" ht="15" customHeight="1" s="290">
      <c r="A125" s="397" t="n"/>
      <c r="B125" s="398" t="inlineStr">
        <is>
          <t xml:space="preserve">  ★ Total Funded Placement Volume</t>
        </is>
      </c>
      <c r="C125" s="399" t="inlineStr">
        <is>
          <t>$M/qtr</t>
        </is>
      </c>
      <c r="D125" s="400" t="inlineStr">
        <is>
          <t xml:space="preserve"> funded acq + funded refi</t>
        </is>
      </c>
      <c r="E125" s="401">
        <f>E123+E124</f>
        <v/>
      </c>
      <c r="F125" s="401">
        <f>F123+F124</f>
        <v/>
      </c>
      <c r="G125" s="401">
        <f>G123+G124</f>
        <v/>
      </c>
      <c r="H125" s="401">
        <f>H123+H124</f>
        <v/>
      </c>
      <c r="I125" s="401">
        <f>SUM(E125:H125)</f>
        <v/>
      </c>
      <c r="J125" s="401">
        <f>J123+J124</f>
        <v/>
      </c>
      <c r="K125" s="401">
        <f>K123+K124</f>
        <v/>
      </c>
      <c r="L125" s="401">
        <f>L123+L124</f>
        <v/>
      </c>
      <c r="M125" s="401">
        <f>M123+M124</f>
        <v/>
      </c>
      <c r="N125" s="401">
        <f>SUM(J125:M125)</f>
        <v/>
      </c>
      <c r="O125" s="401">
        <f>O123+O124</f>
        <v/>
      </c>
      <c r="P125" s="401">
        <f>P123+P124</f>
        <v/>
      </c>
      <c r="Q125" s="401">
        <f>Q123+Q124</f>
        <v/>
      </c>
      <c r="R125" s="401">
        <f>R123+R124</f>
        <v/>
      </c>
      <c r="S125" s="401">
        <f>SUM(O125:R125)</f>
        <v/>
      </c>
      <c r="T125" s="401">
        <f>T123+T124</f>
        <v/>
      </c>
      <c r="U125" s="401">
        <f>U123+U124</f>
        <v/>
      </c>
      <c r="V125" s="401">
        <f>V123+V124</f>
        <v/>
      </c>
      <c r="W125" s="401">
        <f>W123+W124</f>
        <v/>
      </c>
      <c r="X125" s="401">
        <f>SUM(T125:W125)</f>
        <v/>
      </c>
      <c r="Y125" s="401">
        <f>Y123+Y124</f>
        <v/>
      </c>
      <c r="Z125" s="401">
        <f>Z123+Z124</f>
        <v/>
      </c>
      <c r="AA125" s="401">
        <f>AA123+AA124</f>
        <v/>
      </c>
      <c r="AB125" s="401">
        <f>AB123+AB124</f>
        <v/>
      </c>
      <c r="AC125" s="401">
        <f>SUM(Y125:AB125)</f>
        <v/>
      </c>
      <c r="AD125" s="401">
        <f>AD123+AD124</f>
        <v/>
      </c>
      <c r="AE125" s="401">
        <f>AE123+AE124</f>
        <v/>
      </c>
      <c r="AF125" s="401">
        <f>AF123+AF124</f>
        <v/>
      </c>
      <c r="AG125" s="401">
        <f>AG123+AG124</f>
        <v/>
      </c>
      <c r="AH125" s="401">
        <f>SUM(AD125:AG125)</f>
        <v/>
      </c>
      <c r="AI125" s="401">
        <f>AI123+AI124</f>
        <v/>
      </c>
      <c r="AJ125" s="401">
        <f>AJ123+AJ124</f>
        <v/>
      </c>
      <c r="AK125" s="401">
        <f>AK123+AK124</f>
        <v/>
      </c>
      <c r="AL125" s="401">
        <f>AL123+AL124</f>
        <v/>
      </c>
      <c r="AM125" s="401">
        <f>SUM(AI125:AL125)</f>
        <v/>
      </c>
      <c r="AN125" s="401">
        <f>AN123+AN124</f>
        <v/>
      </c>
      <c r="AO125" s="401">
        <f>AO123+AO124</f>
        <v/>
      </c>
      <c r="AP125" s="401">
        <f>AP123+AP124</f>
        <v/>
      </c>
      <c r="AQ125" s="401">
        <f>AQ123+AQ124</f>
        <v/>
      </c>
      <c r="AR125" s="401">
        <f>SUM(AN125:AQ125)</f>
        <v/>
      </c>
    </row>
    <row r="126" ht="13.5" customHeight="1" s="290">
      <c r="A126" s="395" t="n"/>
      <c r="B126" s="373" t="inlineStr">
        <is>
          <t xml:space="preserve">  Debt Volume</t>
        </is>
      </c>
      <c r="C126" s="374" t="inlineStr">
        <is>
          <t>$M/qtr</t>
        </is>
      </c>
      <c r="D126" s="396" t="inlineStr">
        <is>
          <t xml:space="preserve"> funded vol × Debt Mix %</t>
        </is>
      </c>
      <c r="E126" s="376">
        <f>E125*E105</f>
        <v/>
      </c>
      <c r="F126" s="376">
        <f>F125*F105</f>
        <v/>
      </c>
      <c r="G126" s="376">
        <f>G125*G105</f>
        <v/>
      </c>
      <c r="H126" s="376">
        <f>H125*H105</f>
        <v/>
      </c>
      <c r="I126" s="376">
        <f>SUM(E126:H126)</f>
        <v/>
      </c>
      <c r="J126" s="376">
        <f>J125*J105</f>
        <v/>
      </c>
      <c r="K126" s="376">
        <f>K125*K105</f>
        <v/>
      </c>
      <c r="L126" s="376">
        <f>L125*L105</f>
        <v/>
      </c>
      <c r="M126" s="376">
        <f>M125*M105</f>
        <v/>
      </c>
      <c r="N126" s="376">
        <f>SUM(J126:M126)</f>
        <v/>
      </c>
      <c r="O126" s="376">
        <f>O125*O105</f>
        <v/>
      </c>
      <c r="P126" s="376">
        <f>P125*P105</f>
        <v/>
      </c>
      <c r="Q126" s="376">
        <f>Q125*Q105</f>
        <v/>
      </c>
      <c r="R126" s="376">
        <f>R125*R105</f>
        <v/>
      </c>
      <c r="S126" s="376">
        <f>SUM(O126:R126)</f>
        <v/>
      </c>
      <c r="T126" s="376">
        <f>T125*T105</f>
        <v/>
      </c>
      <c r="U126" s="376">
        <f>U125*U105</f>
        <v/>
      </c>
      <c r="V126" s="376">
        <f>V125*V105</f>
        <v/>
      </c>
      <c r="W126" s="376">
        <f>W125*W105</f>
        <v/>
      </c>
      <c r="X126" s="376">
        <f>SUM(T126:W126)</f>
        <v/>
      </c>
      <c r="Y126" s="376">
        <f>Y125*Y105</f>
        <v/>
      </c>
      <c r="Z126" s="376">
        <f>Z125*Z105</f>
        <v/>
      </c>
      <c r="AA126" s="376">
        <f>AA125*AA105</f>
        <v/>
      </c>
      <c r="AB126" s="376">
        <f>AB125*AB105</f>
        <v/>
      </c>
      <c r="AC126" s="376">
        <f>SUM(Y126:AB126)</f>
        <v/>
      </c>
      <c r="AD126" s="376">
        <f>AD125*AD105</f>
        <v/>
      </c>
      <c r="AE126" s="376">
        <f>AE125*AE105</f>
        <v/>
      </c>
      <c r="AF126" s="376">
        <f>AF125*AF105</f>
        <v/>
      </c>
      <c r="AG126" s="376">
        <f>AG125*AG105</f>
        <v/>
      </c>
      <c r="AH126" s="376">
        <f>SUM(AD126:AG126)</f>
        <v/>
      </c>
      <c r="AI126" s="376">
        <f>AI125*AI105</f>
        <v/>
      </c>
      <c r="AJ126" s="376">
        <f>AJ125*AJ105</f>
        <v/>
      </c>
      <c r="AK126" s="376">
        <f>AK125*AK105</f>
        <v/>
      </c>
      <c r="AL126" s="376">
        <f>AL125*AL105</f>
        <v/>
      </c>
      <c r="AM126" s="376">
        <f>SUM(AI126:AL126)</f>
        <v/>
      </c>
      <c r="AN126" s="376">
        <f>AN125*AN105</f>
        <v/>
      </c>
      <c r="AO126" s="376">
        <f>AO125*AO105</f>
        <v/>
      </c>
      <c r="AP126" s="376">
        <f>AP125*AP105</f>
        <v/>
      </c>
      <c r="AQ126" s="376">
        <f>AQ125*AQ105</f>
        <v/>
      </c>
      <c r="AR126" s="376">
        <f>SUM(AN126:AQ126)</f>
        <v/>
      </c>
    </row>
    <row r="127" ht="13.5" customHeight="1" s="290">
      <c r="A127" s="395" t="n"/>
      <c r="B127" s="373" t="inlineStr">
        <is>
          <t xml:space="preserve">  Equity Volume</t>
        </is>
      </c>
      <c r="C127" s="374" t="inlineStr">
        <is>
          <t>$M/qtr</t>
        </is>
      </c>
      <c r="D127" s="396" t="inlineStr">
        <is>
          <t xml:space="preserve"> funded vol × (1 − Debt Mix)</t>
        </is>
      </c>
      <c r="E127" s="376">
        <f>E125*(1-E105)</f>
        <v/>
      </c>
      <c r="F127" s="376">
        <f>F125*(1-F105)</f>
        <v/>
      </c>
      <c r="G127" s="376">
        <f>G125*(1-G105)</f>
        <v/>
      </c>
      <c r="H127" s="376">
        <f>H125*(1-H105)</f>
        <v/>
      </c>
      <c r="I127" s="376">
        <f>SUM(E127:H127)</f>
        <v/>
      </c>
      <c r="J127" s="376">
        <f>J125*(1-J105)</f>
        <v/>
      </c>
      <c r="K127" s="376">
        <f>K125*(1-K105)</f>
        <v/>
      </c>
      <c r="L127" s="376">
        <f>L125*(1-L105)</f>
        <v/>
      </c>
      <c r="M127" s="376">
        <f>M125*(1-M105)</f>
        <v/>
      </c>
      <c r="N127" s="376">
        <f>SUM(J127:M127)</f>
        <v/>
      </c>
      <c r="O127" s="376">
        <f>O125*(1-O105)</f>
        <v/>
      </c>
      <c r="P127" s="376">
        <f>P125*(1-P105)</f>
        <v/>
      </c>
      <c r="Q127" s="376">
        <f>Q125*(1-Q105)</f>
        <v/>
      </c>
      <c r="R127" s="376">
        <f>R125*(1-R105)</f>
        <v/>
      </c>
      <c r="S127" s="376">
        <f>SUM(O127:R127)</f>
        <v/>
      </c>
      <c r="T127" s="376">
        <f>T125*(1-T105)</f>
        <v/>
      </c>
      <c r="U127" s="376">
        <f>U125*(1-U105)</f>
        <v/>
      </c>
      <c r="V127" s="376">
        <f>V125*(1-V105)</f>
        <v/>
      </c>
      <c r="W127" s="376">
        <f>W125*(1-W105)</f>
        <v/>
      </c>
      <c r="X127" s="376">
        <f>SUM(T127:W127)</f>
        <v/>
      </c>
      <c r="Y127" s="376">
        <f>Y125*(1-Y105)</f>
        <v/>
      </c>
      <c r="Z127" s="376">
        <f>Z125*(1-Z105)</f>
        <v/>
      </c>
      <c r="AA127" s="376">
        <f>AA125*(1-AA105)</f>
        <v/>
      </c>
      <c r="AB127" s="376">
        <f>AB125*(1-AB105)</f>
        <v/>
      </c>
      <c r="AC127" s="376">
        <f>SUM(Y127:AB127)</f>
        <v/>
      </c>
      <c r="AD127" s="376">
        <f>AD125*(1-AD105)</f>
        <v/>
      </c>
      <c r="AE127" s="376">
        <f>AE125*(1-AE105)</f>
        <v/>
      </c>
      <c r="AF127" s="376">
        <f>AF125*(1-AF105)</f>
        <v/>
      </c>
      <c r="AG127" s="376">
        <f>AG125*(1-AG105)</f>
        <v/>
      </c>
      <c r="AH127" s="376">
        <f>SUM(AD127:AG127)</f>
        <v/>
      </c>
      <c r="AI127" s="376">
        <f>AI125*(1-AI105)</f>
        <v/>
      </c>
      <c r="AJ127" s="376">
        <f>AJ125*(1-AJ105)</f>
        <v/>
      </c>
      <c r="AK127" s="376">
        <f>AK125*(1-AK105)</f>
        <v/>
      </c>
      <c r="AL127" s="376">
        <f>AL125*(1-AL105)</f>
        <v/>
      </c>
      <c r="AM127" s="376">
        <f>SUM(AI127:AL127)</f>
        <v/>
      </c>
      <c r="AN127" s="376">
        <f>AN125*(1-AN105)</f>
        <v/>
      </c>
      <c r="AO127" s="376">
        <f>AO125*(1-AO105)</f>
        <v/>
      </c>
      <c r="AP127" s="376">
        <f>AP125*(1-AP105)</f>
        <v/>
      </c>
      <c r="AQ127" s="376">
        <f>AQ125*(1-AQ105)</f>
        <v/>
      </c>
      <c r="AR127" s="376">
        <f>SUM(AN127:AQ127)</f>
        <v/>
      </c>
    </row>
    <row r="128" ht="3.75" customHeight="1" s="290"/>
    <row r="129" ht="15" customHeight="1" s="290">
      <c r="A129" s="307" t="inlineStr">
        <is>
          <t xml:space="preserve">    C3 — GCI BUILD</t>
        </is>
      </c>
    </row>
    <row r="130" ht="3" customHeight="1" s="290"/>
    <row r="131" ht="12.75" customHeight="1" s="290">
      <c r="A131" s="348" t="inlineStr">
        <is>
          <t xml:space="preserve">  Debt GCI: Vol($M) × Bps ÷ 10 = $K. Equity GCI: Vol($M) × Fee% × 1000 = $K.  Blended bps (KPI) = Total GCI($K) ÷ Funded Vol($M) × 10.</t>
        </is>
      </c>
    </row>
    <row r="132" ht="3" customHeight="1" s="290"/>
    <row r="133" ht="13.5" customHeight="1" s="290">
      <c r="A133" s="395" t="n"/>
      <c r="B133" s="373" t="inlineStr">
        <is>
          <t xml:space="preserve">  Debt GCI — Acquisition</t>
        </is>
      </c>
      <c r="C133" s="374" t="inlineStr">
        <is>
          <t>$K/qtr</t>
        </is>
      </c>
      <c r="D133" s="396" t="inlineStr">
        <is>
          <t xml:space="preserve"> = Funded Acq Vol($M) × Acq Bps ÷ 10 → $K</t>
        </is>
      </c>
      <c r="E133" s="376">
        <f>E123*E109/10</f>
        <v/>
      </c>
      <c r="F133" s="376">
        <f>F123*F109/10</f>
        <v/>
      </c>
      <c r="G133" s="376">
        <f>G123*G109/10</f>
        <v/>
      </c>
      <c r="H133" s="376">
        <f>H123*H109/10</f>
        <v/>
      </c>
      <c r="I133" s="376">
        <f>SUM(E133:H133)</f>
        <v/>
      </c>
      <c r="J133" s="376">
        <f>J123*J109/10</f>
        <v/>
      </c>
      <c r="K133" s="376">
        <f>K123*K109/10</f>
        <v/>
      </c>
      <c r="L133" s="376">
        <f>L123*L109/10</f>
        <v/>
      </c>
      <c r="M133" s="376">
        <f>M123*M109/10</f>
        <v/>
      </c>
      <c r="N133" s="376">
        <f>SUM(J133:M133)</f>
        <v/>
      </c>
      <c r="O133" s="376">
        <f>O123*O109/10</f>
        <v/>
      </c>
      <c r="P133" s="376">
        <f>P123*P109/10</f>
        <v/>
      </c>
      <c r="Q133" s="376">
        <f>Q123*Q109/10</f>
        <v/>
      </c>
      <c r="R133" s="376">
        <f>R123*R109/10</f>
        <v/>
      </c>
      <c r="S133" s="376">
        <f>SUM(O133:R133)</f>
        <v/>
      </c>
      <c r="T133" s="376">
        <f>T123*T109/10</f>
        <v/>
      </c>
      <c r="U133" s="376">
        <f>U123*U109/10</f>
        <v/>
      </c>
      <c r="V133" s="376">
        <f>V123*V109/10</f>
        <v/>
      </c>
      <c r="W133" s="376">
        <f>W123*W109/10</f>
        <v/>
      </c>
      <c r="X133" s="376">
        <f>SUM(T133:W133)</f>
        <v/>
      </c>
      <c r="Y133" s="376">
        <f>Y123*Y109/10</f>
        <v/>
      </c>
      <c r="Z133" s="376">
        <f>Z123*Z109/10</f>
        <v/>
      </c>
      <c r="AA133" s="376">
        <f>AA123*AA109/10</f>
        <v/>
      </c>
      <c r="AB133" s="376">
        <f>AB123*AB109/10</f>
        <v/>
      </c>
      <c r="AC133" s="376">
        <f>SUM(Y133:AB133)</f>
        <v/>
      </c>
      <c r="AD133" s="376">
        <f>AD123*AD109/10</f>
        <v/>
      </c>
      <c r="AE133" s="376">
        <f>AE123*AE109/10</f>
        <v/>
      </c>
      <c r="AF133" s="376">
        <f>AF123*AF109/10</f>
        <v/>
      </c>
      <c r="AG133" s="376">
        <f>AG123*AG109/10</f>
        <v/>
      </c>
      <c r="AH133" s="376">
        <f>SUM(AD133:AG133)</f>
        <v/>
      </c>
      <c r="AI133" s="376">
        <f>AI123*AI109/10</f>
        <v/>
      </c>
      <c r="AJ133" s="376">
        <f>AJ123*AJ109/10</f>
        <v/>
      </c>
      <c r="AK133" s="376">
        <f>AK123*AK109/10</f>
        <v/>
      </c>
      <c r="AL133" s="376">
        <f>AL123*AL109/10</f>
        <v/>
      </c>
      <c r="AM133" s="376">
        <f>SUM(AI133:AL133)</f>
        <v/>
      </c>
      <c r="AN133" s="376">
        <f>AN123*AN109/10</f>
        <v/>
      </c>
      <c r="AO133" s="376">
        <f>AO123*AO109/10</f>
        <v/>
      </c>
      <c r="AP133" s="376">
        <f>AP123*AP109/10</f>
        <v/>
      </c>
      <c r="AQ133" s="376">
        <f>AQ123*AQ109/10</f>
        <v/>
      </c>
      <c r="AR133" s="376">
        <f>SUM(AN133:AQ133)</f>
        <v/>
      </c>
    </row>
    <row r="134" ht="13.5" customHeight="1" s="290">
      <c r="A134" s="395" t="n"/>
      <c r="B134" s="373" t="inlineStr">
        <is>
          <t xml:space="preserve">  Debt GCI — Refinancing</t>
        </is>
      </c>
      <c r="C134" s="374" t="inlineStr">
        <is>
          <t>$K/qtr</t>
        </is>
      </c>
      <c r="D134" s="396" t="inlineStr">
        <is>
          <t xml:space="preserve"> = Funded Refi Vol($M) × Refi Bps ÷ 10 → $K</t>
        </is>
      </c>
      <c r="E134" s="376">
        <f>E124*E110/10</f>
        <v/>
      </c>
      <c r="F134" s="376">
        <f>F124*F110/10</f>
        <v/>
      </c>
      <c r="G134" s="376">
        <f>G124*G110/10</f>
        <v/>
      </c>
      <c r="H134" s="376">
        <f>H124*H110/10</f>
        <v/>
      </c>
      <c r="I134" s="376">
        <f>SUM(E134:H134)</f>
        <v/>
      </c>
      <c r="J134" s="376">
        <f>J124*J110/10</f>
        <v/>
      </c>
      <c r="K134" s="376">
        <f>K124*K110/10</f>
        <v/>
      </c>
      <c r="L134" s="376">
        <f>L124*L110/10</f>
        <v/>
      </c>
      <c r="M134" s="376">
        <f>M124*M110/10</f>
        <v/>
      </c>
      <c r="N134" s="376">
        <f>SUM(J134:M134)</f>
        <v/>
      </c>
      <c r="O134" s="376">
        <f>O124*O110/10</f>
        <v/>
      </c>
      <c r="P134" s="376">
        <f>P124*P110/10</f>
        <v/>
      </c>
      <c r="Q134" s="376">
        <f>Q124*Q110/10</f>
        <v/>
      </c>
      <c r="R134" s="376">
        <f>R124*R110/10</f>
        <v/>
      </c>
      <c r="S134" s="376">
        <f>SUM(O134:R134)</f>
        <v/>
      </c>
      <c r="T134" s="376">
        <f>T124*T110/10</f>
        <v/>
      </c>
      <c r="U134" s="376">
        <f>U124*U110/10</f>
        <v/>
      </c>
      <c r="V134" s="376">
        <f>V124*V110/10</f>
        <v/>
      </c>
      <c r="W134" s="376">
        <f>W124*W110/10</f>
        <v/>
      </c>
      <c r="X134" s="376">
        <f>SUM(T134:W134)</f>
        <v/>
      </c>
      <c r="Y134" s="376">
        <f>Y124*Y110/10</f>
        <v/>
      </c>
      <c r="Z134" s="376">
        <f>Z124*Z110/10</f>
        <v/>
      </c>
      <c r="AA134" s="376">
        <f>AA124*AA110/10</f>
        <v/>
      </c>
      <c r="AB134" s="376">
        <f>AB124*AB110/10</f>
        <v/>
      </c>
      <c r="AC134" s="376">
        <f>SUM(Y134:AB134)</f>
        <v/>
      </c>
      <c r="AD134" s="376">
        <f>AD124*AD110/10</f>
        <v/>
      </c>
      <c r="AE134" s="376">
        <f>AE124*AE110/10</f>
        <v/>
      </c>
      <c r="AF134" s="376">
        <f>AF124*AF110/10</f>
        <v/>
      </c>
      <c r="AG134" s="376">
        <f>AG124*AG110/10</f>
        <v/>
      </c>
      <c r="AH134" s="376">
        <f>SUM(AD134:AG134)</f>
        <v/>
      </c>
      <c r="AI134" s="376">
        <f>AI124*AI110/10</f>
        <v/>
      </c>
      <c r="AJ134" s="376">
        <f>AJ124*AJ110/10</f>
        <v/>
      </c>
      <c r="AK134" s="376">
        <f>AK124*AK110/10</f>
        <v/>
      </c>
      <c r="AL134" s="376">
        <f>AL124*AL110/10</f>
        <v/>
      </c>
      <c r="AM134" s="376">
        <f>SUM(AI134:AL134)</f>
        <v/>
      </c>
      <c r="AN134" s="376">
        <f>AN124*AN110/10</f>
        <v/>
      </c>
      <c r="AO134" s="376">
        <f>AO124*AO110/10</f>
        <v/>
      </c>
      <c r="AP134" s="376">
        <f>AP124*AP110/10</f>
        <v/>
      </c>
      <c r="AQ134" s="376">
        <f>AQ124*AQ110/10</f>
        <v/>
      </c>
      <c r="AR134" s="376">
        <f>SUM(AN134:AQ134)</f>
        <v/>
      </c>
    </row>
    <row r="135" ht="13.5" customHeight="1" s="290">
      <c r="A135" s="395" t="n"/>
      <c r="B135" s="373" t="inlineStr">
        <is>
          <t xml:space="preserve">  Equity GCI</t>
        </is>
      </c>
      <c r="C135" s="374" t="inlineStr">
        <is>
          <t>$K/qtr</t>
        </is>
      </c>
      <c r="D135" s="396" t="inlineStr">
        <is>
          <t xml:space="preserve"> = Equity Vol($M) × Fee% × 1000 → $K</t>
        </is>
      </c>
      <c r="E135" s="376">
        <f>E127*E111*1000</f>
        <v/>
      </c>
      <c r="F135" s="376">
        <f>F127*F111*1000</f>
        <v/>
      </c>
      <c r="G135" s="376">
        <f>G127*G111*1000</f>
        <v/>
      </c>
      <c r="H135" s="376">
        <f>H127*H111*1000</f>
        <v/>
      </c>
      <c r="I135" s="376">
        <f>SUM(E135:H135)</f>
        <v/>
      </c>
      <c r="J135" s="376">
        <f>J127*J111*1000</f>
        <v/>
      </c>
      <c r="K135" s="376">
        <f>K127*K111*1000</f>
        <v/>
      </c>
      <c r="L135" s="376">
        <f>L127*L111*1000</f>
        <v/>
      </c>
      <c r="M135" s="376">
        <f>M127*M111*1000</f>
        <v/>
      </c>
      <c r="N135" s="376">
        <f>SUM(J135:M135)</f>
        <v/>
      </c>
      <c r="O135" s="376">
        <f>O127*O111*1000</f>
        <v/>
      </c>
      <c r="P135" s="376">
        <f>P127*P111*1000</f>
        <v/>
      </c>
      <c r="Q135" s="376">
        <f>Q127*Q111*1000</f>
        <v/>
      </c>
      <c r="R135" s="376">
        <f>R127*R111*1000</f>
        <v/>
      </c>
      <c r="S135" s="376">
        <f>SUM(O135:R135)</f>
        <v/>
      </c>
      <c r="T135" s="376">
        <f>T127*T111*1000</f>
        <v/>
      </c>
      <c r="U135" s="376">
        <f>U127*U111*1000</f>
        <v/>
      </c>
      <c r="V135" s="376">
        <f>V127*V111*1000</f>
        <v/>
      </c>
      <c r="W135" s="376">
        <f>W127*W111*1000</f>
        <v/>
      </c>
      <c r="X135" s="376">
        <f>SUM(T135:W135)</f>
        <v/>
      </c>
      <c r="Y135" s="376">
        <f>Y127*Y111*1000</f>
        <v/>
      </c>
      <c r="Z135" s="376">
        <f>Z127*Z111*1000</f>
        <v/>
      </c>
      <c r="AA135" s="376">
        <f>AA127*AA111*1000</f>
        <v/>
      </c>
      <c r="AB135" s="376">
        <f>AB127*AB111*1000</f>
        <v/>
      </c>
      <c r="AC135" s="376">
        <f>SUM(Y135:AB135)</f>
        <v/>
      </c>
      <c r="AD135" s="376">
        <f>AD127*AD111*1000</f>
        <v/>
      </c>
      <c r="AE135" s="376">
        <f>AE127*AE111*1000</f>
        <v/>
      </c>
      <c r="AF135" s="376">
        <f>AF127*AF111*1000</f>
        <v/>
      </c>
      <c r="AG135" s="376">
        <f>AG127*AG111*1000</f>
        <v/>
      </c>
      <c r="AH135" s="376">
        <f>SUM(AD135:AG135)</f>
        <v/>
      </c>
      <c r="AI135" s="376">
        <f>AI127*AI111*1000</f>
        <v/>
      </c>
      <c r="AJ135" s="376">
        <f>AJ127*AJ111*1000</f>
        <v/>
      </c>
      <c r="AK135" s="376">
        <f>AK127*AK111*1000</f>
        <v/>
      </c>
      <c r="AL135" s="376">
        <f>AL127*AL111*1000</f>
        <v/>
      </c>
      <c r="AM135" s="376">
        <f>SUM(AI135:AL135)</f>
        <v/>
      </c>
      <c r="AN135" s="376">
        <f>AN127*AN111*1000</f>
        <v/>
      </c>
      <c r="AO135" s="376">
        <f>AO127*AO111*1000</f>
        <v/>
      </c>
      <c r="AP135" s="376">
        <f>AP127*AP111*1000</f>
        <v/>
      </c>
      <c r="AQ135" s="376">
        <f>AQ127*AQ111*1000</f>
        <v/>
      </c>
      <c r="AR135" s="376">
        <f>SUM(AN135:AQ135)</f>
        <v/>
      </c>
    </row>
    <row r="136" ht="13.5" customHeight="1" s="290">
      <c r="A136" s="395" t="n"/>
      <c r="B136" s="402" t="inlineStr">
        <is>
          <t xml:space="preserve">  Gross D&amp;E GCI</t>
        </is>
      </c>
      <c r="C136" s="374" t="inlineStr">
        <is>
          <t>$K/qtr</t>
        </is>
      </c>
      <c r="D136" s="396" t="inlineStr">
        <is>
          <t xml:space="preserve"> debt acq gci + debt refi gci + equity gci</t>
        </is>
      </c>
      <c r="E136" s="403">
        <f>E133+E134+E135</f>
        <v/>
      </c>
      <c r="F136" s="403">
        <f>F133+F134+F135</f>
        <v/>
      </c>
      <c r="G136" s="403">
        <f>G133+G134+G135</f>
        <v/>
      </c>
      <c r="H136" s="403">
        <f>H133+H134+H135</f>
        <v/>
      </c>
      <c r="I136" s="403">
        <f>SUM(E136:H136)</f>
        <v/>
      </c>
      <c r="J136" s="403">
        <f>J133+J134+J135</f>
        <v/>
      </c>
      <c r="K136" s="403">
        <f>K133+K134+K135</f>
        <v/>
      </c>
      <c r="L136" s="403">
        <f>L133+L134+L135</f>
        <v/>
      </c>
      <c r="M136" s="403">
        <f>M133+M134+M135</f>
        <v/>
      </c>
      <c r="N136" s="403">
        <f>SUM(J136:M136)</f>
        <v/>
      </c>
      <c r="O136" s="403">
        <f>O133+O134+O135</f>
        <v/>
      </c>
      <c r="P136" s="403">
        <f>P133+P134+P135</f>
        <v/>
      </c>
      <c r="Q136" s="403">
        <f>Q133+Q134+Q135</f>
        <v/>
      </c>
      <c r="R136" s="403">
        <f>R133+R134+R135</f>
        <v/>
      </c>
      <c r="S136" s="403">
        <f>SUM(O136:R136)</f>
        <v/>
      </c>
      <c r="T136" s="403">
        <f>T133+T134+T135</f>
        <v/>
      </c>
      <c r="U136" s="403">
        <f>U133+U134+U135</f>
        <v/>
      </c>
      <c r="V136" s="403">
        <f>V133+V134+V135</f>
        <v/>
      </c>
      <c r="W136" s="403">
        <f>W133+W134+W135</f>
        <v/>
      </c>
      <c r="X136" s="403">
        <f>SUM(T136:W136)</f>
        <v/>
      </c>
      <c r="Y136" s="403">
        <f>Y133+Y134+Y135</f>
        <v/>
      </c>
      <c r="Z136" s="403">
        <f>Z133+Z134+Z135</f>
        <v/>
      </c>
      <c r="AA136" s="403">
        <f>AA133+AA134+AA135</f>
        <v/>
      </c>
      <c r="AB136" s="403">
        <f>AB133+AB134+AB135</f>
        <v/>
      </c>
      <c r="AC136" s="403">
        <f>SUM(Y136:AB136)</f>
        <v/>
      </c>
      <c r="AD136" s="403">
        <f>AD133+AD134+AD135</f>
        <v/>
      </c>
      <c r="AE136" s="403">
        <f>AE133+AE134+AE135</f>
        <v/>
      </c>
      <c r="AF136" s="403">
        <f>AF133+AF134+AF135</f>
        <v/>
      </c>
      <c r="AG136" s="403">
        <f>AG133+AG134+AG135</f>
        <v/>
      </c>
      <c r="AH136" s="403">
        <f>SUM(AD136:AG136)</f>
        <v/>
      </c>
      <c r="AI136" s="403">
        <f>AI133+AI134+AI135</f>
        <v/>
      </c>
      <c r="AJ136" s="403">
        <f>AJ133+AJ134+AJ135</f>
        <v/>
      </c>
      <c r="AK136" s="403">
        <f>AK133+AK134+AK135</f>
        <v/>
      </c>
      <c r="AL136" s="403">
        <f>AL133+AL134+AL135</f>
        <v/>
      </c>
      <c r="AM136" s="403">
        <f>SUM(AI136:AL136)</f>
        <v/>
      </c>
      <c r="AN136" s="403">
        <f>AN133+AN134+AN135</f>
        <v/>
      </c>
      <c r="AO136" s="403">
        <f>AO133+AO134+AO135</f>
        <v/>
      </c>
      <c r="AP136" s="403">
        <f>AP133+AP134+AP135</f>
        <v/>
      </c>
      <c r="AQ136" s="403">
        <f>AQ133+AQ134+AQ135</f>
        <v/>
      </c>
      <c r="AR136" s="403">
        <f>SUM(AN136:AQ136)</f>
        <v/>
      </c>
    </row>
    <row r="137" ht="13.5" customHeight="1" s="290">
      <c r="A137" s="345" t="n"/>
      <c r="B137" s="370" t="inlineStr">
        <is>
          <t xml:space="preserve">  Book Loss Adjustment — D&amp;E</t>
        </is>
      </c>
      <c r="C137" s="371" t="inlineStr">
        <is>
          <t>$K</t>
        </is>
      </c>
      <c r="D137" s="394" t="inlineStr">
        <is>
          <t>← Tab 04 row 235 (negative)</t>
        </is>
      </c>
      <c r="E137" s="361">
        <f>'04 Producer Engine'!E235</f>
        <v/>
      </c>
      <c r="F137" s="361">
        <f>'04 Producer Engine'!F235</f>
        <v/>
      </c>
      <c r="G137" s="361">
        <f>'04 Producer Engine'!G235</f>
        <v/>
      </c>
      <c r="H137" s="361">
        <f>'04 Producer Engine'!H235</f>
        <v/>
      </c>
      <c r="I137" s="361">
        <f>SUM(E137:H137)</f>
        <v/>
      </c>
      <c r="J137" s="361">
        <f>'04 Producer Engine'!J235</f>
        <v/>
      </c>
      <c r="K137" s="361">
        <f>'04 Producer Engine'!K235</f>
        <v/>
      </c>
      <c r="L137" s="361">
        <f>'04 Producer Engine'!L235</f>
        <v/>
      </c>
      <c r="M137" s="361">
        <f>'04 Producer Engine'!M235</f>
        <v/>
      </c>
      <c r="N137" s="361">
        <f>SUM(J137:M137)</f>
        <v/>
      </c>
      <c r="O137" s="361">
        <f>'04 Producer Engine'!O235</f>
        <v/>
      </c>
      <c r="P137" s="361">
        <f>'04 Producer Engine'!P235</f>
        <v/>
      </c>
      <c r="Q137" s="361">
        <f>'04 Producer Engine'!Q235</f>
        <v/>
      </c>
      <c r="R137" s="361">
        <f>'04 Producer Engine'!R235</f>
        <v/>
      </c>
      <c r="S137" s="361">
        <f>SUM(O137:R137)</f>
        <v/>
      </c>
      <c r="T137" s="361">
        <f>'04 Producer Engine'!T235</f>
        <v/>
      </c>
      <c r="U137" s="361">
        <f>'04 Producer Engine'!U235</f>
        <v/>
      </c>
      <c r="V137" s="361">
        <f>'04 Producer Engine'!V235</f>
        <v/>
      </c>
      <c r="W137" s="361">
        <f>'04 Producer Engine'!W235</f>
        <v/>
      </c>
      <c r="X137" s="361">
        <f>SUM(T137:W137)</f>
        <v/>
      </c>
      <c r="Y137" s="361">
        <f>'04 Producer Engine'!Y235</f>
        <v/>
      </c>
      <c r="Z137" s="361">
        <f>'04 Producer Engine'!Z235</f>
        <v/>
      </c>
      <c r="AA137" s="361">
        <f>'04 Producer Engine'!AA235</f>
        <v/>
      </c>
      <c r="AB137" s="361">
        <f>'04 Producer Engine'!AB235</f>
        <v/>
      </c>
      <c r="AC137" s="361">
        <f>SUM(Y137:AB137)</f>
        <v/>
      </c>
      <c r="AD137" s="361">
        <f>'04 Producer Engine'!AD235</f>
        <v/>
      </c>
      <c r="AE137" s="361">
        <f>'04 Producer Engine'!AE235</f>
        <v/>
      </c>
      <c r="AF137" s="361">
        <f>'04 Producer Engine'!AF235</f>
        <v/>
      </c>
      <c r="AG137" s="361">
        <f>'04 Producer Engine'!AG235</f>
        <v/>
      </c>
      <c r="AH137" s="361">
        <f>SUM(AD137:AG137)</f>
        <v/>
      </c>
      <c r="AI137" s="361">
        <f>'04 Producer Engine'!AI235</f>
        <v/>
      </c>
      <c r="AJ137" s="361">
        <f>'04 Producer Engine'!AJ235</f>
        <v/>
      </c>
      <c r="AK137" s="361">
        <f>'04 Producer Engine'!AK235</f>
        <v/>
      </c>
      <c r="AL137" s="361">
        <f>'04 Producer Engine'!AL235</f>
        <v/>
      </c>
      <c r="AM137" s="361">
        <f>SUM(AI137:AL137)</f>
        <v/>
      </c>
      <c r="AN137" s="361">
        <f>'04 Producer Engine'!AN235</f>
        <v/>
      </c>
      <c r="AO137" s="361">
        <f>'04 Producer Engine'!AO235</f>
        <v/>
      </c>
      <c r="AP137" s="361">
        <f>'04 Producer Engine'!AP235</f>
        <v/>
      </c>
      <c r="AQ137" s="361">
        <f>'04 Producer Engine'!AQ235</f>
        <v/>
      </c>
      <c r="AR137" s="361">
        <f>SUM(AN137:AQ137)</f>
        <v/>
      </c>
    </row>
    <row r="138" ht="15" customHeight="1" s="290">
      <c r="A138" s="397" t="n"/>
      <c r="B138" s="377" t="inlineStr">
        <is>
          <t xml:space="preserve">  ★ Net D&amp;E GCI</t>
        </is>
      </c>
      <c r="C138" s="378" t="inlineStr">
        <is>
          <t>$K/qtr</t>
        </is>
      </c>
      <c r="D138" s="400" t="inlineStr">
        <is>
          <t xml:space="preserve"> gross d&amp;e gci + book loss adj</t>
        </is>
      </c>
      <c r="E138" s="379">
        <f>E136+E137</f>
        <v/>
      </c>
      <c r="F138" s="379">
        <f>F136+F137</f>
        <v/>
      </c>
      <c r="G138" s="379">
        <f>G136+G137</f>
        <v/>
      </c>
      <c r="H138" s="379">
        <f>H136+H137</f>
        <v/>
      </c>
      <c r="I138" s="379">
        <f>SUM(E138:H138)</f>
        <v/>
      </c>
      <c r="J138" s="379">
        <f>J136+J137</f>
        <v/>
      </c>
      <c r="K138" s="379">
        <f>K136+K137</f>
        <v/>
      </c>
      <c r="L138" s="379">
        <f>L136+L137</f>
        <v/>
      </c>
      <c r="M138" s="379">
        <f>M136+M137</f>
        <v/>
      </c>
      <c r="N138" s="379">
        <f>SUM(J138:M138)</f>
        <v/>
      </c>
      <c r="O138" s="379">
        <f>O136+O137</f>
        <v/>
      </c>
      <c r="P138" s="379">
        <f>P136+P137</f>
        <v/>
      </c>
      <c r="Q138" s="379">
        <f>Q136+Q137</f>
        <v/>
      </c>
      <c r="R138" s="379">
        <f>R136+R137</f>
        <v/>
      </c>
      <c r="S138" s="379">
        <f>SUM(O138:R138)</f>
        <v/>
      </c>
      <c r="T138" s="379">
        <f>T136+T137</f>
        <v/>
      </c>
      <c r="U138" s="379">
        <f>U136+U137</f>
        <v/>
      </c>
      <c r="V138" s="379">
        <f>V136+V137</f>
        <v/>
      </c>
      <c r="W138" s="379">
        <f>W136+W137</f>
        <v/>
      </c>
      <c r="X138" s="379">
        <f>SUM(T138:W138)</f>
        <v/>
      </c>
      <c r="Y138" s="379">
        <f>Y136+Y137</f>
        <v/>
      </c>
      <c r="Z138" s="379">
        <f>Z136+Z137</f>
        <v/>
      </c>
      <c r="AA138" s="379">
        <f>AA136+AA137</f>
        <v/>
      </c>
      <c r="AB138" s="379">
        <f>AB136+AB137</f>
        <v/>
      </c>
      <c r="AC138" s="379">
        <f>SUM(Y138:AB138)</f>
        <v/>
      </c>
      <c r="AD138" s="379">
        <f>AD136+AD137</f>
        <v/>
      </c>
      <c r="AE138" s="379">
        <f>AE136+AE137</f>
        <v/>
      </c>
      <c r="AF138" s="379">
        <f>AF136+AF137</f>
        <v/>
      </c>
      <c r="AG138" s="379">
        <f>AG136+AG137</f>
        <v/>
      </c>
      <c r="AH138" s="379">
        <f>SUM(AD138:AG138)</f>
        <v/>
      </c>
      <c r="AI138" s="379">
        <f>AI136+AI137</f>
        <v/>
      </c>
      <c r="AJ138" s="379">
        <f>AJ136+AJ137</f>
        <v/>
      </c>
      <c r="AK138" s="379">
        <f>AK136+AK137</f>
        <v/>
      </c>
      <c r="AL138" s="379">
        <f>AL136+AL137</f>
        <v/>
      </c>
      <c r="AM138" s="379">
        <f>SUM(AI138:AL138)</f>
        <v/>
      </c>
      <c r="AN138" s="379">
        <f>AN136+AN137</f>
        <v/>
      </c>
      <c r="AO138" s="379">
        <f>AO136+AO137</f>
        <v/>
      </c>
      <c r="AP138" s="379">
        <f>AP136+AP137</f>
        <v/>
      </c>
      <c r="AQ138" s="379">
        <f>AQ136+AQ137</f>
        <v/>
      </c>
      <c r="AR138" s="379">
        <f>SUM(AN138:AQ138)</f>
        <v/>
      </c>
    </row>
    <row r="139" ht="3.75" customHeight="1" s="290"/>
    <row r="140" ht="15" customHeight="1" s="290">
      <c r="A140" s="307" t="inlineStr">
        <is>
          <t xml:space="preserve">    C4 — D&amp;E KPIs</t>
        </is>
      </c>
    </row>
    <row r="141" ht="3" customHeight="1" s="290"/>
    <row r="142" ht="13.5" customHeight="1" s="290">
      <c r="A142" s="395" t="n"/>
      <c r="B142" s="373" t="inlineStr">
        <is>
          <t xml:space="preserve">  Blended D&amp;E Bps</t>
        </is>
      </c>
      <c r="C142" s="374" t="inlineStr">
        <is>
          <t>bps</t>
        </is>
      </c>
      <c r="D142" s="396" t="inlineStr">
        <is>
          <t xml:space="preserve"> net gci($k) ÷ Funded Vol($M) × 10</t>
        </is>
      </c>
      <c r="E142" s="376">
        <f>IFERROR(E138/E125*10,0)</f>
        <v/>
      </c>
      <c r="F142" s="376">
        <f>IFERROR(F138/F125*10,0)</f>
        <v/>
      </c>
      <c r="G142" s="376">
        <f>IFERROR(G138/G125*10,0)</f>
        <v/>
      </c>
      <c r="H142" s="376">
        <f>IFERROR(H138/H125*10,0)</f>
        <v/>
      </c>
      <c r="I142" s="376">
        <f>IFERROR(I138/I125*10,0)</f>
        <v/>
      </c>
      <c r="J142" s="376">
        <f>IFERROR(J138/J125*10,0)</f>
        <v/>
      </c>
      <c r="K142" s="376">
        <f>IFERROR(K138/K125*10,0)</f>
        <v/>
      </c>
      <c r="L142" s="376">
        <f>IFERROR(L138/L125*10,0)</f>
        <v/>
      </c>
      <c r="M142" s="376">
        <f>IFERROR(M138/M125*10,0)</f>
        <v/>
      </c>
      <c r="N142" s="376">
        <f>IFERROR(N138/N125*10,0)</f>
        <v/>
      </c>
      <c r="O142" s="376">
        <f>IFERROR(O138/O125*10,0)</f>
        <v/>
      </c>
      <c r="P142" s="376">
        <f>IFERROR(P138/P125*10,0)</f>
        <v/>
      </c>
      <c r="Q142" s="376">
        <f>IFERROR(Q138/Q125*10,0)</f>
        <v/>
      </c>
      <c r="R142" s="376">
        <f>IFERROR(R138/R125*10,0)</f>
        <v/>
      </c>
      <c r="S142" s="376">
        <f>IFERROR(S138/S125*10,0)</f>
        <v/>
      </c>
      <c r="T142" s="376">
        <f>IFERROR(T138/T125*10,0)</f>
        <v/>
      </c>
      <c r="U142" s="376">
        <f>IFERROR(U138/U125*10,0)</f>
        <v/>
      </c>
      <c r="V142" s="376">
        <f>IFERROR(V138/V125*10,0)</f>
        <v/>
      </c>
      <c r="W142" s="376">
        <f>IFERROR(W138/W125*10,0)</f>
        <v/>
      </c>
      <c r="X142" s="376">
        <f>IFERROR(X138/X125*10,0)</f>
        <v/>
      </c>
      <c r="Y142" s="376">
        <f>IFERROR(Y138/Y125*10,0)</f>
        <v/>
      </c>
      <c r="Z142" s="376">
        <f>IFERROR(Z138/Z125*10,0)</f>
        <v/>
      </c>
      <c r="AA142" s="376">
        <f>IFERROR(AA138/AA125*10,0)</f>
        <v/>
      </c>
      <c r="AB142" s="376">
        <f>IFERROR(AB138/AB125*10,0)</f>
        <v/>
      </c>
      <c r="AC142" s="376">
        <f>IFERROR(AC138/AC125*10,0)</f>
        <v/>
      </c>
      <c r="AD142" s="376">
        <f>IFERROR(AD138/AD125*10,0)</f>
        <v/>
      </c>
      <c r="AE142" s="376">
        <f>IFERROR(AE138/AE125*10,0)</f>
        <v/>
      </c>
      <c r="AF142" s="376">
        <f>IFERROR(AF138/AF125*10,0)</f>
        <v/>
      </c>
      <c r="AG142" s="376">
        <f>IFERROR(AG138/AG125*10,0)</f>
        <v/>
      </c>
      <c r="AH142" s="376">
        <f>IFERROR(AH138/AH125*10,0)</f>
        <v/>
      </c>
      <c r="AI142" s="376">
        <f>IFERROR(AI138/AI125*10,0)</f>
        <v/>
      </c>
      <c r="AJ142" s="376">
        <f>IFERROR(AJ138/AJ125*10,0)</f>
        <v/>
      </c>
      <c r="AK142" s="376">
        <f>IFERROR(AK138/AK125*10,0)</f>
        <v/>
      </c>
      <c r="AL142" s="376">
        <f>IFERROR(AL138/AL125*10,0)</f>
        <v/>
      </c>
      <c r="AM142" s="376">
        <f>IFERROR(AM138/AM125*10,0)</f>
        <v/>
      </c>
      <c r="AN142" s="376">
        <f>IFERROR(AN138/AN125*10,0)</f>
        <v/>
      </c>
      <c r="AO142" s="376">
        <f>IFERROR(AO138/AO125*10,0)</f>
        <v/>
      </c>
      <c r="AP142" s="376">
        <f>IFERROR(AP138/AP125*10,0)</f>
        <v/>
      </c>
      <c r="AQ142" s="376">
        <f>IFERROR(AQ138/AQ125*10,0)</f>
        <v/>
      </c>
      <c r="AR142" s="376">
        <f>IFERROR(AR138/AR125*10,0)</f>
        <v/>
      </c>
    </row>
    <row r="143" ht="13.5" customHeight="1" s="290">
      <c r="A143" s="395" t="n"/>
      <c r="B143" s="373" t="inlineStr">
        <is>
          <t xml:space="preserve">  Actual Pull-Through Rate</t>
        </is>
      </c>
      <c r="C143" s="374" t="inlineStr">
        <is>
          <t>% funded</t>
        </is>
      </c>
      <c r="D143" s="396" t="inlineStr">
        <is>
          <t xml:space="preserve"> funded vol ÷ Gross Vol</t>
        </is>
      </c>
      <c r="E143" s="376">
        <f>IFERROR(E125/E122,0)</f>
        <v/>
      </c>
      <c r="F143" s="376">
        <f>IFERROR(F125/F122,0)</f>
        <v/>
      </c>
      <c r="G143" s="376">
        <f>IFERROR(G125/G122,0)</f>
        <v/>
      </c>
      <c r="H143" s="376">
        <f>IFERROR(H125/H122,0)</f>
        <v/>
      </c>
      <c r="I143" s="376">
        <f>IFERROR(I125/I122,0)</f>
        <v/>
      </c>
      <c r="J143" s="376">
        <f>IFERROR(J125/J122,0)</f>
        <v/>
      </c>
      <c r="K143" s="376">
        <f>IFERROR(K125/K122,0)</f>
        <v/>
      </c>
      <c r="L143" s="376">
        <f>IFERROR(L125/L122,0)</f>
        <v/>
      </c>
      <c r="M143" s="376">
        <f>IFERROR(M125/M122,0)</f>
        <v/>
      </c>
      <c r="N143" s="376">
        <f>IFERROR(N125/N122,0)</f>
        <v/>
      </c>
      <c r="O143" s="376">
        <f>IFERROR(O125/O122,0)</f>
        <v/>
      </c>
      <c r="P143" s="376">
        <f>IFERROR(P125/P122,0)</f>
        <v/>
      </c>
      <c r="Q143" s="376">
        <f>IFERROR(Q125/Q122,0)</f>
        <v/>
      </c>
      <c r="R143" s="376">
        <f>IFERROR(R125/R122,0)</f>
        <v/>
      </c>
      <c r="S143" s="376">
        <f>IFERROR(S125/S122,0)</f>
        <v/>
      </c>
      <c r="T143" s="376">
        <f>IFERROR(T125/T122,0)</f>
        <v/>
      </c>
      <c r="U143" s="376">
        <f>IFERROR(U125/U122,0)</f>
        <v/>
      </c>
      <c r="V143" s="376">
        <f>IFERROR(V125/V122,0)</f>
        <v/>
      </c>
      <c r="W143" s="376">
        <f>IFERROR(W125/W122,0)</f>
        <v/>
      </c>
      <c r="X143" s="376">
        <f>IFERROR(X125/X122,0)</f>
        <v/>
      </c>
      <c r="Y143" s="376">
        <f>IFERROR(Y125/Y122,0)</f>
        <v/>
      </c>
      <c r="Z143" s="376">
        <f>IFERROR(Z125/Z122,0)</f>
        <v/>
      </c>
      <c r="AA143" s="376">
        <f>IFERROR(AA125/AA122,0)</f>
        <v/>
      </c>
      <c r="AB143" s="376">
        <f>IFERROR(AB125/AB122,0)</f>
        <v/>
      </c>
      <c r="AC143" s="376">
        <f>IFERROR(AC125/AC122,0)</f>
        <v/>
      </c>
      <c r="AD143" s="376">
        <f>IFERROR(AD125/AD122,0)</f>
        <v/>
      </c>
      <c r="AE143" s="376">
        <f>IFERROR(AE125/AE122,0)</f>
        <v/>
      </c>
      <c r="AF143" s="376">
        <f>IFERROR(AF125/AF122,0)</f>
        <v/>
      </c>
      <c r="AG143" s="376">
        <f>IFERROR(AG125/AG122,0)</f>
        <v/>
      </c>
      <c r="AH143" s="376">
        <f>IFERROR(AH125/AH122,0)</f>
        <v/>
      </c>
      <c r="AI143" s="376">
        <f>IFERROR(AI125/AI122,0)</f>
        <v/>
      </c>
      <c r="AJ143" s="376">
        <f>IFERROR(AJ125/AJ122,0)</f>
        <v/>
      </c>
      <c r="AK143" s="376">
        <f>IFERROR(AK125/AK122,0)</f>
        <v/>
      </c>
      <c r="AL143" s="376">
        <f>IFERROR(AL125/AL122,0)</f>
        <v/>
      </c>
      <c r="AM143" s="376">
        <f>IFERROR(AM125/AM122,0)</f>
        <v/>
      </c>
      <c r="AN143" s="376">
        <f>IFERROR(AN125/AN122,0)</f>
        <v/>
      </c>
      <c r="AO143" s="376">
        <f>IFERROR(AO125/AO122,0)</f>
        <v/>
      </c>
      <c r="AP143" s="376">
        <f>IFERROR(AP125/AP122,0)</f>
        <v/>
      </c>
      <c r="AQ143" s="376">
        <f>IFERROR(AQ125/AQ122,0)</f>
        <v/>
      </c>
      <c r="AR143" s="376">
        <f>IFERROR(AR125/AR122,0)</f>
        <v/>
      </c>
    </row>
    <row r="144" ht="13.5" customHeight="1" s="290">
      <c r="A144" s="395" t="n"/>
      <c r="B144" s="373" t="inlineStr">
        <is>
          <t xml:space="preserve">  D&amp;E Attachment Rate (D&amp;E GCI ÷ IS GCI)</t>
        </is>
      </c>
      <c r="C144" s="374" t="inlineStr">
        <is>
          <t>ratio</t>
        </is>
      </c>
      <c r="D144" s="396" t="inlineStr">
        <is>
          <t xml:space="preserve"> net d&amp;e gci ÷ Net IS GCI (pipeline attachment indicator)</t>
        </is>
      </c>
      <c r="E144" s="376">
        <f>IFERROR(E138/E88,0)</f>
        <v/>
      </c>
      <c r="F144" s="376">
        <f>IFERROR(F138/F88,0)</f>
        <v/>
      </c>
      <c r="G144" s="376">
        <f>IFERROR(G138/G88,0)</f>
        <v/>
      </c>
      <c r="H144" s="376">
        <f>IFERROR(H138/H88,0)</f>
        <v/>
      </c>
      <c r="I144" s="376">
        <f>IFERROR(I138/I88,0)</f>
        <v/>
      </c>
      <c r="J144" s="376">
        <f>IFERROR(J138/J88,0)</f>
        <v/>
      </c>
      <c r="K144" s="376">
        <f>IFERROR(K138/K88,0)</f>
        <v/>
      </c>
      <c r="L144" s="376">
        <f>IFERROR(L138/L88,0)</f>
        <v/>
      </c>
      <c r="M144" s="376">
        <f>IFERROR(M138/M88,0)</f>
        <v/>
      </c>
      <c r="N144" s="376">
        <f>IFERROR(N138/N88,0)</f>
        <v/>
      </c>
      <c r="O144" s="376">
        <f>IFERROR(O138/O88,0)</f>
        <v/>
      </c>
      <c r="P144" s="376">
        <f>IFERROR(P138/P88,0)</f>
        <v/>
      </c>
      <c r="Q144" s="376">
        <f>IFERROR(Q138/Q88,0)</f>
        <v/>
      </c>
      <c r="R144" s="376">
        <f>IFERROR(R138/R88,0)</f>
        <v/>
      </c>
      <c r="S144" s="376">
        <f>IFERROR(S138/S88,0)</f>
        <v/>
      </c>
      <c r="T144" s="376">
        <f>IFERROR(T138/T88,0)</f>
        <v/>
      </c>
      <c r="U144" s="376">
        <f>IFERROR(U138/U88,0)</f>
        <v/>
      </c>
      <c r="V144" s="376">
        <f>IFERROR(V138/V88,0)</f>
        <v/>
      </c>
      <c r="W144" s="376">
        <f>IFERROR(W138/W88,0)</f>
        <v/>
      </c>
      <c r="X144" s="376">
        <f>IFERROR(X138/X88,0)</f>
        <v/>
      </c>
      <c r="Y144" s="376">
        <f>IFERROR(Y138/Y88,0)</f>
        <v/>
      </c>
      <c r="Z144" s="376">
        <f>IFERROR(Z138/Z88,0)</f>
        <v/>
      </c>
      <c r="AA144" s="376">
        <f>IFERROR(AA138/AA88,0)</f>
        <v/>
      </c>
      <c r="AB144" s="376">
        <f>IFERROR(AB138/AB88,0)</f>
        <v/>
      </c>
      <c r="AC144" s="376">
        <f>IFERROR(AC138/AC88,0)</f>
        <v/>
      </c>
      <c r="AD144" s="376">
        <f>IFERROR(AD138/AD88,0)</f>
        <v/>
      </c>
      <c r="AE144" s="376">
        <f>IFERROR(AE138/AE88,0)</f>
        <v/>
      </c>
      <c r="AF144" s="376">
        <f>IFERROR(AF138/AF88,0)</f>
        <v/>
      </c>
      <c r="AG144" s="376">
        <f>IFERROR(AG138/AG88,0)</f>
        <v/>
      </c>
      <c r="AH144" s="376">
        <f>IFERROR(AH138/AH88,0)</f>
        <v/>
      </c>
      <c r="AI144" s="376">
        <f>IFERROR(AI138/AI88,0)</f>
        <v/>
      </c>
      <c r="AJ144" s="376">
        <f>IFERROR(AJ138/AJ88,0)</f>
        <v/>
      </c>
      <c r="AK144" s="376">
        <f>IFERROR(AK138/AK88,0)</f>
        <v/>
      </c>
      <c r="AL144" s="376">
        <f>IFERROR(AL138/AL88,0)</f>
        <v/>
      </c>
      <c r="AM144" s="376">
        <f>IFERROR(AM138/AM88,0)</f>
        <v/>
      </c>
      <c r="AN144" s="376">
        <f>IFERROR(AN138/AN88,0)</f>
        <v/>
      </c>
      <c r="AO144" s="376">
        <f>IFERROR(AO138/AO88,0)</f>
        <v/>
      </c>
      <c r="AP144" s="376">
        <f>IFERROR(AP138/AP88,0)</f>
        <v/>
      </c>
      <c r="AQ144" s="376">
        <f>IFERROR(AQ138/AQ88,0)</f>
        <v/>
      </c>
      <c r="AR144" s="376">
        <f>IFERROR(AR138/AR88,0)</f>
        <v/>
      </c>
    </row>
    <row r="145" ht="13.5" customHeight="1" s="290">
      <c r="A145" s="395" t="n"/>
      <c r="B145" s="373" t="inlineStr">
        <is>
          <t xml:space="preserve">  Implied D&amp;E Market Share</t>
        </is>
      </c>
      <c r="C145" s="374" t="inlineStr">
        <is>
          <t>% of natl orig</t>
        </is>
      </c>
      <c r="D145" s="396" t="inlineStr">
        <is>
          <t xml:space="preserve"> funded vol($m) ÷ Natl Orig($B×1000)</t>
        </is>
      </c>
      <c r="E145" s="376">
        <f>IFERROR(E125/(E107*1000),0)</f>
        <v/>
      </c>
      <c r="F145" s="376">
        <f>IFERROR(F125/(F107*1000),0)</f>
        <v/>
      </c>
      <c r="G145" s="376">
        <f>IFERROR(G125/(G107*1000),0)</f>
        <v/>
      </c>
      <c r="H145" s="376">
        <f>IFERROR(H125/(H107*1000),0)</f>
        <v/>
      </c>
      <c r="I145" s="376">
        <f>IFERROR(I125/(I107*1000),0)</f>
        <v/>
      </c>
      <c r="J145" s="376">
        <f>IFERROR(J125/(J107*1000),0)</f>
        <v/>
      </c>
      <c r="K145" s="376">
        <f>IFERROR(K125/(K107*1000),0)</f>
        <v/>
      </c>
      <c r="L145" s="376">
        <f>IFERROR(L125/(L107*1000),0)</f>
        <v/>
      </c>
      <c r="M145" s="376">
        <f>IFERROR(M125/(M107*1000),0)</f>
        <v/>
      </c>
      <c r="N145" s="376">
        <f>IFERROR(N125/(N107*1000),0)</f>
        <v/>
      </c>
      <c r="O145" s="376">
        <f>IFERROR(O125/(O107*1000),0)</f>
        <v/>
      </c>
      <c r="P145" s="376">
        <f>IFERROR(P125/(P107*1000),0)</f>
        <v/>
      </c>
      <c r="Q145" s="376">
        <f>IFERROR(Q125/(Q107*1000),0)</f>
        <v/>
      </c>
      <c r="R145" s="376">
        <f>IFERROR(R125/(R107*1000),0)</f>
        <v/>
      </c>
      <c r="S145" s="376">
        <f>IFERROR(S125/(S107*1000),0)</f>
        <v/>
      </c>
      <c r="T145" s="376">
        <f>IFERROR(T125/(T107*1000),0)</f>
        <v/>
      </c>
      <c r="U145" s="376">
        <f>IFERROR(U125/(U107*1000),0)</f>
        <v/>
      </c>
      <c r="V145" s="376">
        <f>IFERROR(V125/(V107*1000),0)</f>
        <v/>
      </c>
      <c r="W145" s="376">
        <f>IFERROR(W125/(W107*1000),0)</f>
        <v/>
      </c>
      <c r="X145" s="376">
        <f>IFERROR(X125/(X107*1000),0)</f>
        <v/>
      </c>
      <c r="Y145" s="376">
        <f>IFERROR(Y125/(Y107*1000),0)</f>
        <v/>
      </c>
      <c r="Z145" s="376">
        <f>IFERROR(Z125/(Z107*1000),0)</f>
        <v/>
      </c>
      <c r="AA145" s="376">
        <f>IFERROR(AA125/(AA107*1000),0)</f>
        <v/>
      </c>
      <c r="AB145" s="376">
        <f>IFERROR(AB125/(AB107*1000),0)</f>
        <v/>
      </c>
      <c r="AC145" s="376">
        <f>IFERROR(AC125/(AC107*1000),0)</f>
        <v/>
      </c>
      <c r="AD145" s="376">
        <f>IFERROR(AD125/(AD107*1000),0)</f>
        <v/>
      </c>
      <c r="AE145" s="376">
        <f>IFERROR(AE125/(AE107*1000),0)</f>
        <v/>
      </c>
      <c r="AF145" s="376">
        <f>IFERROR(AF125/(AF107*1000),0)</f>
        <v/>
      </c>
      <c r="AG145" s="376">
        <f>IFERROR(AG125/(AG107*1000),0)</f>
        <v/>
      </c>
      <c r="AH145" s="376">
        <f>IFERROR(AH125/(AH107*1000),0)</f>
        <v/>
      </c>
      <c r="AI145" s="376">
        <f>IFERROR(AI125/(AI107*1000),0)</f>
        <v/>
      </c>
      <c r="AJ145" s="376">
        <f>IFERROR(AJ125/(AJ107*1000),0)</f>
        <v/>
      </c>
      <c r="AK145" s="376">
        <f>IFERROR(AK125/(AK107*1000),0)</f>
        <v/>
      </c>
      <c r="AL145" s="376">
        <f>IFERROR(AL125/(AL107*1000),0)</f>
        <v/>
      </c>
      <c r="AM145" s="376">
        <f>IFERROR(AM125/(AM107*1000),0)</f>
        <v/>
      </c>
      <c r="AN145" s="376">
        <f>IFERROR(AN125/(AN107*1000),0)</f>
        <v/>
      </c>
      <c r="AO145" s="376">
        <f>IFERROR(AO125/(AO107*1000),0)</f>
        <v/>
      </c>
      <c r="AP145" s="376">
        <f>IFERROR(AP125/(AP107*1000),0)</f>
        <v/>
      </c>
      <c r="AQ145" s="376">
        <f>IFERROR(AQ125/(AQ107*1000),0)</f>
        <v/>
      </c>
      <c r="AR145" s="376">
        <f>IFERROR(AR125/(AR107*1000),0)</f>
        <v/>
      </c>
    </row>
    <row r="146" ht="4.5" customHeight="1" s="290"/>
    <row r="147" ht="3" customHeight="1" s="290">
      <c r="A147" s="293" t="n"/>
    </row>
    <row r="148" ht="4.5" customHeight="1" s="290"/>
    <row r="149" ht="15.75" customHeight="1" s="290">
      <c r="A149" s="338" t="inlineStr">
        <is>
          <t xml:space="preserve">  SECTION D — VALUATION &amp; ADVISORY REVENUE</t>
        </is>
      </c>
    </row>
    <row r="150" ht="3.75" customHeight="1" s="290"/>
    <row r="151" ht="15" customHeight="1" s="290">
      <c r="A151" s="307" t="inlineStr">
        <is>
          <t xml:space="preserve">    D1 — INPUT LINKS</t>
        </is>
      </c>
    </row>
    <row r="152" ht="3" customHeight="1" s="290"/>
    <row r="153" ht="12.75" customHeight="1" s="290">
      <c r="A153" s="348" t="inlineStr">
        <is>
          <t xml:space="preserve">  Advisory uses a capacity/utilization model. Revenue = FTEs × Capacity × Utilization × Billing Rate. No commission splits. Advisory comp is salaried (handled in Tab 06). Countercyclical buffer: utilization may hold or increase in downturns.</t>
        </is>
      </c>
    </row>
    <row r="154" ht="3" customHeight="1" s="290"/>
    <row r="155" ht="13.5" customHeight="1" s="290">
      <c r="A155" s="345" t="n"/>
      <c r="B155" s="370" t="inlineStr">
        <is>
          <t xml:space="preserve">  Advisory Effective FTEs — Senior Appraiser</t>
        </is>
      </c>
      <c r="C155" s="371" t="inlineStr">
        <is>
          <t>FTE</t>
        </is>
      </c>
      <c r="D155" s="404" t="inlineStr">
        <is>
          <t>← Tab 04 row 171 (Advisory EPE Senior Appraiser)</t>
        </is>
      </c>
      <c r="E155" s="361">
        <f>'04 Producer Engine'!E171</f>
        <v/>
      </c>
      <c r="F155" s="361">
        <f>'04 Producer Engine'!F171</f>
        <v/>
      </c>
      <c r="G155" s="361">
        <f>'04 Producer Engine'!G171</f>
        <v/>
      </c>
      <c r="H155" s="361">
        <f>'04 Producer Engine'!H171</f>
        <v/>
      </c>
      <c r="I155" s="405">
        <f>AVERAGE(E155:H155)</f>
        <v/>
      </c>
      <c r="J155" s="361">
        <f>'04 Producer Engine'!J171</f>
        <v/>
      </c>
      <c r="K155" s="361">
        <f>'04 Producer Engine'!K171</f>
        <v/>
      </c>
      <c r="L155" s="361">
        <f>'04 Producer Engine'!L171</f>
        <v/>
      </c>
      <c r="M155" s="361">
        <f>'04 Producer Engine'!M171</f>
        <v/>
      </c>
      <c r="N155" s="405">
        <f>AVERAGE(J155:M155)</f>
        <v/>
      </c>
      <c r="O155" s="361">
        <f>'04 Producer Engine'!O171</f>
        <v/>
      </c>
      <c r="P155" s="361">
        <f>'04 Producer Engine'!P171</f>
        <v/>
      </c>
      <c r="Q155" s="361">
        <f>'04 Producer Engine'!Q171</f>
        <v/>
      </c>
      <c r="R155" s="361">
        <f>'04 Producer Engine'!R171</f>
        <v/>
      </c>
      <c r="S155" s="405">
        <f>AVERAGE(O155:R155)</f>
        <v/>
      </c>
      <c r="T155" s="361">
        <f>'04 Producer Engine'!T171</f>
        <v/>
      </c>
      <c r="U155" s="361">
        <f>'04 Producer Engine'!U171</f>
        <v/>
      </c>
      <c r="V155" s="361">
        <f>'04 Producer Engine'!V171</f>
        <v/>
      </c>
      <c r="W155" s="361">
        <f>'04 Producer Engine'!W171</f>
        <v/>
      </c>
      <c r="X155" s="405">
        <f>AVERAGE(T155:W155)</f>
        <v/>
      </c>
      <c r="Y155" s="361">
        <f>'04 Producer Engine'!Y171</f>
        <v/>
      </c>
      <c r="Z155" s="361">
        <f>'04 Producer Engine'!Z171</f>
        <v/>
      </c>
      <c r="AA155" s="361">
        <f>'04 Producer Engine'!AA171</f>
        <v/>
      </c>
      <c r="AB155" s="361">
        <f>'04 Producer Engine'!AB171</f>
        <v/>
      </c>
      <c r="AC155" s="405">
        <f>AVERAGE(Y155:AB155)</f>
        <v/>
      </c>
      <c r="AD155" s="361">
        <f>'04 Producer Engine'!AD171</f>
        <v/>
      </c>
      <c r="AE155" s="361">
        <f>'04 Producer Engine'!AE171</f>
        <v/>
      </c>
      <c r="AF155" s="361">
        <f>'04 Producer Engine'!AF171</f>
        <v/>
      </c>
      <c r="AG155" s="361">
        <f>'04 Producer Engine'!AG171</f>
        <v/>
      </c>
      <c r="AH155" s="405">
        <f>AVERAGE(AD155:AG155)</f>
        <v/>
      </c>
      <c r="AI155" s="361">
        <f>'04 Producer Engine'!AI171</f>
        <v/>
      </c>
      <c r="AJ155" s="361">
        <f>'04 Producer Engine'!AJ171</f>
        <v/>
      </c>
      <c r="AK155" s="361">
        <f>'04 Producer Engine'!AK171</f>
        <v/>
      </c>
      <c r="AL155" s="361">
        <f>'04 Producer Engine'!AL171</f>
        <v/>
      </c>
      <c r="AM155" s="405">
        <f>AVERAGE(AI155:AL155)</f>
        <v/>
      </c>
      <c r="AN155" s="361">
        <f>'04 Producer Engine'!AN171</f>
        <v/>
      </c>
      <c r="AO155" s="361">
        <f>'04 Producer Engine'!AO171</f>
        <v/>
      </c>
      <c r="AP155" s="361">
        <f>'04 Producer Engine'!AP171</f>
        <v/>
      </c>
      <c r="AQ155" s="361">
        <f>'04 Producer Engine'!AQ171</f>
        <v/>
      </c>
      <c r="AR155" s="405">
        <f>AVERAGE(AN155:AQ155)</f>
        <v/>
      </c>
    </row>
    <row r="156" ht="13.5" customHeight="1" s="290">
      <c r="A156" s="345" t="n"/>
      <c r="B156" s="370" t="inlineStr">
        <is>
          <t xml:space="preserve">  Advisory Effective FTEs — Appraiser</t>
        </is>
      </c>
      <c r="C156" s="371" t="inlineStr">
        <is>
          <t>FTE</t>
        </is>
      </c>
      <c r="D156" s="404" t="inlineStr">
        <is>
          <t>← Tab 04 row 181 (Advisory EPE Appraiser)</t>
        </is>
      </c>
      <c r="E156" s="361">
        <f>'04 Producer Engine'!E181</f>
        <v/>
      </c>
      <c r="F156" s="361">
        <f>'04 Producer Engine'!F181</f>
        <v/>
      </c>
      <c r="G156" s="361">
        <f>'04 Producer Engine'!G181</f>
        <v/>
      </c>
      <c r="H156" s="361">
        <f>'04 Producer Engine'!H181</f>
        <v/>
      </c>
      <c r="I156" s="405">
        <f>AVERAGE(E156:H156)</f>
        <v/>
      </c>
      <c r="J156" s="361">
        <f>'04 Producer Engine'!J181</f>
        <v/>
      </c>
      <c r="K156" s="361">
        <f>'04 Producer Engine'!K181</f>
        <v/>
      </c>
      <c r="L156" s="361">
        <f>'04 Producer Engine'!L181</f>
        <v/>
      </c>
      <c r="M156" s="361">
        <f>'04 Producer Engine'!M181</f>
        <v/>
      </c>
      <c r="N156" s="405">
        <f>AVERAGE(J156:M156)</f>
        <v/>
      </c>
      <c r="O156" s="361">
        <f>'04 Producer Engine'!O181</f>
        <v/>
      </c>
      <c r="P156" s="361">
        <f>'04 Producer Engine'!P181</f>
        <v/>
      </c>
      <c r="Q156" s="361">
        <f>'04 Producer Engine'!Q181</f>
        <v/>
      </c>
      <c r="R156" s="361">
        <f>'04 Producer Engine'!R181</f>
        <v/>
      </c>
      <c r="S156" s="405">
        <f>AVERAGE(O156:R156)</f>
        <v/>
      </c>
      <c r="T156" s="361">
        <f>'04 Producer Engine'!T181</f>
        <v/>
      </c>
      <c r="U156" s="361">
        <f>'04 Producer Engine'!U181</f>
        <v/>
      </c>
      <c r="V156" s="361">
        <f>'04 Producer Engine'!V181</f>
        <v/>
      </c>
      <c r="W156" s="361">
        <f>'04 Producer Engine'!W181</f>
        <v/>
      </c>
      <c r="X156" s="405">
        <f>AVERAGE(T156:W156)</f>
        <v/>
      </c>
      <c r="Y156" s="361">
        <f>'04 Producer Engine'!Y181</f>
        <v/>
      </c>
      <c r="Z156" s="361">
        <f>'04 Producer Engine'!Z181</f>
        <v/>
      </c>
      <c r="AA156" s="361">
        <f>'04 Producer Engine'!AA181</f>
        <v/>
      </c>
      <c r="AB156" s="361">
        <f>'04 Producer Engine'!AB181</f>
        <v/>
      </c>
      <c r="AC156" s="405">
        <f>AVERAGE(Y156:AB156)</f>
        <v/>
      </c>
      <c r="AD156" s="361">
        <f>'04 Producer Engine'!AD181</f>
        <v/>
      </c>
      <c r="AE156" s="361">
        <f>'04 Producer Engine'!AE181</f>
        <v/>
      </c>
      <c r="AF156" s="361">
        <f>'04 Producer Engine'!AF181</f>
        <v/>
      </c>
      <c r="AG156" s="361">
        <f>'04 Producer Engine'!AG181</f>
        <v/>
      </c>
      <c r="AH156" s="405">
        <f>AVERAGE(AD156:AG156)</f>
        <v/>
      </c>
      <c r="AI156" s="361">
        <f>'04 Producer Engine'!AI181</f>
        <v/>
      </c>
      <c r="AJ156" s="361">
        <f>'04 Producer Engine'!AJ181</f>
        <v/>
      </c>
      <c r="AK156" s="361">
        <f>'04 Producer Engine'!AK181</f>
        <v/>
      </c>
      <c r="AL156" s="361">
        <f>'04 Producer Engine'!AL181</f>
        <v/>
      </c>
      <c r="AM156" s="405">
        <f>AVERAGE(AI156:AL156)</f>
        <v/>
      </c>
      <c r="AN156" s="361">
        <f>'04 Producer Engine'!AN181</f>
        <v/>
      </c>
      <c r="AO156" s="361">
        <f>'04 Producer Engine'!AO181</f>
        <v/>
      </c>
      <c r="AP156" s="361">
        <f>'04 Producer Engine'!AP181</f>
        <v/>
      </c>
      <c r="AQ156" s="361">
        <f>'04 Producer Engine'!AQ181</f>
        <v/>
      </c>
      <c r="AR156" s="405">
        <f>AVERAGE(AN156:AQ156)</f>
        <v/>
      </c>
    </row>
    <row r="157" ht="13.5" customHeight="1" s="290">
      <c r="A157" s="345" t="n"/>
      <c r="B157" s="370" t="inlineStr">
        <is>
          <t xml:space="preserve">  Advisory Effective FTEs — Analyst</t>
        </is>
      </c>
      <c r="C157" s="371" t="inlineStr">
        <is>
          <t>FTE</t>
        </is>
      </c>
      <c r="D157" s="404" t="inlineStr">
        <is>
          <t>← Tab 04 row 191 (Advisory EPE Analyst)</t>
        </is>
      </c>
      <c r="E157" s="361">
        <f>'04 Producer Engine'!E191</f>
        <v/>
      </c>
      <c r="F157" s="361">
        <f>'04 Producer Engine'!F191</f>
        <v/>
      </c>
      <c r="G157" s="361">
        <f>'04 Producer Engine'!G191</f>
        <v/>
      </c>
      <c r="H157" s="361">
        <f>'04 Producer Engine'!H191</f>
        <v/>
      </c>
      <c r="I157" s="405">
        <f>AVERAGE(E157:H157)</f>
        <v/>
      </c>
      <c r="J157" s="361">
        <f>'04 Producer Engine'!J191</f>
        <v/>
      </c>
      <c r="K157" s="361">
        <f>'04 Producer Engine'!K191</f>
        <v/>
      </c>
      <c r="L157" s="361">
        <f>'04 Producer Engine'!L191</f>
        <v/>
      </c>
      <c r="M157" s="361">
        <f>'04 Producer Engine'!M191</f>
        <v/>
      </c>
      <c r="N157" s="405">
        <f>AVERAGE(J157:M157)</f>
        <v/>
      </c>
      <c r="O157" s="361">
        <f>'04 Producer Engine'!O191</f>
        <v/>
      </c>
      <c r="P157" s="361">
        <f>'04 Producer Engine'!P191</f>
        <v/>
      </c>
      <c r="Q157" s="361">
        <f>'04 Producer Engine'!Q191</f>
        <v/>
      </c>
      <c r="R157" s="361">
        <f>'04 Producer Engine'!R191</f>
        <v/>
      </c>
      <c r="S157" s="405">
        <f>AVERAGE(O157:R157)</f>
        <v/>
      </c>
      <c r="T157" s="361">
        <f>'04 Producer Engine'!T191</f>
        <v/>
      </c>
      <c r="U157" s="361">
        <f>'04 Producer Engine'!U191</f>
        <v/>
      </c>
      <c r="V157" s="361">
        <f>'04 Producer Engine'!V191</f>
        <v/>
      </c>
      <c r="W157" s="361">
        <f>'04 Producer Engine'!W191</f>
        <v/>
      </c>
      <c r="X157" s="405">
        <f>AVERAGE(T157:W157)</f>
        <v/>
      </c>
      <c r="Y157" s="361">
        <f>'04 Producer Engine'!Y191</f>
        <v/>
      </c>
      <c r="Z157" s="361">
        <f>'04 Producer Engine'!Z191</f>
        <v/>
      </c>
      <c r="AA157" s="361">
        <f>'04 Producer Engine'!AA191</f>
        <v/>
      </c>
      <c r="AB157" s="361">
        <f>'04 Producer Engine'!AB191</f>
        <v/>
      </c>
      <c r="AC157" s="405">
        <f>AVERAGE(Y157:AB157)</f>
        <v/>
      </c>
      <c r="AD157" s="361">
        <f>'04 Producer Engine'!AD191</f>
        <v/>
      </c>
      <c r="AE157" s="361">
        <f>'04 Producer Engine'!AE191</f>
        <v/>
      </c>
      <c r="AF157" s="361">
        <f>'04 Producer Engine'!AF191</f>
        <v/>
      </c>
      <c r="AG157" s="361">
        <f>'04 Producer Engine'!AG191</f>
        <v/>
      </c>
      <c r="AH157" s="405">
        <f>AVERAGE(AD157:AG157)</f>
        <v/>
      </c>
      <c r="AI157" s="361">
        <f>'04 Producer Engine'!AI191</f>
        <v/>
      </c>
      <c r="AJ157" s="361">
        <f>'04 Producer Engine'!AJ191</f>
        <v/>
      </c>
      <c r="AK157" s="361">
        <f>'04 Producer Engine'!AK191</f>
        <v/>
      </c>
      <c r="AL157" s="361">
        <f>'04 Producer Engine'!AL191</f>
        <v/>
      </c>
      <c r="AM157" s="405">
        <f>AVERAGE(AI157:AL157)</f>
        <v/>
      </c>
      <c r="AN157" s="361">
        <f>'04 Producer Engine'!AN191</f>
        <v/>
      </c>
      <c r="AO157" s="361">
        <f>'04 Producer Engine'!AO191</f>
        <v/>
      </c>
      <c r="AP157" s="361">
        <f>'04 Producer Engine'!AP191</f>
        <v/>
      </c>
      <c r="AQ157" s="361">
        <f>'04 Producer Engine'!AQ191</f>
        <v/>
      </c>
      <c r="AR157" s="405">
        <f>AVERAGE(AN157:AQ157)</f>
        <v/>
      </c>
    </row>
    <row r="158" ht="13.5" customHeight="1" s="290">
      <c r="A158" s="345" t="n"/>
      <c r="B158" s="370" t="inlineStr">
        <is>
          <t xml:space="preserve">  Advisory Utilization % (Active)</t>
        </is>
      </c>
      <c r="C158" s="371" t="inlineStr">
        <is>
          <t>% utilized</t>
        </is>
      </c>
      <c r="D158" s="394" t="inlineStr">
        <is>
          <t>← Tab 03 row 235 Active</t>
        </is>
      </c>
      <c r="E158" s="361">
        <f>'03 Operational Assumptions'!E235</f>
        <v/>
      </c>
      <c r="F158" s="361">
        <f>'03 Operational Assumptions'!F235</f>
        <v/>
      </c>
      <c r="G158" s="361">
        <f>'03 Operational Assumptions'!G235</f>
        <v/>
      </c>
      <c r="H158" s="361">
        <f>'03 Operational Assumptions'!H235</f>
        <v/>
      </c>
      <c r="I158" s="361">
        <f>AVERAGE(E158:H158)</f>
        <v/>
      </c>
      <c r="J158" s="361">
        <f>'03 Operational Assumptions'!J235</f>
        <v/>
      </c>
      <c r="K158" s="361">
        <f>'03 Operational Assumptions'!K235</f>
        <v/>
      </c>
      <c r="L158" s="361">
        <f>'03 Operational Assumptions'!L235</f>
        <v/>
      </c>
      <c r="M158" s="361">
        <f>'03 Operational Assumptions'!M235</f>
        <v/>
      </c>
      <c r="N158" s="361">
        <f>AVERAGE(J158:M158)</f>
        <v/>
      </c>
      <c r="O158" s="361">
        <f>'03 Operational Assumptions'!O235</f>
        <v/>
      </c>
      <c r="P158" s="361">
        <f>'03 Operational Assumptions'!P235</f>
        <v/>
      </c>
      <c r="Q158" s="361">
        <f>'03 Operational Assumptions'!Q235</f>
        <v/>
      </c>
      <c r="R158" s="361">
        <f>'03 Operational Assumptions'!R235</f>
        <v/>
      </c>
      <c r="S158" s="361">
        <f>AVERAGE(O158:R158)</f>
        <v/>
      </c>
      <c r="T158" s="361">
        <f>'03 Operational Assumptions'!T235</f>
        <v/>
      </c>
      <c r="U158" s="361">
        <f>'03 Operational Assumptions'!U235</f>
        <v/>
      </c>
      <c r="V158" s="361">
        <f>'03 Operational Assumptions'!V235</f>
        <v/>
      </c>
      <c r="W158" s="361">
        <f>'03 Operational Assumptions'!W235</f>
        <v/>
      </c>
      <c r="X158" s="361">
        <f>AVERAGE(T158:W158)</f>
        <v/>
      </c>
      <c r="Y158" s="361">
        <f>'03 Operational Assumptions'!Y235</f>
        <v/>
      </c>
      <c r="Z158" s="361">
        <f>'03 Operational Assumptions'!Z235</f>
        <v/>
      </c>
      <c r="AA158" s="361">
        <f>'03 Operational Assumptions'!AA235</f>
        <v/>
      </c>
      <c r="AB158" s="361">
        <f>'03 Operational Assumptions'!AB235</f>
        <v/>
      </c>
      <c r="AC158" s="361">
        <f>AVERAGE(Y158:AB158)</f>
        <v/>
      </c>
      <c r="AD158" s="361">
        <f>'03 Operational Assumptions'!AD235</f>
        <v/>
      </c>
      <c r="AE158" s="361">
        <f>'03 Operational Assumptions'!AE235</f>
        <v/>
      </c>
      <c r="AF158" s="361">
        <f>'03 Operational Assumptions'!AF235</f>
        <v/>
      </c>
      <c r="AG158" s="361">
        <f>'03 Operational Assumptions'!AG235</f>
        <v/>
      </c>
      <c r="AH158" s="361">
        <f>AVERAGE(AD158:AG158)</f>
        <v/>
      </c>
      <c r="AI158" s="361">
        <f>'03 Operational Assumptions'!AI235</f>
        <v/>
      </c>
      <c r="AJ158" s="361">
        <f>'03 Operational Assumptions'!AJ235</f>
        <v/>
      </c>
      <c r="AK158" s="361">
        <f>'03 Operational Assumptions'!AK235</f>
        <v/>
      </c>
      <c r="AL158" s="361">
        <f>'03 Operational Assumptions'!AL235</f>
        <v/>
      </c>
      <c r="AM158" s="361">
        <f>AVERAGE(AI158:AL158)</f>
        <v/>
      </c>
      <c r="AN158" s="361">
        <f>'03 Operational Assumptions'!AN235</f>
        <v/>
      </c>
      <c r="AO158" s="361">
        <f>'03 Operational Assumptions'!AO235</f>
        <v/>
      </c>
      <c r="AP158" s="361">
        <f>'03 Operational Assumptions'!AP235</f>
        <v/>
      </c>
      <c r="AQ158" s="361">
        <f>'03 Operational Assumptions'!AQ235</f>
        <v/>
      </c>
      <c r="AR158" s="361">
        <f>AVERAGE(AN158:AQ158)</f>
        <v/>
      </c>
    </row>
    <row r="159" ht="13.5" customHeight="1" s="290">
      <c r="A159" s="345" t="n"/>
      <c r="B159" s="370" t="inlineStr">
        <is>
          <t xml:space="preserve">  Billable Hours Capacity per FTE per Qtr</t>
        </is>
      </c>
      <c r="C159" s="371" t="inlineStr">
        <is>
          <t>hrs/FTE/qtr</t>
        </is>
      </c>
      <c r="D159" s="394" t="inlineStr">
        <is>
          <t>← Tab 03 row 237</t>
        </is>
      </c>
      <c r="E159" s="361">
        <f>'03 Operational Assumptions'!E237</f>
        <v/>
      </c>
      <c r="F159" s="361">
        <f>'03 Operational Assumptions'!F237</f>
        <v/>
      </c>
      <c r="G159" s="361">
        <f>'03 Operational Assumptions'!G237</f>
        <v/>
      </c>
      <c r="H159" s="361">
        <f>'03 Operational Assumptions'!H237</f>
        <v/>
      </c>
      <c r="I159" s="361">
        <f>AVERAGE(E159:H159)</f>
        <v/>
      </c>
      <c r="J159" s="361">
        <f>'03 Operational Assumptions'!J237</f>
        <v/>
      </c>
      <c r="K159" s="361">
        <f>'03 Operational Assumptions'!K237</f>
        <v/>
      </c>
      <c r="L159" s="361">
        <f>'03 Operational Assumptions'!L237</f>
        <v/>
      </c>
      <c r="M159" s="361">
        <f>'03 Operational Assumptions'!M237</f>
        <v/>
      </c>
      <c r="N159" s="361">
        <f>AVERAGE(J159:M159)</f>
        <v/>
      </c>
      <c r="O159" s="361">
        <f>'03 Operational Assumptions'!O237</f>
        <v/>
      </c>
      <c r="P159" s="361">
        <f>'03 Operational Assumptions'!P237</f>
        <v/>
      </c>
      <c r="Q159" s="361">
        <f>'03 Operational Assumptions'!Q237</f>
        <v/>
      </c>
      <c r="R159" s="361">
        <f>'03 Operational Assumptions'!R237</f>
        <v/>
      </c>
      <c r="S159" s="361">
        <f>AVERAGE(O159:R159)</f>
        <v/>
      </c>
      <c r="T159" s="361">
        <f>'03 Operational Assumptions'!T237</f>
        <v/>
      </c>
      <c r="U159" s="361">
        <f>'03 Operational Assumptions'!U237</f>
        <v/>
      </c>
      <c r="V159" s="361">
        <f>'03 Operational Assumptions'!V237</f>
        <v/>
      </c>
      <c r="W159" s="361">
        <f>'03 Operational Assumptions'!W237</f>
        <v/>
      </c>
      <c r="X159" s="361">
        <f>AVERAGE(T159:W159)</f>
        <v/>
      </c>
      <c r="Y159" s="361">
        <f>'03 Operational Assumptions'!Y237</f>
        <v/>
      </c>
      <c r="Z159" s="361">
        <f>'03 Operational Assumptions'!Z237</f>
        <v/>
      </c>
      <c r="AA159" s="361">
        <f>'03 Operational Assumptions'!AA237</f>
        <v/>
      </c>
      <c r="AB159" s="361">
        <f>'03 Operational Assumptions'!AB237</f>
        <v/>
      </c>
      <c r="AC159" s="361">
        <f>AVERAGE(Y159:AB159)</f>
        <v/>
      </c>
      <c r="AD159" s="361">
        <f>'03 Operational Assumptions'!AD237</f>
        <v/>
      </c>
      <c r="AE159" s="361">
        <f>'03 Operational Assumptions'!AE237</f>
        <v/>
      </c>
      <c r="AF159" s="361">
        <f>'03 Operational Assumptions'!AF237</f>
        <v/>
      </c>
      <c r="AG159" s="361">
        <f>'03 Operational Assumptions'!AG237</f>
        <v/>
      </c>
      <c r="AH159" s="361">
        <f>AVERAGE(AD159:AG159)</f>
        <v/>
      </c>
      <c r="AI159" s="361">
        <f>'03 Operational Assumptions'!AI237</f>
        <v/>
      </c>
      <c r="AJ159" s="361">
        <f>'03 Operational Assumptions'!AJ237</f>
        <v/>
      </c>
      <c r="AK159" s="361">
        <f>'03 Operational Assumptions'!AK237</f>
        <v/>
      </c>
      <c r="AL159" s="361">
        <f>'03 Operational Assumptions'!AL237</f>
        <v/>
      </c>
      <c r="AM159" s="361">
        <f>AVERAGE(AI159:AL159)</f>
        <v/>
      </c>
      <c r="AN159" s="361">
        <f>'03 Operational Assumptions'!AN237</f>
        <v/>
      </c>
      <c r="AO159" s="361">
        <f>'03 Operational Assumptions'!AO237</f>
        <v/>
      </c>
      <c r="AP159" s="361">
        <f>'03 Operational Assumptions'!AP237</f>
        <v/>
      </c>
      <c r="AQ159" s="361">
        <f>'03 Operational Assumptions'!AQ237</f>
        <v/>
      </c>
      <c r="AR159" s="361">
        <f>AVERAGE(AN159:AQ159)</f>
        <v/>
      </c>
    </row>
    <row r="160" ht="13.5" customHeight="1" s="290">
      <c r="A160" s="345" t="n"/>
      <c r="B160" s="370" t="inlineStr">
        <is>
          <t xml:space="preserve">  Billing Rate — Senior Appraiser</t>
        </is>
      </c>
      <c r="C160" s="371" t="inlineStr">
        <is>
          <t>$/hr</t>
        </is>
      </c>
      <c r="D160" s="394" t="inlineStr">
        <is>
          <t>← Tab 03 row 238</t>
        </is>
      </c>
      <c r="E160" s="361">
        <f>'03 Operational Assumptions'!E238</f>
        <v/>
      </c>
      <c r="F160" s="361">
        <f>'03 Operational Assumptions'!F238</f>
        <v/>
      </c>
      <c r="G160" s="361">
        <f>'03 Operational Assumptions'!G238</f>
        <v/>
      </c>
      <c r="H160" s="361">
        <f>'03 Operational Assumptions'!H238</f>
        <v/>
      </c>
      <c r="I160" s="361">
        <f>AVERAGE(E160:H160)</f>
        <v/>
      </c>
      <c r="J160" s="361">
        <f>'03 Operational Assumptions'!J238</f>
        <v/>
      </c>
      <c r="K160" s="361">
        <f>'03 Operational Assumptions'!K238</f>
        <v/>
      </c>
      <c r="L160" s="361">
        <f>'03 Operational Assumptions'!L238</f>
        <v/>
      </c>
      <c r="M160" s="361">
        <f>'03 Operational Assumptions'!M238</f>
        <v/>
      </c>
      <c r="N160" s="361">
        <f>AVERAGE(J160:M160)</f>
        <v/>
      </c>
      <c r="O160" s="361">
        <f>'03 Operational Assumptions'!O238</f>
        <v/>
      </c>
      <c r="P160" s="361">
        <f>'03 Operational Assumptions'!P238</f>
        <v/>
      </c>
      <c r="Q160" s="361">
        <f>'03 Operational Assumptions'!Q238</f>
        <v/>
      </c>
      <c r="R160" s="361">
        <f>'03 Operational Assumptions'!R238</f>
        <v/>
      </c>
      <c r="S160" s="361">
        <f>AVERAGE(O160:R160)</f>
        <v/>
      </c>
      <c r="T160" s="361">
        <f>'03 Operational Assumptions'!T238</f>
        <v/>
      </c>
      <c r="U160" s="361">
        <f>'03 Operational Assumptions'!U238</f>
        <v/>
      </c>
      <c r="V160" s="361">
        <f>'03 Operational Assumptions'!V238</f>
        <v/>
      </c>
      <c r="W160" s="361">
        <f>'03 Operational Assumptions'!W238</f>
        <v/>
      </c>
      <c r="X160" s="361">
        <f>AVERAGE(T160:W160)</f>
        <v/>
      </c>
      <c r="Y160" s="361">
        <f>'03 Operational Assumptions'!Y238</f>
        <v/>
      </c>
      <c r="Z160" s="361">
        <f>'03 Operational Assumptions'!Z238</f>
        <v/>
      </c>
      <c r="AA160" s="361">
        <f>'03 Operational Assumptions'!AA238</f>
        <v/>
      </c>
      <c r="AB160" s="361">
        <f>'03 Operational Assumptions'!AB238</f>
        <v/>
      </c>
      <c r="AC160" s="361">
        <f>AVERAGE(Y160:AB160)</f>
        <v/>
      </c>
      <c r="AD160" s="361">
        <f>'03 Operational Assumptions'!AD238</f>
        <v/>
      </c>
      <c r="AE160" s="361">
        <f>'03 Operational Assumptions'!AE238</f>
        <v/>
      </c>
      <c r="AF160" s="361">
        <f>'03 Operational Assumptions'!AF238</f>
        <v/>
      </c>
      <c r="AG160" s="361">
        <f>'03 Operational Assumptions'!AG238</f>
        <v/>
      </c>
      <c r="AH160" s="361">
        <f>AVERAGE(AD160:AG160)</f>
        <v/>
      </c>
      <c r="AI160" s="361">
        <f>'03 Operational Assumptions'!AI238</f>
        <v/>
      </c>
      <c r="AJ160" s="361">
        <f>'03 Operational Assumptions'!AJ238</f>
        <v/>
      </c>
      <c r="AK160" s="361">
        <f>'03 Operational Assumptions'!AK238</f>
        <v/>
      </c>
      <c r="AL160" s="361">
        <f>'03 Operational Assumptions'!AL238</f>
        <v/>
      </c>
      <c r="AM160" s="361">
        <f>AVERAGE(AI160:AL160)</f>
        <v/>
      </c>
      <c r="AN160" s="361">
        <f>'03 Operational Assumptions'!AN238</f>
        <v/>
      </c>
      <c r="AO160" s="361">
        <f>'03 Operational Assumptions'!AO238</f>
        <v/>
      </c>
      <c r="AP160" s="361">
        <f>'03 Operational Assumptions'!AP238</f>
        <v/>
      </c>
      <c r="AQ160" s="361">
        <f>'03 Operational Assumptions'!AQ238</f>
        <v/>
      </c>
      <c r="AR160" s="361">
        <f>AVERAGE(AN160:AQ160)</f>
        <v/>
      </c>
    </row>
    <row r="161" ht="13.5" customHeight="1" s="290">
      <c r="A161" s="345" t="n"/>
      <c r="B161" s="370" t="inlineStr">
        <is>
          <t xml:space="preserve">  Billing Rate — Appraiser</t>
        </is>
      </c>
      <c r="C161" s="371" t="inlineStr">
        <is>
          <t>$/hr</t>
        </is>
      </c>
      <c r="D161" s="394" t="inlineStr">
        <is>
          <t>← Tab 03 row 239</t>
        </is>
      </c>
      <c r="E161" s="361">
        <f>'03 Operational Assumptions'!E239</f>
        <v/>
      </c>
      <c r="F161" s="361">
        <f>'03 Operational Assumptions'!F239</f>
        <v/>
      </c>
      <c r="G161" s="361">
        <f>'03 Operational Assumptions'!G239</f>
        <v/>
      </c>
      <c r="H161" s="361">
        <f>'03 Operational Assumptions'!H239</f>
        <v/>
      </c>
      <c r="I161" s="361">
        <f>AVERAGE(E161:H161)</f>
        <v/>
      </c>
      <c r="J161" s="361">
        <f>'03 Operational Assumptions'!J239</f>
        <v/>
      </c>
      <c r="K161" s="361">
        <f>'03 Operational Assumptions'!K239</f>
        <v/>
      </c>
      <c r="L161" s="361">
        <f>'03 Operational Assumptions'!L239</f>
        <v/>
      </c>
      <c r="M161" s="361">
        <f>'03 Operational Assumptions'!M239</f>
        <v/>
      </c>
      <c r="N161" s="361">
        <f>AVERAGE(J161:M161)</f>
        <v/>
      </c>
      <c r="O161" s="361">
        <f>'03 Operational Assumptions'!O239</f>
        <v/>
      </c>
      <c r="P161" s="361">
        <f>'03 Operational Assumptions'!P239</f>
        <v/>
      </c>
      <c r="Q161" s="361">
        <f>'03 Operational Assumptions'!Q239</f>
        <v/>
      </c>
      <c r="R161" s="361">
        <f>'03 Operational Assumptions'!R239</f>
        <v/>
      </c>
      <c r="S161" s="361">
        <f>AVERAGE(O161:R161)</f>
        <v/>
      </c>
      <c r="T161" s="361">
        <f>'03 Operational Assumptions'!T239</f>
        <v/>
      </c>
      <c r="U161" s="361">
        <f>'03 Operational Assumptions'!U239</f>
        <v/>
      </c>
      <c r="V161" s="361">
        <f>'03 Operational Assumptions'!V239</f>
        <v/>
      </c>
      <c r="W161" s="361">
        <f>'03 Operational Assumptions'!W239</f>
        <v/>
      </c>
      <c r="X161" s="361">
        <f>AVERAGE(T161:W161)</f>
        <v/>
      </c>
      <c r="Y161" s="361">
        <f>'03 Operational Assumptions'!Y239</f>
        <v/>
      </c>
      <c r="Z161" s="361">
        <f>'03 Operational Assumptions'!Z239</f>
        <v/>
      </c>
      <c r="AA161" s="361">
        <f>'03 Operational Assumptions'!AA239</f>
        <v/>
      </c>
      <c r="AB161" s="361">
        <f>'03 Operational Assumptions'!AB239</f>
        <v/>
      </c>
      <c r="AC161" s="361">
        <f>AVERAGE(Y161:AB161)</f>
        <v/>
      </c>
      <c r="AD161" s="361">
        <f>'03 Operational Assumptions'!AD239</f>
        <v/>
      </c>
      <c r="AE161" s="361">
        <f>'03 Operational Assumptions'!AE239</f>
        <v/>
      </c>
      <c r="AF161" s="361">
        <f>'03 Operational Assumptions'!AF239</f>
        <v/>
      </c>
      <c r="AG161" s="361">
        <f>'03 Operational Assumptions'!AG239</f>
        <v/>
      </c>
      <c r="AH161" s="361">
        <f>AVERAGE(AD161:AG161)</f>
        <v/>
      </c>
      <c r="AI161" s="361">
        <f>'03 Operational Assumptions'!AI239</f>
        <v/>
      </c>
      <c r="AJ161" s="361">
        <f>'03 Operational Assumptions'!AJ239</f>
        <v/>
      </c>
      <c r="AK161" s="361">
        <f>'03 Operational Assumptions'!AK239</f>
        <v/>
      </c>
      <c r="AL161" s="361">
        <f>'03 Operational Assumptions'!AL239</f>
        <v/>
      </c>
      <c r="AM161" s="361">
        <f>AVERAGE(AI161:AL161)</f>
        <v/>
      </c>
      <c r="AN161" s="361">
        <f>'03 Operational Assumptions'!AN239</f>
        <v/>
      </c>
      <c r="AO161" s="361">
        <f>'03 Operational Assumptions'!AO239</f>
        <v/>
      </c>
      <c r="AP161" s="361">
        <f>'03 Operational Assumptions'!AP239</f>
        <v/>
      </c>
      <c r="AQ161" s="361">
        <f>'03 Operational Assumptions'!AQ239</f>
        <v/>
      </c>
      <c r="AR161" s="361">
        <f>AVERAGE(AN161:AQ161)</f>
        <v/>
      </c>
    </row>
    <row r="162" ht="13.5" customHeight="1" s="290">
      <c r="A162" s="345" t="n"/>
      <c r="B162" s="370" t="inlineStr">
        <is>
          <t xml:space="preserve">  Billing Rate — Analyst</t>
        </is>
      </c>
      <c r="C162" s="371" t="inlineStr">
        <is>
          <t>$/hr</t>
        </is>
      </c>
      <c r="D162" s="394" t="inlineStr">
        <is>
          <t>← Tab 03 row 240</t>
        </is>
      </c>
      <c r="E162" s="361">
        <f>'03 Operational Assumptions'!E240</f>
        <v/>
      </c>
      <c r="F162" s="361">
        <f>'03 Operational Assumptions'!F240</f>
        <v/>
      </c>
      <c r="G162" s="361">
        <f>'03 Operational Assumptions'!G240</f>
        <v/>
      </c>
      <c r="H162" s="361">
        <f>'03 Operational Assumptions'!H240</f>
        <v/>
      </c>
      <c r="I162" s="361">
        <f>AVERAGE(E162:H162)</f>
        <v/>
      </c>
      <c r="J162" s="361">
        <f>'03 Operational Assumptions'!J240</f>
        <v/>
      </c>
      <c r="K162" s="361">
        <f>'03 Operational Assumptions'!K240</f>
        <v/>
      </c>
      <c r="L162" s="361">
        <f>'03 Operational Assumptions'!L240</f>
        <v/>
      </c>
      <c r="M162" s="361">
        <f>'03 Operational Assumptions'!M240</f>
        <v/>
      </c>
      <c r="N162" s="361">
        <f>AVERAGE(J162:M162)</f>
        <v/>
      </c>
      <c r="O162" s="361">
        <f>'03 Operational Assumptions'!O240</f>
        <v/>
      </c>
      <c r="P162" s="361">
        <f>'03 Operational Assumptions'!P240</f>
        <v/>
      </c>
      <c r="Q162" s="361">
        <f>'03 Operational Assumptions'!Q240</f>
        <v/>
      </c>
      <c r="R162" s="361">
        <f>'03 Operational Assumptions'!R240</f>
        <v/>
      </c>
      <c r="S162" s="361">
        <f>AVERAGE(O162:R162)</f>
        <v/>
      </c>
      <c r="T162" s="361">
        <f>'03 Operational Assumptions'!T240</f>
        <v/>
      </c>
      <c r="U162" s="361">
        <f>'03 Operational Assumptions'!U240</f>
        <v/>
      </c>
      <c r="V162" s="361">
        <f>'03 Operational Assumptions'!V240</f>
        <v/>
      </c>
      <c r="W162" s="361">
        <f>'03 Operational Assumptions'!W240</f>
        <v/>
      </c>
      <c r="X162" s="361">
        <f>AVERAGE(T162:W162)</f>
        <v/>
      </c>
      <c r="Y162" s="361">
        <f>'03 Operational Assumptions'!Y240</f>
        <v/>
      </c>
      <c r="Z162" s="361">
        <f>'03 Operational Assumptions'!Z240</f>
        <v/>
      </c>
      <c r="AA162" s="361">
        <f>'03 Operational Assumptions'!AA240</f>
        <v/>
      </c>
      <c r="AB162" s="361">
        <f>'03 Operational Assumptions'!AB240</f>
        <v/>
      </c>
      <c r="AC162" s="361">
        <f>AVERAGE(Y162:AB162)</f>
        <v/>
      </c>
      <c r="AD162" s="361">
        <f>'03 Operational Assumptions'!AD240</f>
        <v/>
      </c>
      <c r="AE162" s="361">
        <f>'03 Operational Assumptions'!AE240</f>
        <v/>
      </c>
      <c r="AF162" s="361">
        <f>'03 Operational Assumptions'!AF240</f>
        <v/>
      </c>
      <c r="AG162" s="361">
        <f>'03 Operational Assumptions'!AG240</f>
        <v/>
      </c>
      <c r="AH162" s="361">
        <f>AVERAGE(AD162:AG162)</f>
        <v/>
      </c>
      <c r="AI162" s="361">
        <f>'03 Operational Assumptions'!AI240</f>
        <v/>
      </c>
      <c r="AJ162" s="361">
        <f>'03 Operational Assumptions'!AJ240</f>
        <v/>
      </c>
      <c r="AK162" s="361">
        <f>'03 Operational Assumptions'!AK240</f>
        <v/>
      </c>
      <c r="AL162" s="361">
        <f>'03 Operational Assumptions'!AL240</f>
        <v/>
      </c>
      <c r="AM162" s="361">
        <f>AVERAGE(AI162:AL162)</f>
        <v/>
      </c>
      <c r="AN162" s="361">
        <f>'03 Operational Assumptions'!AN240</f>
        <v/>
      </c>
      <c r="AO162" s="361">
        <f>'03 Operational Assumptions'!AO240</f>
        <v/>
      </c>
      <c r="AP162" s="361">
        <f>'03 Operational Assumptions'!AP240</f>
        <v/>
      </c>
      <c r="AQ162" s="361">
        <f>'03 Operational Assumptions'!AQ240</f>
        <v/>
      </c>
      <c r="AR162" s="361">
        <f>AVERAGE(AN162:AQ162)</f>
        <v/>
      </c>
    </row>
    <row r="163" ht="13.5" customHeight="1" s="290">
      <c r="A163" s="345" t="n"/>
      <c r="B163" s="370" t="inlineStr">
        <is>
          <t xml:space="preserve">  Recurring / Portfolio Revenue Component</t>
        </is>
      </c>
      <c r="C163" s="371" t="inlineStr">
        <is>
          <t>$K/qtr</t>
        </is>
      </c>
      <c r="D163" s="394" t="inlineStr">
        <is>
          <t>← Tab 03 row 241</t>
        </is>
      </c>
      <c r="E163" s="361">
        <f>'03 Operational Assumptions'!E241</f>
        <v/>
      </c>
      <c r="F163" s="361">
        <f>'03 Operational Assumptions'!F241</f>
        <v/>
      </c>
      <c r="G163" s="361">
        <f>'03 Operational Assumptions'!G241</f>
        <v/>
      </c>
      <c r="H163" s="361">
        <f>'03 Operational Assumptions'!H241</f>
        <v/>
      </c>
      <c r="I163" s="361">
        <f>SUM(E163:H163)</f>
        <v/>
      </c>
      <c r="J163" s="361">
        <f>'03 Operational Assumptions'!J241</f>
        <v/>
      </c>
      <c r="K163" s="361">
        <f>'03 Operational Assumptions'!K241</f>
        <v/>
      </c>
      <c r="L163" s="361">
        <f>'03 Operational Assumptions'!L241</f>
        <v/>
      </c>
      <c r="M163" s="361">
        <f>'03 Operational Assumptions'!M241</f>
        <v/>
      </c>
      <c r="N163" s="361">
        <f>SUM(J163:M163)</f>
        <v/>
      </c>
      <c r="O163" s="361">
        <f>'03 Operational Assumptions'!O241</f>
        <v/>
      </c>
      <c r="P163" s="361">
        <f>'03 Operational Assumptions'!P241</f>
        <v/>
      </c>
      <c r="Q163" s="361">
        <f>'03 Operational Assumptions'!Q241</f>
        <v/>
      </c>
      <c r="R163" s="361">
        <f>'03 Operational Assumptions'!R241</f>
        <v/>
      </c>
      <c r="S163" s="361">
        <f>SUM(O163:R163)</f>
        <v/>
      </c>
      <c r="T163" s="361">
        <f>'03 Operational Assumptions'!T241</f>
        <v/>
      </c>
      <c r="U163" s="361">
        <f>'03 Operational Assumptions'!U241</f>
        <v/>
      </c>
      <c r="V163" s="361">
        <f>'03 Operational Assumptions'!V241</f>
        <v/>
      </c>
      <c r="W163" s="361">
        <f>'03 Operational Assumptions'!W241</f>
        <v/>
      </c>
      <c r="X163" s="361">
        <f>SUM(T163:W163)</f>
        <v/>
      </c>
      <c r="Y163" s="361">
        <f>'03 Operational Assumptions'!Y241</f>
        <v/>
      </c>
      <c r="Z163" s="361">
        <f>'03 Operational Assumptions'!Z241</f>
        <v/>
      </c>
      <c r="AA163" s="361">
        <f>'03 Operational Assumptions'!AA241</f>
        <v/>
      </c>
      <c r="AB163" s="361">
        <f>'03 Operational Assumptions'!AB241</f>
        <v/>
      </c>
      <c r="AC163" s="361">
        <f>SUM(Y163:AB163)</f>
        <v/>
      </c>
      <c r="AD163" s="361">
        <f>'03 Operational Assumptions'!AD241</f>
        <v/>
      </c>
      <c r="AE163" s="361">
        <f>'03 Operational Assumptions'!AE241</f>
        <v/>
      </c>
      <c r="AF163" s="361">
        <f>'03 Operational Assumptions'!AF241</f>
        <v/>
      </c>
      <c r="AG163" s="361">
        <f>'03 Operational Assumptions'!AG241</f>
        <v/>
      </c>
      <c r="AH163" s="361">
        <f>SUM(AD163:AG163)</f>
        <v/>
      </c>
      <c r="AI163" s="361">
        <f>'03 Operational Assumptions'!AI241</f>
        <v/>
      </c>
      <c r="AJ163" s="361">
        <f>'03 Operational Assumptions'!AJ241</f>
        <v/>
      </c>
      <c r="AK163" s="361">
        <f>'03 Operational Assumptions'!AK241</f>
        <v/>
      </c>
      <c r="AL163" s="361">
        <f>'03 Operational Assumptions'!AL241</f>
        <v/>
      </c>
      <c r="AM163" s="361">
        <f>SUM(AI163:AL163)</f>
        <v/>
      </c>
      <c r="AN163" s="361">
        <f>'03 Operational Assumptions'!AN241</f>
        <v/>
      </c>
      <c r="AO163" s="361">
        <f>'03 Operational Assumptions'!AO241</f>
        <v/>
      </c>
      <c r="AP163" s="361">
        <f>'03 Operational Assumptions'!AP241</f>
        <v/>
      </c>
      <c r="AQ163" s="361">
        <f>'03 Operational Assumptions'!AQ241</f>
        <v/>
      </c>
      <c r="AR163" s="361">
        <f>SUM(AN163:AQ163)</f>
        <v/>
      </c>
    </row>
    <row r="164" ht="3.75" customHeight="1" s="290"/>
    <row r="165" ht="15" customHeight="1" s="290">
      <c r="A165" s="307" t="inlineStr">
        <is>
          <t xml:space="preserve">    D2 — REVENUE BUILD</t>
        </is>
      </c>
    </row>
    <row r="166" ht="3" customHeight="1" s="290"/>
    <row r="167" ht="13.5" customHeight="1" s="290">
      <c r="A167" s="395" t="n"/>
      <c r="B167" s="373" t="inlineStr">
        <is>
          <t xml:space="preserve">  Billed Hours — Senior Appraiser</t>
        </is>
      </c>
      <c r="C167" s="374" t="inlineStr">
        <is>
          <t>hrs/qtr</t>
        </is>
      </c>
      <c r="D167" s="396" t="inlineStr">
        <is>
          <t xml:space="preserve"> senior ftes × Capacity × Utilization</t>
        </is>
      </c>
      <c r="E167" s="376">
        <f>E155*E159*E158</f>
        <v/>
      </c>
      <c r="F167" s="376">
        <f>F155*F159*F158</f>
        <v/>
      </c>
      <c r="G167" s="376">
        <f>G155*G159*G158</f>
        <v/>
      </c>
      <c r="H167" s="376">
        <f>H155*H159*H158</f>
        <v/>
      </c>
      <c r="I167" s="376">
        <f>SUM(E167:H167)</f>
        <v/>
      </c>
      <c r="J167" s="376">
        <f>J155*J159*J158</f>
        <v/>
      </c>
      <c r="K167" s="376">
        <f>K155*K159*K158</f>
        <v/>
      </c>
      <c r="L167" s="376">
        <f>L155*L159*L158</f>
        <v/>
      </c>
      <c r="M167" s="376">
        <f>M155*M159*M158</f>
        <v/>
      </c>
      <c r="N167" s="376">
        <f>SUM(J167:M167)</f>
        <v/>
      </c>
      <c r="O167" s="376">
        <f>O155*O159*O158</f>
        <v/>
      </c>
      <c r="P167" s="376">
        <f>P155*P159*P158</f>
        <v/>
      </c>
      <c r="Q167" s="376">
        <f>Q155*Q159*Q158</f>
        <v/>
      </c>
      <c r="R167" s="376">
        <f>R155*R159*R158</f>
        <v/>
      </c>
      <c r="S167" s="376">
        <f>SUM(O167:R167)</f>
        <v/>
      </c>
      <c r="T167" s="376">
        <f>T155*T159*T158</f>
        <v/>
      </c>
      <c r="U167" s="376">
        <f>U155*U159*U158</f>
        <v/>
      </c>
      <c r="V167" s="376">
        <f>V155*V159*V158</f>
        <v/>
      </c>
      <c r="W167" s="376">
        <f>W155*W159*W158</f>
        <v/>
      </c>
      <c r="X167" s="376">
        <f>SUM(T167:W167)</f>
        <v/>
      </c>
      <c r="Y167" s="376">
        <f>Y155*Y159*Y158</f>
        <v/>
      </c>
      <c r="Z167" s="376">
        <f>Z155*Z159*Z158</f>
        <v/>
      </c>
      <c r="AA167" s="376">
        <f>AA155*AA159*AA158</f>
        <v/>
      </c>
      <c r="AB167" s="376">
        <f>AB155*AB159*AB158</f>
        <v/>
      </c>
      <c r="AC167" s="376">
        <f>SUM(Y167:AB167)</f>
        <v/>
      </c>
      <c r="AD167" s="376">
        <f>AD155*AD159*AD158</f>
        <v/>
      </c>
      <c r="AE167" s="376">
        <f>AE155*AE159*AE158</f>
        <v/>
      </c>
      <c r="AF167" s="376">
        <f>AF155*AF159*AF158</f>
        <v/>
      </c>
      <c r="AG167" s="376">
        <f>AG155*AG159*AG158</f>
        <v/>
      </c>
      <c r="AH167" s="376">
        <f>SUM(AD167:AG167)</f>
        <v/>
      </c>
      <c r="AI167" s="376">
        <f>AI155*AI159*AI158</f>
        <v/>
      </c>
      <c r="AJ167" s="376">
        <f>AJ155*AJ159*AJ158</f>
        <v/>
      </c>
      <c r="AK167" s="376">
        <f>AK155*AK159*AK158</f>
        <v/>
      </c>
      <c r="AL167" s="376">
        <f>AL155*AL159*AL158</f>
        <v/>
      </c>
      <c r="AM167" s="376">
        <f>SUM(AI167:AL167)</f>
        <v/>
      </c>
      <c r="AN167" s="376">
        <f>AN155*AN159*AN158</f>
        <v/>
      </c>
      <c r="AO167" s="376">
        <f>AO155*AO159*AO158</f>
        <v/>
      </c>
      <c r="AP167" s="376">
        <f>AP155*AP159*AP158</f>
        <v/>
      </c>
      <c r="AQ167" s="376">
        <f>AQ155*AQ159*AQ158</f>
        <v/>
      </c>
      <c r="AR167" s="376">
        <f>SUM(AN167:AQ167)</f>
        <v/>
      </c>
    </row>
    <row r="168" ht="13.5" customHeight="1" s="290">
      <c r="A168" s="395" t="n"/>
      <c r="B168" s="373" t="inlineStr">
        <is>
          <t xml:space="preserve">  Billed Hours — Appraiser</t>
        </is>
      </c>
      <c r="C168" s="374" t="inlineStr">
        <is>
          <t>hrs/qtr</t>
        </is>
      </c>
      <c r="D168" s="396" t="inlineStr">
        <is>
          <t xml:space="preserve"> appraiser ftes × Capacity × Utilization</t>
        </is>
      </c>
      <c r="E168" s="376">
        <f>E156*E159*E158</f>
        <v/>
      </c>
      <c r="F168" s="376">
        <f>F156*F159*F158</f>
        <v/>
      </c>
      <c r="G168" s="376">
        <f>G156*G159*G158</f>
        <v/>
      </c>
      <c r="H168" s="376">
        <f>H156*H159*H158</f>
        <v/>
      </c>
      <c r="I168" s="376">
        <f>SUM(E168:H168)</f>
        <v/>
      </c>
      <c r="J168" s="376">
        <f>J156*J159*J158</f>
        <v/>
      </c>
      <c r="K168" s="376">
        <f>K156*K159*K158</f>
        <v/>
      </c>
      <c r="L168" s="376">
        <f>L156*L159*L158</f>
        <v/>
      </c>
      <c r="M168" s="376">
        <f>M156*M159*M158</f>
        <v/>
      </c>
      <c r="N168" s="376">
        <f>SUM(J168:M168)</f>
        <v/>
      </c>
      <c r="O168" s="376">
        <f>O156*O159*O158</f>
        <v/>
      </c>
      <c r="P168" s="376">
        <f>P156*P159*P158</f>
        <v/>
      </c>
      <c r="Q168" s="376">
        <f>Q156*Q159*Q158</f>
        <v/>
      </c>
      <c r="R168" s="376">
        <f>R156*R159*R158</f>
        <v/>
      </c>
      <c r="S168" s="376">
        <f>SUM(O168:R168)</f>
        <v/>
      </c>
      <c r="T168" s="376">
        <f>T156*T159*T158</f>
        <v/>
      </c>
      <c r="U168" s="376">
        <f>U156*U159*U158</f>
        <v/>
      </c>
      <c r="V168" s="376">
        <f>V156*V159*V158</f>
        <v/>
      </c>
      <c r="W168" s="376">
        <f>W156*W159*W158</f>
        <v/>
      </c>
      <c r="X168" s="376">
        <f>SUM(T168:W168)</f>
        <v/>
      </c>
      <c r="Y168" s="376">
        <f>Y156*Y159*Y158</f>
        <v/>
      </c>
      <c r="Z168" s="376">
        <f>Z156*Z159*Z158</f>
        <v/>
      </c>
      <c r="AA168" s="376">
        <f>AA156*AA159*AA158</f>
        <v/>
      </c>
      <c r="AB168" s="376">
        <f>AB156*AB159*AB158</f>
        <v/>
      </c>
      <c r="AC168" s="376">
        <f>SUM(Y168:AB168)</f>
        <v/>
      </c>
      <c r="AD168" s="376">
        <f>AD156*AD159*AD158</f>
        <v/>
      </c>
      <c r="AE168" s="376">
        <f>AE156*AE159*AE158</f>
        <v/>
      </c>
      <c r="AF168" s="376">
        <f>AF156*AF159*AF158</f>
        <v/>
      </c>
      <c r="AG168" s="376">
        <f>AG156*AG159*AG158</f>
        <v/>
      </c>
      <c r="AH168" s="376">
        <f>SUM(AD168:AG168)</f>
        <v/>
      </c>
      <c r="AI168" s="376">
        <f>AI156*AI159*AI158</f>
        <v/>
      </c>
      <c r="AJ168" s="376">
        <f>AJ156*AJ159*AJ158</f>
        <v/>
      </c>
      <c r="AK168" s="376">
        <f>AK156*AK159*AK158</f>
        <v/>
      </c>
      <c r="AL168" s="376">
        <f>AL156*AL159*AL158</f>
        <v/>
      </c>
      <c r="AM168" s="376">
        <f>SUM(AI168:AL168)</f>
        <v/>
      </c>
      <c r="AN168" s="376">
        <f>AN156*AN159*AN158</f>
        <v/>
      </c>
      <c r="AO168" s="376">
        <f>AO156*AO159*AO158</f>
        <v/>
      </c>
      <c r="AP168" s="376">
        <f>AP156*AP159*AP158</f>
        <v/>
      </c>
      <c r="AQ168" s="376">
        <f>AQ156*AQ159*AQ158</f>
        <v/>
      </c>
      <c r="AR168" s="376">
        <f>SUM(AN168:AQ168)</f>
        <v/>
      </c>
    </row>
    <row r="169" ht="13.5" customHeight="1" s="290">
      <c r="A169" s="395" t="n"/>
      <c r="B169" s="373" t="inlineStr">
        <is>
          <t xml:space="preserve">  Billed Hours — Analyst</t>
        </is>
      </c>
      <c r="C169" s="374" t="inlineStr">
        <is>
          <t>hrs/qtr</t>
        </is>
      </c>
      <c r="D169" s="396" t="inlineStr">
        <is>
          <t xml:space="preserve"> analyst ftes × Capacity × Utilization</t>
        </is>
      </c>
      <c r="E169" s="376">
        <f>E157*E159*E158</f>
        <v/>
      </c>
      <c r="F169" s="376">
        <f>F157*F159*F158</f>
        <v/>
      </c>
      <c r="G169" s="376">
        <f>G157*G159*G158</f>
        <v/>
      </c>
      <c r="H169" s="376">
        <f>H157*H159*H158</f>
        <v/>
      </c>
      <c r="I169" s="376">
        <f>SUM(E169:H169)</f>
        <v/>
      </c>
      <c r="J169" s="376">
        <f>J157*J159*J158</f>
        <v/>
      </c>
      <c r="K169" s="376">
        <f>K157*K159*K158</f>
        <v/>
      </c>
      <c r="L169" s="376">
        <f>L157*L159*L158</f>
        <v/>
      </c>
      <c r="M169" s="376">
        <f>M157*M159*M158</f>
        <v/>
      </c>
      <c r="N169" s="376">
        <f>SUM(J169:M169)</f>
        <v/>
      </c>
      <c r="O169" s="376">
        <f>O157*O159*O158</f>
        <v/>
      </c>
      <c r="P169" s="376">
        <f>P157*P159*P158</f>
        <v/>
      </c>
      <c r="Q169" s="376">
        <f>Q157*Q159*Q158</f>
        <v/>
      </c>
      <c r="R169" s="376">
        <f>R157*R159*R158</f>
        <v/>
      </c>
      <c r="S169" s="376">
        <f>SUM(O169:R169)</f>
        <v/>
      </c>
      <c r="T169" s="376">
        <f>T157*T159*T158</f>
        <v/>
      </c>
      <c r="U169" s="376">
        <f>U157*U159*U158</f>
        <v/>
      </c>
      <c r="V169" s="376">
        <f>V157*V159*V158</f>
        <v/>
      </c>
      <c r="W169" s="376">
        <f>W157*W159*W158</f>
        <v/>
      </c>
      <c r="X169" s="376">
        <f>SUM(T169:W169)</f>
        <v/>
      </c>
      <c r="Y169" s="376">
        <f>Y157*Y159*Y158</f>
        <v/>
      </c>
      <c r="Z169" s="376">
        <f>Z157*Z159*Z158</f>
        <v/>
      </c>
      <c r="AA169" s="376">
        <f>AA157*AA159*AA158</f>
        <v/>
      </c>
      <c r="AB169" s="376">
        <f>AB157*AB159*AB158</f>
        <v/>
      </c>
      <c r="AC169" s="376">
        <f>SUM(Y169:AB169)</f>
        <v/>
      </c>
      <c r="AD169" s="376">
        <f>AD157*AD159*AD158</f>
        <v/>
      </c>
      <c r="AE169" s="376">
        <f>AE157*AE159*AE158</f>
        <v/>
      </c>
      <c r="AF169" s="376">
        <f>AF157*AF159*AF158</f>
        <v/>
      </c>
      <c r="AG169" s="376">
        <f>AG157*AG159*AG158</f>
        <v/>
      </c>
      <c r="AH169" s="376">
        <f>SUM(AD169:AG169)</f>
        <v/>
      </c>
      <c r="AI169" s="376">
        <f>AI157*AI159*AI158</f>
        <v/>
      </c>
      <c r="AJ169" s="376">
        <f>AJ157*AJ159*AJ158</f>
        <v/>
      </c>
      <c r="AK169" s="376">
        <f>AK157*AK159*AK158</f>
        <v/>
      </c>
      <c r="AL169" s="376">
        <f>AL157*AL159*AL158</f>
        <v/>
      </c>
      <c r="AM169" s="376">
        <f>SUM(AI169:AL169)</f>
        <v/>
      </c>
      <c r="AN169" s="376">
        <f>AN157*AN159*AN158</f>
        <v/>
      </c>
      <c r="AO169" s="376">
        <f>AO157*AO159*AO158</f>
        <v/>
      </c>
      <c r="AP169" s="376">
        <f>AP157*AP159*AP158</f>
        <v/>
      </c>
      <c r="AQ169" s="376">
        <f>AQ157*AQ159*AQ158</f>
        <v/>
      </c>
      <c r="AR169" s="376">
        <f>SUM(AN169:AQ169)</f>
        <v/>
      </c>
    </row>
    <row r="170" ht="13.5" customHeight="1" s="290">
      <c r="A170" s="395" t="n"/>
      <c r="B170" s="373" t="inlineStr">
        <is>
          <t xml:space="preserve">  Revenue — Senior Appraiser</t>
        </is>
      </c>
      <c r="C170" s="374" t="inlineStr">
        <is>
          <t>$K/qtr</t>
        </is>
      </c>
      <c r="D170" s="396" t="inlineStr">
        <is>
          <t xml:space="preserve"> billed hrs × Rate ÷ 1,000 → $K</t>
        </is>
      </c>
      <c r="E170" s="376">
        <f>E167*E160/1000</f>
        <v/>
      </c>
      <c r="F170" s="376">
        <f>F167*F160/1000</f>
        <v/>
      </c>
      <c r="G170" s="376">
        <f>G167*G160/1000</f>
        <v/>
      </c>
      <c r="H170" s="376">
        <f>H167*H160/1000</f>
        <v/>
      </c>
      <c r="I170" s="376">
        <f>SUM(E170:H170)</f>
        <v/>
      </c>
      <c r="J170" s="376">
        <f>J167*J160/1000</f>
        <v/>
      </c>
      <c r="K170" s="376">
        <f>K167*K160/1000</f>
        <v/>
      </c>
      <c r="L170" s="376">
        <f>L167*L160/1000</f>
        <v/>
      </c>
      <c r="M170" s="376">
        <f>M167*M160/1000</f>
        <v/>
      </c>
      <c r="N170" s="376">
        <f>SUM(J170:M170)</f>
        <v/>
      </c>
      <c r="O170" s="376">
        <f>O167*O160/1000</f>
        <v/>
      </c>
      <c r="P170" s="376">
        <f>P167*P160/1000</f>
        <v/>
      </c>
      <c r="Q170" s="376">
        <f>Q167*Q160/1000</f>
        <v/>
      </c>
      <c r="R170" s="376">
        <f>R167*R160/1000</f>
        <v/>
      </c>
      <c r="S170" s="376">
        <f>SUM(O170:R170)</f>
        <v/>
      </c>
      <c r="T170" s="376">
        <f>T167*T160/1000</f>
        <v/>
      </c>
      <c r="U170" s="376">
        <f>U167*U160/1000</f>
        <v/>
      </c>
      <c r="V170" s="376">
        <f>V167*V160/1000</f>
        <v/>
      </c>
      <c r="W170" s="376">
        <f>W167*W160/1000</f>
        <v/>
      </c>
      <c r="X170" s="376">
        <f>SUM(T170:W170)</f>
        <v/>
      </c>
      <c r="Y170" s="376">
        <f>Y167*Y160/1000</f>
        <v/>
      </c>
      <c r="Z170" s="376">
        <f>Z167*Z160/1000</f>
        <v/>
      </c>
      <c r="AA170" s="376">
        <f>AA167*AA160/1000</f>
        <v/>
      </c>
      <c r="AB170" s="376">
        <f>AB167*AB160/1000</f>
        <v/>
      </c>
      <c r="AC170" s="376">
        <f>SUM(Y170:AB170)</f>
        <v/>
      </c>
      <c r="AD170" s="376">
        <f>AD167*AD160/1000</f>
        <v/>
      </c>
      <c r="AE170" s="376">
        <f>AE167*AE160/1000</f>
        <v/>
      </c>
      <c r="AF170" s="376">
        <f>AF167*AF160/1000</f>
        <v/>
      </c>
      <c r="AG170" s="376">
        <f>AG167*AG160/1000</f>
        <v/>
      </c>
      <c r="AH170" s="376">
        <f>SUM(AD170:AG170)</f>
        <v/>
      </c>
      <c r="AI170" s="376">
        <f>AI167*AI160/1000</f>
        <v/>
      </c>
      <c r="AJ170" s="376">
        <f>AJ167*AJ160/1000</f>
        <v/>
      </c>
      <c r="AK170" s="376">
        <f>AK167*AK160/1000</f>
        <v/>
      </c>
      <c r="AL170" s="376">
        <f>AL167*AL160/1000</f>
        <v/>
      </c>
      <c r="AM170" s="376">
        <f>SUM(AI170:AL170)</f>
        <v/>
      </c>
      <c r="AN170" s="376">
        <f>AN167*AN160/1000</f>
        <v/>
      </c>
      <c r="AO170" s="376">
        <f>AO167*AO160/1000</f>
        <v/>
      </c>
      <c r="AP170" s="376">
        <f>AP167*AP160/1000</f>
        <v/>
      </c>
      <c r="AQ170" s="376">
        <f>AQ167*AQ160/1000</f>
        <v/>
      </c>
      <c r="AR170" s="376">
        <f>SUM(AN170:AQ170)</f>
        <v/>
      </c>
    </row>
    <row r="171" ht="13.5" customHeight="1" s="290">
      <c r="A171" s="395" t="n"/>
      <c r="B171" s="373" t="inlineStr">
        <is>
          <t xml:space="preserve">  Revenue — Appraiser</t>
        </is>
      </c>
      <c r="C171" s="374" t="inlineStr">
        <is>
          <t>$K/qtr</t>
        </is>
      </c>
      <c r="D171" s="396" t="inlineStr">
        <is>
          <t xml:space="preserve"> billed hrs × Rate ÷ 1,000 → $K</t>
        </is>
      </c>
      <c r="E171" s="376">
        <f>E168*E161/1000</f>
        <v/>
      </c>
      <c r="F171" s="376">
        <f>F168*F161/1000</f>
        <v/>
      </c>
      <c r="G171" s="376">
        <f>G168*G161/1000</f>
        <v/>
      </c>
      <c r="H171" s="376">
        <f>H168*H161/1000</f>
        <v/>
      </c>
      <c r="I171" s="376">
        <f>SUM(E171:H171)</f>
        <v/>
      </c>
      <c r="J171" s="376">
        <f>J168*J161/1000</f>
        <v/>
      </c>
      <c r="K171" s="376">
        <f>K168*K161/1000</f>
        <v/>
      </c>
      <c r="L171" s="376">
        <f>L168*L161/1000</f>
        <v/>
      </c>
      <c r="M171" s="376">
        <f>M168*M161/1000</f>
        <v/>
      </c>
      <c r="N171" s="376">
        <f>SUM(J171:M171)</f>
        <v/>
      </c>
      <c r="O171" s="376">
        <f>O168*O161/1000</f>
        <v/>
      </c>
      <c r="P171" s="376">
        <f>P168*P161/1000</f>
        <v/>
      </c>
      <c r="Q171" s="376">
        <f>Q168*Q161/1000</f>
        <v/>
      </c>
      <c r="R171" s="376">
        <f>R168*R161/1000</f>
        <v/>
      </c>
      <c r="S171" s="376">
        <f>SUM(O171:R171)</f>
        <v/>
      </c>
      <c r="T171" s="376">
        <f>T168*T161/1000</f>
        <v/>
      </c>
      <c r="U171" s="376">
        <f>U168*U161/1000</f>
        <v/>
      </c>
      <c r="V171" s="376">
        <f>V168*V161/1000</f>
        <v/>
      </c>
      <c r="W171" s="376">
        <f>W168*W161/1000</f>
        <v/>
      </c>
      <c r="X171" s="376">
        <f>SUM(T171:W171)</f>
        <v/>
      </c>
      <c r="Y171" s="376">
        <f>Y168*Y161/1000</f>
        <v/>
      </c>
      <c r="Z171" s="376">
        <f>Z168*Z161/1000</f>
        <v/>
      </c>
      <c r="AA171" s="376">
        <f>AA168*AA161/1000</f>
        <v/>
      </c>
      <c r="AB171" s="376">
        <f>AB168*AB161/1000</f>
        <v/>
      </c>
      <c r="AC171" s="376">
        <f>SUM(Y171:AB171)</f>
        <v/>
      </c>
      <c r="AD171" s="376">
        <f>AD168*AD161/1000</f>
        <v/>
      </c>
      <c r="AE171" s="376">
        <f>AE168*AE161/1000</f>
        <v/>
      </c>
      <c r="AF171" s="376">
        <f>AF168*AF161/1000</f>
        <v/>
      </c>
      <c r="AG171" s="376">
        <f>AG168*AG161/1000</f>
        <v/>
      </c>
      <c r="AH171" s="376">
        <f>SUM(AD171:AG171)</f>
        <v/>
      </c>
      <c r="AI171" s="376">
        <f>AI168*AI161/1000</f>
        <v/>
      </c>
      <c r="AJ171" s="376">
        <f>AJ168*AJ161/1000</f>
        <v/>
      </c>
      <c r="AK171" s="376">
        <f>AK168*AK161/1000</f>
        <v/>
      </c>
      <c r="AL171" s="376">
        <f>AL168*AL161/1000</f>
        <v/>
      </c>
      <c r="AM171" s="376">
        <f>SUM(AI171:AL171)</f>
        <v/>
      </c>
      <c r="AN171" s="376">
        <f>AN168*AN161/1000</f>
        <v/>
      </c>
      <c r="AO171" s="376">
        <f>AO168*AO161/1000</f>
        <v/>
      </c>
      <c r="AP171" s="376">
        <f>AP168*AP161/1000</f>
        <v/>
      </c>
      <c r="AQ171" s="376">
        <f>AQ168*AQ161/1000</f>
        <v/>
      </c>
      <c r="AR171" s="376">
        <f>SUM(AN171:AQ171)</f>
        <v/>
      </c>
    </row>
    <row r="172" ht="13.5" customHeight="1" s="290">
      <c r="A172" s="395" t="n"/>
      <c r="B172" s="373" t="inlineStr">
        <is>
          <t xml:space="preserve">  Revenue — Analyst</t>
        </is>
      </c>
      <c r="C172" s="374" t="inlineStr">
        <is>
          <t>$K/qtr</t>
        </is>
      </c>
      <c r="D172" s="396" t="inlineStr">
        <is>
          <t xml:space="preserve"> billed hrs × Rate ÷ 1,000 → $K</t>
        </is>
      </c>
      <c r="E172" s="376">
        <f>E169*E162/1000</f>
        <v/>
      </c>
      <c r="F172" s="376">
        <f>F169*F162/1000</f>
        <v/>
      </c>
      <c r="G172" s="376">
        <f>G169*G162/1000</f>
        <v/>
      </c>
      <c r="H172" s="376">
        <f>H169*H162/1000</f>
        <v/>
      </c>
      <c r="I172" s="376">
        <f>SUM(E172:H172)</f>
        <v/>
      </c>
      <c r="J172" s="376">
        <f>J169*J162/1000</f>
        <v/>
      </c>
      <c r="K172" s="376">
        <f>K169*K162/1000</f>
        <v/>
      </c>
      <c r="L172" s="376">
        <f>L169*L162/1000</f>
        <v/>
      </c>
      <c r="M172" s="376">
        <f>M169*M162/1000</f>
        <v/>
      </c>
      <c r="N172" s="376">
        <f>SUM(J172:M172)</f>
        <v/>
      </c>
      <c r="O172" s="376">
        <f>O169*O162/1000</f>
        <v/>
      </c>
      <c r="P172" s="376">
        <f>P169*P162/1000</f>
        <v/>
      </c>
      <c r="Q172" s="376">
        <f>Q169*Q162/1000</f>
        <v/>
      </c>
      <c r="R172" s="376">
        <f>R169*R162/1000</f>
        <v/>
      </c>
      <c r="S172" s="376">
        <f>SUM(O172:R172)</f>
        <v/>
      </c>
      <c r="T172" s="376">
        <f>T169*T162/1000</f>
        <v/>
      </c>
      <c r="U172" s="376">
        <f>U169*U162/1000</f>
        <v/>
      </c>
      <c r="V172" s="376">
        <f>V169*V162/1000</f>
        <v/>
      </c>
      <c r="W172" s="376">
        <f>W169*W162/1000</f>
        <v/>
      </c>
      <c r="X172" s="376">
        <f>SUM(T172:W172)</f>
        <v/>
      </c>
      <c r="Y172" s="376">
        <f>Y169*Y162/1000</f>
        <v/>
      </c>
      <c r="Z172" s="376">
        <f>Z169*Z162/1000</f>
        <v/>
      </c>
      <c r="AA172" s="376">
        <f>AA169*AA162/1000</f>
        <v/>
      </c>
      <c r="AB172" s="376">
        <f>AB169*AB162/1000</f>
        <v/>
      </c>
      <c r="AC172" s="376">
        <f>SUM(Y172:AB172)</f>
        <v/>
      </c>
      <c r="AD172" s="376">
        <f>AD169*AD162/1000</f>
        <v/>
      </c>
      <c r="AE172" s="376">
        <f>AE169*AE162/1000</f>
        <v/>
      </c>
      <c r="AF172" s="376">
        <f>AF169*AF162/1000</f>
        <v/>
      </c>
      <c r="AG172" s="376">
        <f>AG169*AG162/1000</f>
        <v/>
      </c>
      <c r="AH172" s="376">
        <f>SUM(AD172:AG172)</f>
        <v/>
      </c>
      <c r="AI172" s="376">
        <f>AI169*AI162/1000</f>
        <v/>
      </c>
      <c r="AJ172" s="376">
        <f>AJ169*AJ162/1000</f>
        <v/>
      </c>
      <c r="AK172" s="376">
        <f>AK169*AK162/1000</f>
        <v/>
      </c>
      <c r="AL172" s="376">
        <f>AL169*AL162/1000</f>
        <v/>
      </c>
      <c r="AM172" s="376">
        <f>SUM(AI172:AL172)</f>
        <v/>
      </c>
      <c r="AN172" s="376">
        <f>AN169*AN162/1000</f>
        <v/>
      </c>
      <c r="AO172" s="376">
        <f>AO169*AO162/1000</f>
        <v/>
      </c>
      <c r="AP172" s="376">
        <f>AP169*AP162/1000</f>
        <v/>
      </c>
      <c r="AQ172" s="376">
        <f>AQ169*AQ162/1000</f>
        <v/>
      </c>
      <c r="AR172" s="376">
        <f>SUM(AN172:AQ172)</f>
        <v/>
      </c>
    </row>
    <row r="173" ht="13.5" customHeight="1" s="290">
      <c r="A173" s="395" t="n"/>
      <c r="B173" s="402" t="inlineStr">
        <is>
          <t xml:space="preserve">  Project Revenue Sub-Total</t>
        </is>
      </c>
      <c r="C173" s="374" t="inlineStr">
        <is>
          <t>$K/qtr</t>
        </is>
      </c>
      <c r="D173" s="396" t="inlineStr">
        <is>
          <t xml:space="preserve"> sum of tier revenues</t>
        </is>
      </c>
      <c r="E173" s="403">
        <f>E170+E171+E172</f>
        <v/>
      </c>
      <c r="F173" s="403">
        <f>F170+F171+F172</f>
        <v/>
      </c>
      <c r="G173" s="403">
        <f>G170+G171+G172</f>
        <v/>
      </c>
      <c r="H173" s="403">
        <f>H170+H171+H172</f>
        <v/>
      </c>
      <c r="I173" s="403">
        <f>SUM(E173:H173)</f>
        <v/>
      </c>
      <c r="J173" s="403">
        <f>J170+J171+J172</f>
        <v/>
      </c>
      <c r="K173" s="403">
        <f>K170+K171+K172</f>
        <v/>
      </c>
      <c r="L173" s="403">
        <f>L170+L171+L172</f>
        <v/>
      </c>
      <c r="M173" s="403">
        <f>M170+M171+M172</f>
        <v/>
      </c>
      <c r="N173" s="403">
        <f>SUM(J173:M173)</f>
        <v/>
      </c>
      <c r="O173" s="403">
        <f>O170+O171+O172</f>
        <v/>
      </c>
      <c r="P173" s="403">
        <f>P170+P171+P172</f>
        <v/>
      </c>
      <c r="Q173" s="403">
        <f>Q170+Q171+Q172</f>
        <v/>
      </c>
      <c r="R173" s="403">
        <f>R170+R171+R172</f>
        <v/>
      </c>
      <c r="S173" s="403">
        <f>SUM(O173:R173)</f>
        <v/>
      </c>
      <c r="T173" s="403">
        <f>T170+T171+T172</f>
        <v/>
      </c>
      <c r="U173" s="403">
        <f>U170+U171+U172</f>
        <v/>
      </c>
      <c r="V173" s="403">
        <f>V170+V171+V172</f>
        <v/>
      </c>
      <c r="W173" s="403">
        <f>W170+W171+W172</f>
        <v/>
      </c>
      <c r="X173" s="403">
        <f>SUM(T173:W173)</f>
        <v/>
      </c>
      <c r="Y173" s="403">
        <f>Y170+Y171+Y172</f>
        <v/>
      </c>
      <c r="Z173" s="403">
        <f>Z170+Z171+Z172</f>
        <v/>
      </c>
      <c r="AA173" s="403">
        <f>AA170+AA171+AA172</f>
        <v/>
      </c>
      <c r="AB173" s="403">
        <f>AB170+AB171+AB172</f>
        <v/>
      </c>
      <c r="AC173" s="403">
        <f>SUM(Y173:AB173)</f>
        <v/>
      </c>
      <c r="AD173" s="403">
        <f>AD170+AD171+AD172</f>
        <v/>
      </c>
      <c r="AE173" s="403">
        <f>AE170+AE171+AE172</f>
        <v/>
      </c>
      <c r="AF173" s="403">
        <f>AF170+AF171+AF172</f>
        <v/>
      </c>
      <c r="AG173" s="403">
        <f>AG170+AG171+AG172</f>
        <v/>
      </c>
      <c r="AH173" s="403">
        <f>SUM(AD173:AG173)</f>
        <v/>
      </c>
      <c r="AI173" s="403">
        <f>AI170+AI171+AI172</f>
        <v/>
      </c>
      <c r="AJ173" s="403">
        <f>AJ170+AJ171+AJ172</f>
        <v/>
      </c>
      <c r="AK173" s="403">
        <f>AK170+AK171+AK172</f>
        <v/>
      </c>
      <c r="AL173" s="403">
        <f>AL170+AL171+AL172</f>
        <v/>
      </c>
      <c r="AM173" s="403">
        <f>SUM(AI173:AL173)</f>
        <v/>
      </c>
      <c r="AN173" s="403">
        <f>AN170+AN171+AN172</f>
        <v/>
      </c>
      <c r="AO173" s="403">
        <f>AO170+AO171+AO172</f>
        <v/>
      </c>
      <c r="AP173" s="403">
        <f>AP170+AP171+AP172</f>
        <v/>
      </c>
      <c r="AQ173" s="403">
        <f>AQ170+AQ171+AQ172</f>
        <v/>
      </c>
      <c r="AR173" s="403">
        <f>SUM(AN173:AQ173)</f>
        <v/>
      </c>
    </row>
    <row r="174" ht="13.5" customHeight="1" s="290">
      <c r="A174" s="345" t="n"/>
      <c r="B174" s="370" t="inlineStr">
        <is>
          <t xml:space="preserve">  Recurring / Portfolio Revenue</t>
        </is>
      </c>
      <c r="C174" s="371" t="inlineStr">
        <is>
          <t>$K/qtr</t>
        </is>
      </c>
      <c r="D174" s="394" t="inlineStr">
        <is>
          <t>← Tab 03 row 241 (link via calc)</t>
        </is>
      </c>
      <c r="E174" s="361">
        <f>E163</f>
        <v/>
      </c>
      <c r="F174" s="361">
        <f>F163</f>
        <v/>
      </c>
      <c r="G174" s="361">
        <f>G163</f>
        <v/>
      </c>
      <c r="H174" s="361">
        <f>H163</f>
        <v/>
      </c>
      <c r="I174" s="361">
        <f>SUM(E174:H174)</f>
        <v/>
      </c>
      <c r="J174" s="361">
        <f>J163</f>
        <v/>
      </c>
      <c r="K174" s="361">
        <f>K163</f>
        <v/>
      </c>
      <c r="L174" s="361">
        <f>L163</f>
        <v/>
      </c>
      <c r="M174" s="361">
        <f>M163</f>
        <v/>
      </c>
      <c r="N174" s="361">
        <f>SUM(J174:M174)</f>
        <v/>
      </c>
      <c r="O174" s="361">
        <f>O163</f>
        <v/>
      </c>
      <c r="P174" s="361">
        <f>P163</f>
        <v/>
      </c>
      <c r="Q174" s="361">
        <f>Q163</f>
        <v/>
      </c>
      <c r="R174" s="361">
        <f>R163</f>
        <v/>
      </c>
      <c r="S174" s="361">
        <f>SUM(O174:R174)</f>
        <v/>
      </c>
      <c r="T174" s="361">
        <f>T163</f>
        <v/>
      </c>
      <c r="U174" s="361">
        <f>U163</f>
        <v/>
      </c>
      <c r="V174" s="361">
        <f>V163</f>
        <v/>
      </c>
      <c r="W174" s="361">
        <f>W163</f>
        <v/>
      </c>
      <c r="X174" s="361">
        <f>SUM(T174:W174)</f>
        <v/>
      </c>
      <c r="Y174" s="361">
        <f>Y163</f>
        <v/>
      </c>
      <c r="Z174" s="361">
        <f>Z163</f>
        <v/>
      </c>
      <c r="AA174" s="361">
        <f>AA163</f>
        <v/>
      </c>
      <c r="AB174" s="361">
        <f>AB163</f>
        <v/>
      </c>
      <c r="AC174" s="361">
        <f>SUM(Y174:AB174)</f>
        <v/>
      </c>
      <c r="AD174" s="361">
        <f>AD163</f>
        <v/>
      </c>
      <c r="AE174" s="361">
        <f>AE163</f>
        <v/>
      </c>
      <c r="AF174" s="361">
        <f>AF163</f>
        <v/>
      </c>
      <c r="AG174" s="361">
        <f>AG163</f>
        <v/>
      </c>
      <c r="AH174" s="361">
        <f>SUM(AD174:AG174)</f>
        <v/>
      </c>
      <c r="AI174" s="361">
        <f>AI163</f>
        <v/>
      </c>
      <c r="AJ174" s="361">
        <f>AJ163</f>
        <v/>
      </c>
      <c r="AK174" s="361">
        <f>AK163</f>
        <v/>
      </c>
      <c r="AL174" s="361">
        <f>AL163</f>
        <v/>
      </c>
      <c r="AM174" s="361">
        <f>SUM(AI174:AL174)</f>
        <v/>
      </c>
      <c r="AN174" s="361">
        <f>AN163</f>
        <v/>
      </c>
      <c r="AO174" s="361">
        <f>AO163</f>
        <v/>
      </c>
      <c r="AP174" s="361">
        <f>AP163</f>
        <v/>
      </c>
      <c r="AQ174" s="361">
        <f>AQ163</f>
        <v/>
      </c>
      <c r="AR174" s="361">
        <f>SUM(AN174:AQ174)</f>
        <v/>
      </c>
    </row>
    <row r="175" ht="15" customHeight="1" s="290">
      <c r="A175" s="397" t="n"/>
      <c r="B175" s="377" t="inlineStr">
        <is>
          <t xml:space="preserve">  ★ Total Advisory Revenue</t>
        </is>
      </c>
      <c r="C175" s="378" t="inlineStr">
        <is>
          <t>$K/qtr</t>
        </is>
      </c>
      <c r="D175" s="400" t="inlineStr">
        <is>
          <t xml:space="preserve"> project revenue + recurring</t>
        </is>
      </c>
      <c r="E175" s="379">
        <f>E173+E174</f>
        <v/>
      </c>
      <c r="F175" s="379">
        <f>F173+F174</f>
        <v/>
      </c>
      <c r="G175" s="379">
        <f>G173+G174</f>
        <v/>
      </c>
      <c r="H175" s="379">
        <f>H173+H174</f>
        <v/>
      </c>
      <c r="I175" s="379">
        <f>SUM(E175:H175)</f>
        <v/>
      </c>
      <c r="J175" s="379">
        <f>J173+J174</f>
        <v/>
      </c>
      <c r="K175" s="379">
        <f>K173+K174</f>
        <v/>
      </c>
      <c r="L175" s="379">
        <f>L173+L174</f>
        <v/>
      </c>
      <c r="M175" s="379">
        <f>M173+M174</f>
        <v/>
      </c>
      <c r="N175" s="379">
        <f>SUM(J175:M175)</f>
        <v/>
      </c>
      <c r="O175" s="379">
        <f>O173+O174</f>
        <v/>
      </c>
      <c r="P175" s="379">
        <f>P173+P174</f>
        <v/>
      </c>
      <c r="Q175" s="379">
        <f>Q173+Q174</f>
        <v/>
      </c>
      <c r="R175" s="379">
        <f>R173+R174</f>
        <v/>
      </c>
      <c r="S175" s="379">
        <f>SUM(O175:R175)</f>
        <v/>
      </c>
      <c r="T175" s="379">
        <f>T173+T174</f>
        <v/>
      </c>
      <c r="U175" s="379">
        <f>U173+U174</f>
        <v/>
      </c>
      <c r="V175" s="379">
        <f>V173+V174</f>
        <v/>
      </c>
      <c r="W175" s="379">
        <f>W173+W174</f>
        <v/>
      </c>
      <c r="X175" s="379">
        <f>SUM(T175:W175)</f>
        <v/>
      </c>
      <c r="Y175" s="379">
        <f>Y173+Y174</f>
        <v/>
      </c>
      <c r="Z175" s="379">
        <f>Z173+Z174</f>
        <v/>
      </c>
      <c r="AA175" s="379">
        <f>AA173+AA174</f>
        <v/>
      </c>
      <c r="AB175" s="379">
        <f>AB173+AB174</f>
        <v/>
      </c>
      <c r="AC175" s="379">
        <f>SUM(Y175:AB175)</f>
        <v/>
      </c>
      <c r="AD175" s="379">
        <f>AD173+AD174</f>
        <v/>
      </c>
      <c r="AE175" s="379">
        <f>AE173+AE174</f>
        <v/>
      </c>
      <c r="AF175" s="379">
        <f>AF173+AF174</f>
        <v/>
      </c>
      <c r="AG175" s="379">
        <f>AG173+AG174</f>
        <v/>
      </c>
      <c r="AH175" s="379">
        <f>SUM(AD175:AG175)</f>
        <v/>
      </c>
      <c r="AI175" s="379">
        <f>AI173+AI174</f>
        <v/>
      </c>
      <c r="AJ175" s="379">
        <f>AJ173+AJ174</f>
        <v/>
      </c>
      <c r="AK175" s="379">
        <f>AK173+AK174</f>
        <v/>
      </c>
      <c r="AL175" s="379">
        <f>AL173+AL174</f>
        <v/>
      </c>
      <c r="AM175" s="379">
        <f>SUM(AI175:AL175)</f>
        <v/>
      </c>
      <c r="AN175" s="379">
        <f>AN173+AN174</f>
        <v/>
      </c>
      <c r="AO175" s="379">
        <f>AO173+AO174</f>
        <v/>
      </c>
      <c r="AP175" s="379">
        <f>AP173+AP174</f>
        <v/>
      </c>
      <c r="AQ175" s="379">
        <f>AQ173+AQ174</f>
        <v/>
      </c>
      <c r="AR175" s="379">
        <f>SUM(AN175:AQ175)</f>
        <v/>
      </c>
    </row>
    <row r="176" ht="3.75" customHeight="1" s="290"/>
    <row r="177" ht="15" customHeight="1" s="290">
      <c r="A177" s="307" t="inlineStr">
        <is>
          <t xml:space="preserve">    D3 — ADVISORY KPIs</t>
        </is>
      </c>
    </row>
    <row r="178" ht="3" customHeight="1" s="290"/>
    <row r="179" ht="13.5" customHeight="1" s="290">
      <c r="A179" s="345" t="n"/>
      <c r="B179" s="370" t="inlineStr">
        <is>
          <t xml:space="preserve">  Utilization % — Active (mirrored)</t>
        </is>
      </c>
      <c r="C179" s="371" t="inlineStr">
        <is>
          <t>% utilized</t>
        </is>
      </c>
      <c r="D179" s="394" t="inlineStr">
        <is>
          <t xml:space="preserve"> advisory utilization active row mirror</t>
        </is>
      </c>
      <c r="E179" s="361">
        <f>E158</f>
        <v/>
      </c>
      <c r="F179" s="361">
        <f>F158</f>
        <v/>
      </c>
      <c r="G179" s="361">
        <f>G158</f>
        <v/>
      </c>
      <c r="H179" s="361">
        <f>H158</f>
        <v/>
      </c>
      <c r="I179" s="361">
        <f>AVERAGE(E179:H179)</f>
        <v/>
      </c>
      <c r="J179" s="361">
        <f>J158</f>
        <v/>
      </c>
      <c r="K179" s="361">
        <f>K158</f>
        <v/>
      </c>
      <c r="L179" s="361">
        <f>L158</f>
        <v/>
      </c>
      <c r="M179" s="361">
        <f>M158</f>
        <v/>
      </c>
      <c r="N179" s="361">
        <f>AVERAGE(J179:M179)</f>
        <v/>
      </c>
      <c r="O179" s="361">
        <f>O158</f>
        <v/>
      </c>
      <c r="P179" s="361">
        <f>P158</f>
        <v/>
      </c>
      <c r="Q179" s="361">
        <f>Q158</f>
        <v/>
      </c>
      <c r="R179" s="361">
        <f>R158</f>
        <v/>
      </c>
      <c r="S179" s="361">
        <f>AVERAGE(O179:R179)</f>
        <v/>
      </c>
      <c r="T179" s="361">
        <f>T158</f>
        <v/>
      </c>
      <c r="U179" s="361">
        <f>U158</f>
        <v/>
      </c>
      <c r="V179" s="361">
        <f>V158</f>
        <v/>
      </c>
      <c r="W179" s="361">
        <f>W158</f>
        <v/>
      </c>
      <c r="X179" s="361">
        <f>AVERAGE(T179:W179)</f>
        <v/>
      </c>
      <c r="Y179" s="361">
        <f>Y158</f>
        <v/>
      </c>
      <c r="Z179" s="361">
        <f>Z158</f>
        <v/>
      </c>
      <c r="AA179" s="361">
        <f>AA158</f>
        <v/>
      </c>
      <c r="AB179" s="361">
        <f>AB158</f>
        <v/>
      </c>
      <c r="AC179" s="361">
        <f>AVERAGE(Y179:AB179)</f>
        <v/>
      </c>
      <c r="AD179" s="361">
        <f>AD158</f>
        <v/>
      </c>
      <c r="AE179" s="361">
        <f>AE158</f>
        <v/>
      </c>
      <c r="AF179" s="361">
        <f>AF158</f>
        <v/>
      </c>
      <c r="AG179" s="361">
        <f>AG158</f>
        <v/>
      </c>
      <c r="AH179" s="361">
        <f>AVERAGE(AD179:AG179)</f>
        <v/>
      </c>
      <c r="AI179" s="361">
        <f>AI158</f>
        <v/>
      </c>
      <c r="AJ179" s="361">
        <f>AJ158</f>
        <v/>
      </c>
      <c r="AK179" s="361">
        <f>AK158</f>
        <v/>
      </c>
      <c r="AL179" s="361">
        <f>AL158</f>
        <v/>
      </c>
      <c r="AM179" s="361">
        <f>AVERAGE(AI179:AL179)</f>
        <v/>
      </c>
      <c r="AN179" s="361">
        <f>AN158</f>
        <v/>
      </c>
      <c r="AO179" s="361">
        <f>AO158</f>
        <v/>
      </c>
      <c r="AP179" s="361">
        <f>AP158</f>
        <v/>
      </c>
      <c r="AQ179" s="361">
        <f>AQ158</f>
        <v/>
      </c>
      <c r="AR179" s="361">
        <f>AVERAGE(AN179:AQ179)</f>
        <v/>
      </c>
    </row>
    <row r="180" ht="13.5" customHeight="1" s="290">
      <c r="A180" s="395" t="n"/>
      <c r="B180" s="373" t="inlineStr">
        <is>
          <t xml:space="preserve">  Revenue per FTE (Blended)</t>
        </is>
      </c>
      <c r="C180" s="374" t="inlineStr">
        <is>
          <t>$K/FTE</t>
        </is>
      </c>
      <c r="D180" s="396" t="inlineStr">
        <is>
          <t xml:space="preserve"> total advisory rev ÷ Total Advisory FTEs</t>
        </is>
      </c>
      <c r="E180" s="376">
        <f>IFERROR(E175/(E155+E156+E157),0)</f>
        <v/>
      </c>
      <c r="F180" s="376">
        <f>IFERROR(F175/(F155+F156+F157),0)</f>
        <v/>
      </c>
      <c r="G180" s="376">
        <f>IFERROR(G175/(G155+G156+G157),0)</f>
        <v/>
      </c>
      <c r="H180" s="376">
        <f>IFERROR(H175/(H155+H156+H157),0)</f>
        <v/>
      </c>
      <c r="I180" s="344">
        <f>IFERROR(I175/(I155+I156+I157),0)</f>
        <v/>
      </c>
      <c r="J180" s="376">
        <f>IFERROR(J175/(J155+J156+J157),0)</f>
        <v/>
      </c>
      <c r="K180" s="376">
        <f>IFERROR(K175/(K155+K156+K157),0)</f>
        <v/>
      </c>
      <c r="L180" s="376">
        <f>IFERROR(L175/(L155+L156+L157),0)</f>
        <v/>
      </c>
      <c r="M180" s="376">
        <f>IFERROR(M175/(M155+M156+M157),0)</f>
        <v/>
      </c>
      <c r="N180" s="344">
        <f>IFERROR(N175/(N155+N156+N157),0)</f>
        <v/>
      </c>
      <c r="O180" s="376">
        <f>IFERROR(O175/(O155+O156+O157),0)</f>
        <v/>
      </c>
      <c r="P180" s="376">
        <f>IFERROR(P175/(P155+P156+P157),0)</f>
        <v/>
      </c>
      <c r="Q180" s="376">
        <f>IFERROR(Q175/(Q155+Q156+Q157),0)</f>
        <v/>
      </c>
      <c r="R180" s="376">
        <f>IFERROR(R175/(R155+R156+R157),0)</f>
        <v/>
      </c>
      <c r="S180" s="344">
        <f>IFERROR(S175/(S155+S156+S157),0)</f>
        <v/>
      </c>
      <c r="T180" s="376">
        <f>IFERROR(T175/(T155+T156+T157),0)</f>
        <v/>
      </c>
      <c r="U180" s="376">
        <f>IFERROR(U175/(U155+U156+U157),0)</f>
        <v/>
      </c>
      <c r="V180" s="376">
        <f>IFERROR(V175/(V155+V156+V157),0)</f>
        <v/>
      </c>
      <c r="W180" s="376">
        <f>IFERROR(W175/(W155+W156+W157),0)</f>
        <v/>
      </c>
      <c r="X180" s="344">
        <f>IFERROR(X175/(X155+X156+X157),0)</f>
        <v/>
      </c>
      <c r="Y180" s="376">
        <f>IFERROR(Y175/(Y155+Y156+Y157),0)</f>
        <v/>
      </c>
      <c r="Z180" s="376">
        <f>IFERROR(Z175/(Z155+Z156+Z157),0)</f>
        <v/>
      </c>
      <c r="AA180" s="376">
        <f>IFERROR(AA175/(AA155+AA156+AA157),0)</f>
        <v/>
      </c>
      <c r="AB180" s="376">
        <f>IFERROR(AB175/(AB155+AB156+AB157),0)</f>
        <v/>
      </c>
      <c r="AC180" s="344">
        <f>IFERROR(AC175/(AC155+AC156+AC157),0)</f>
        <v/>
      </c>
      <c r="AD180" s="376">
        <f>IFERROR(AD175/(AD155+AD156+AD157),0)</f>
        <v/>
      </c>
      <c r="AE180" s="376">
        <f>IFERROR(AE175/(AE155+AE156+AE157),0)</f>
        <v/>
      </c>
      <c r="AF180" s="376">
        <f>IFERROR(AF175/(AF155+AF156+AF157),0)</f>
        <v/>
      </c>
      <c r="AG180" s="376">
        <f>IFERROR(AG175/(AG155+AG156+AG157),0)</f>
        <v/>
      </c>
      <c r="AH180" s="344">
        <f>IFERROR(AH175/(AH155+AH156+AH157),0)</f>
        <v/>
      </c>
      <c r="AI180" s="376">
        <f>IFERROR(AI175/(AI155+AI156+AI157),0)</f>
        <v/>
      </c>
      <c r="AJ180" s="376">
        <f>IFERROR(AJ175/(AJ155+AJ156+AJ157),0)</f>
        <v/>
      </c>
      <c r="AK180" s="376">
        <f>IFERROR(AK175/(AK155+AK156+AK157),0)</f>
        <v/>
      </c>
      <c r="AL180" s="376">
        <f>IFERROR(AL175/(AL155+AL156+AL157),0)</f>
        <v/>
      </c>
      <c r="AM180" s="344">
        <f>IFERROR(AM175/(AM155+AM156+AM157),0)</f>
        <v/>
      </c>
      <c r="AN180" s="376">
        <f>IFERROR(AN175/(AN155+AN156+AN157),0)</f>
        <v/>
      </c>
      <c r="AO180" s="376">
        <f>IFERROR(AO175/(AO155+AO156+AO157),0)</f>
        <v/>
      </c>
      <c r="AP180" s="376">
        <f>IFERROR(AP175/(AP155+AP156+AP157),0)</f>
        <v/>
      </c>
      <c r="AQ180" s="376">
        <f>IFERROR(AQ175/(AQ155+AQ156+AQ157),0)</f>
        <v/>
      </c>
      <c r="AR180" s="344">
        <f>IFERROR(AR175/(AR155+AR156+AR157),0)</f>
        <v/>
      </c>
    </row>
    <row r="181" ht="13.5" customHeight="1" s="290">
      <c r="A181" s="395" t="n"/>
      <c r="B181" s="373" t="inlineStr">
        <is>
          <t xml:space="preserve">  Recurring as % of Total Advisory</t>
        </is>
      </c>
      <c r="C181" s="374" t="inlineStr">
        <is>
          <t>% recurring</t>
        </is>
      </c>
      <c r="D181" s="396" t="inlineStr">
        <is>
          <t xml:space="preserve"> recurring rev ÷ Total Advisory Rev</t>
        </is>
      </c>
      <c r="E181" s="376">
        <f>IFERROR(E174/E175,0)</f>
        <v/>
      </c>
      <c r="F181" s="376">
        <f>IFERROR(F174/F175,0)</f>
        <v/>
      </c>
      <c r="G181" s="376">
        <f>IFERROR(G174/G175,0)</f>
        <v/>
      </c>
      <c r="H181" s="376">
        <f>IFERROR(H174/H175,0)</f>
        <v/>
      </c>
      <c r="I181" s="344">
        <f>IFERROR(I174/I175,0)</f>
        <v/>
      </c>
      <c r="J181" s="376">
        <f>IFERROR(J174/J175,0)</f>
        <v/>
      </c>
      <c r="K181" s="376">
        <f>IFERROR(K174/K175,0)</f>
        <v/>
      </c>
      <c r="L181" s="376">
        <f>IFERROR(L174/L175,0)</f>
        <v/>
      </c>
      <c r="M181" s="376">
        <f>IFERROR(M174/M175,0)</f>
        <v/>
      </c>
      <c r="N181" s="344">
        <f>IFERROR(N174/N175,0)</f>
        <v/>
      </c>
      <c r="O181" s="376">
        <f>IFERROR(O174/O175,0)</f>
        <v/>
      </c>
      <c r="P181" s="376">
        <f>IFERROR(P174/P175,0)</f>
        <v/>
      </c>
      <c r="Q181" s="376">
        <f>IFERROR(Q174/Q175,0)</f>
        <v/>
      </c>
      <c r="R181" s="376">
        <f>IFERROR(R174/R175,0)</f>
        <v/>
      </c>
      <c r="S181" s="344">
        <f>IFERROR(S174/S175,0)</f>
        <v/>
      </c>
      <c r="T181" s="376">
        <f>IFERROR(T174/T175,0)</f>
        <v/>
      </c>
      <c r="U181" s="376">
        <f>IFERROR(U174/U175,0)</f>
        <v/>
      </c>
      <c r="V181" s="376">
        <f>IFERROR(V174/V175,0)</f>
        <v/>
      </c>
      <c r="W181" s="376">
        <f>IFERROR(W174/W175,0)</f>
        <v/>
      </c>
      <c r="X181" s="344">
        <f>IFERROR(X174/X175,0)</f>
        <v/>
      </c>
      <c r="Y181" s="376">
        <f>IFERROR(Y174/Y175,0)</f>
        <v/>
      </c>
      <c r="Z181" s="376">
        <f>IFERROR(Z174/Z175,0)</f>
        <v/>
      </c>
      <c r="AA181" s="376">
        <f>IFERROR(AA174/AA175,0)</f>
        <v/>
      </c>
      <c r="AB181" s="376">
        <f>IFERROR(AB174/AB175,0)</f>
        <v/>
      </c>
      <c r="AC181" s="344">
        <f>IFERROR(AC174/AC175,0)</f>
        <v/>
      </c>
      <c r="AD181" s="376">
        <f>IFERROR(AD174/AD175,0)</f>
        <v/>
      </c>
      <c r="AE181" s="376">
        <f>IFERROR(AE174/AE175,0)</f>
        <v/>
      </c>
      <c r="AF181" s="376">
        <f>IFERROR(AF174/AF175,0)</f>
        <v/>
      </c>
      <c r="AG181" s="376">
        <f>IFERROR(AG174/AG175,0)</f>
        <v/>
      </c>
      <c r="AH181" s="344">
        <f>IFERROR(AH174/AH175,0)</f>
        <v/>
      </c>
      <c r="AI181" s="376">
        <f>IFERROR(AI174/AI175,0)</f>
        <v/>
      </c>
      <c r="AJ181" s="376">
        <f>IFERROR(AJ174/AJ175,0)</f>
        <v/>
      </c>
      <c r="AK181" s="376">
        <f>IFERROR(AK174/AK175,0)</f>
        <v/>
      </c>
      <c r="AL181" s="376">
        <f>IFERROR(AL174/AL175,0)</f>
        <v/>
      </c>
      <c r="AM181" s="344">
        <f>IFERROR(AM174/AM175,0)</f>
        <v/>
      </c>
      <c r="AN181" s="376">
        <f>IFERROR(AN174/AN175,0)</f>
        <v/>
      </c>
      <c r="AO181" s="376">
        <f>IFERROR(AO174/AO175,0)</f>
        <v/>
      </c>
      <c r="AP181" s="376">
        <f>IFERROR(AP174/AP175,0)</f>
        <v/>
      </c>
      <c r="AQ181" s="376">
        <f>IFERROR(AQ174/AQ175,0)</f>
        <v/>
      </c>
      <c r="AR181" s="344">
        <f>IFERROR(AR174/AR175,0)</f>
        <v/>
      </c>
    </row>
    <row r="182" ht="4.5" customHeight="1" s="290"/>
    <row r="183" ht="3" customHeight="1" s="290">
      <c r="A183" s="293" t="n"/>
    </row>
    <row r="184" ht="4.5" customHeight="1" s="290"/>
    <row r="185" ht="15.75" customHeight="1" s="290">
      <c r="A185" s="338" t="inlineStr">
        <is>
          <t xml:space="preserve">  SECTION E — REVENUE SUMMARY &amp; BRIDGE  ★  [ Primary outputs — Tab 06 Compensation Engine links here ]</t>
        </is>
      </c>
    </row>
    <row r="186" ht="3.75" customHeight="1" s="290"/>
    <row r="187" ht="12.75" customHeight="1" s="290">
      <c r="A187" s="348" t="inlineStr">
        <is>
          <t xml:space="preserve">  All four net GCI rows consolidated here. Tab 06 Compensation Engine links ONLY to the Net GCI rows in this section. Tab 08 P&amp;L links to Total GCI row. Dashboard links to annual summary rows at the bottom of this section.</t>
        </is>
      </c>
    </row>
    <row r="188" ht="3.75" customHeight="1" s="290"/>
    <row r="189" ht="15" customHeight="1" s="290">
      <c r="A189" s="307" t="inlineStr">
        <is>
          <t xml:space="preserve">    E1 — GCI CONSOLIDATION</t>
        </is>
      </c>
    </row>
    <row r="190" ht="3" customHeight="1" s="290"/>
    <row r="191" ht="13.5" customHeight="1" s="290">
      <c r="A191" s="345" t="n"/>
      <c r="B191" s="370" t="inlineStr">
        <is>
          <t xml:space="preserve">  Leasing GCI</t>
        </is>
      </c>
      <c r="C191" s="371" t="inlineStr">
        <is>
          <t>$K</t>
        </is>
      </c>
      <c r="D191" s="394" t="inlineStr">
        <is>
          <t>← Section A row 41</t>
        </is>
      </c>
      <c r="E191" s="361">
        <f>E41</f>
        <v/>
      </c>
      <c r="F191" s="361">
        <f>F41</f>
        <v/>
      </c>
      <c r="G191" s="361">
        <f>G41</f>
        <v/>
      </c>
      <c r="H191" s="361">
        <f>H41</f>
        <v/>
      </c>
      <c r="I191" s="361">
        <f>SUM(E191:H191)</f>
        <v/>
      </c>
      <c r="J191" s="361">
        <f>J41</f>
        <v/>
      </c>
      <c r="K191" s="361">
        <f>K41</f>
        <v/>
      </c>
      <c r="L191" s="361">
        <f>L41</f>
        <v/>
      </c>
      <c r="M191" s="361">
        <f>M41</f>
        <v/>
      </c>
      <c r="N191" s="361">
        <f>SUM(J191:M191)</f>
        <v/>
      </c>
      <c r="O191" s="361">
        <f>O41</f>
        <v/>
      </c>
      <c r="P191" s="361">
        <f>P41</f>
        <v/>
      </c>
      <c r="Q191" s="361">
        <f>Q41</f>
        <v/>
      </c>
      <c r="R191" s="361">
        <f>R41</f>
        <v/>
      </c>
      <c r="S191" s="361">
        <f>SUM(O191:R191)</f>
        <v/>
      </c>
      <c r="T191" s="361">
        <f>T41</f>
        <v/>
      </c>
      <c r="U191" s="361">
        <f>U41</f>
        <v/>
      </c>
      <c r="V191" s="361">
        <f>V41</f>
        <v/>
      </c>
      <c r="W191" s="361">
        <f>W41</f>
        <v/>
      </c>
      <c r="X191" s="361">
        <f>SUM(T191:W191)</f>
        <v/>
      </c>
      <c r="Y191" s="361">
        <f>Y41</f>
        <v/>
      </c>
      <c r="Z191" s="361">
        <f>Z41</f>
        <v/>
      </c>
      <c r="AA191" s="361">
        <f>AA41</f>
        <v/>
      </c>
      <c r="AB191" s="361">
        <f>AB41</f>
        <v/>
      </c>
      <c r="AC191" s="361">
        <f>SUM(Y191:AB191)</f>
        <v/>
      </c>
      <c r="AD191" s="361">
        <f>AD41</f>
        <v/>
      </c>
      <c r="AE191" s="361">
        <f>AE41</f>
        <v/>
      </c>
      <c r="AF191" s="361">
        <f>AF41</f>
        <v/>
      </c>
      <c r="AG191" s="361">
        <f>AG41</f>
        <v/>
      </c>
      <c r="AH191" s="361">
        <f>SUM(AD191:AG191)</f>
        <v/>
      </c>
      <c r="AI191" s="361">
        <f>AI41</f>
        <v/>
      </c>
      <c r="AJ191" s="361">
        <f>AJ41</f>
        <v/>
      </c>
      <c r="AK191" s="361">
        <f>AK41</f>
        <v/>
      </c>
      <c r="AL191" s="361">
        <f>AL41</f>
        <v/>
      </c>
      <c r="AM191" s="361">
        <f>SUM(AI191:AL191)</f>
        <v/>
      </c>
      <c r="AN191" s="361">
        <f>AN41</f>
        <v/>
      </c>
      <c r="AO191" s="361">
        <f>AO41</f>
        <v/>
      </c>
      <c r="AP191" s="361">
        <f>AP41</f>
        <v/>
      </c>
      <c r="AQ191" s="361">
        <f>AQ41</f>
        <v/>
      </c>
      <c r="AR191" s="361">
        <f>SUM(AN191:AQ191)</f>
        <v/>
      </c>
    </row>
    <row r="192" ht="13.5" customHeight="1" s="290">
      <c r="A192" s="345" t="n"/>
      <c r="B192" s="370" t="inlineStr">
        <is>
          <t xml:space="preserve">  Investment Sales GCI</t>
        </is>
      </c>
      <c r="C192" s="371" t="inlineStr">
        <is>
          <t>$K</t>
        </is>
      </c>
      <c r="D192" s="394" t="inlineStr">
        <is>
          <t>← Section B row 88</t>
        </is>
      </c>
      <c r="E192" s="361">
        <f>E88</f>
        <v/>
      </c>
      <c r="F192" s="361">
        <f>F88</f>
        <v/>
      </c>
      <c r="G192" s="361">
        <f>G88</f>
        <v/>
      </c>
      <c r="H192" s="361">
        <f>H88</f>
        <v/>
      </c>
      <c r="I192" s="361">
        <f>SUM(E192:H192)</f>
        <v/>
      </c>
      <c r="J192" s="361">
        <f>J88</f>
        <v/>
      </c>
      <c r="K192" s="361">
        <f>K88</f>
        <v/>
      </c>
      <c r="L192" s="361">
        <f>L88</f>
        <v/>
      </c>
      <c r="M192" s="361">
        <f>M88</f>
        <v/>
      </c>
      <c r="N192" s="361">
        <f>SUM(J192:M192)</f>
        <v/>
      </c>
      <c r="O192" s="361">
        <f>O88</f>
        <v/>
      </c>
      <c r="P192" s="361">
        <f>P88</f>
        <v/>
      </c>
      <c r="Q192" s="361">
        <f>Q88</f>
        <v/>
      </c>
      <c r="R192" s="361">
        <f>R88</f>
        <v/>
      </c>
      <c r="S192" s="361">
        <f>SUM(O192:R192)</f>
        <v/>
      </c>
      <c r="T192" s="361">
        <f>T88</f>
        <v/>
      </c>
      <c r="U192" s="361">
        <f>U88</f>
        <v/>
      </c>
      <c r="V192" s="361">
        <f>V88</f>
        <v/>
      </c>
      <c r="W192" s="361">
        <f>W88</f>
        <v/>
      </c>
      <c r="X192" s="361">
        <f>SUM(T192:W192)</f>
        <v/>
      </c>
      <c r="Y192" s="361">
        <f>Y88</f>
        <v/>
      </c>
      <c r="Z192" s="361">
        <f>Z88</f>
        <v/>
      </c>
      <c r="AA192" s="361">
        <f>AA88</f>
        <v/>
      </c>
      <c r="AB192" s="361">
        <f>AB88</f>
        <v/>
      </c>
      <c r="AC192" s="361">
        <f>SUM(Y192:AB192)</f>
        <v/>
      </c>
      <c r="AD192" s="361">
        <f>AD88</f>
        <v/>
      </c>
      <c r="AE192" s="361">
        <f>AE88</f>
        <v/>
      </c>
      <c r="AF192" s="361">
        <f>AF88</f>
        <v/>
      </c>
      <c r="AG192" s="361">
        <f>AG88</f>
        <v/>
      </c>
      <c r="AH192" s="361">
        <f>SUM(AD192:AG192)</f>
        <v/>
      </c>
      <c r="AI192" s="361">
        <f>AI88</f>
        <v/>
      </c>
      <c r="AJ192" s="361">
        <f>AJ88</f>
        <v/>
      </c>
      <c r="AK192" s="361">
        <f>AK88</f>
        <v/>
      </c>
      <c r="AL192" s="361">
        <f>AL88</f>
        <v/>
      </c>
      <c r="AM192" s="361">
        <f>SUM(AI192:AL192)</f>
        <v/>
      </c>
      <c r="AN192" s="361">
        <f>AN88</f>
        <v/>
      </c>
      <c r="AO192" s="361">
        <f>AO88</f>
        <v/>
      </c>
      <c r="AP192" s="361">
        <f>AP88</f>
        <v/>
      </c>
      <c r="AQ192" s="361">
        <f>AQ88</f>
        <v/>
      </c>
      <c r="AR192" s="361">
        <f>SUM(AN192:AQ192)</f>
        <v/>
      </c>
    </row>
    <row r="193" ht="13.5" customHeight="1" s="290">
      <c r="A193" s="345" t="n"/>
      <c r="B193" s="370" t="inlineStr">
        <is>
          <t xml:space="preserve">  D&amp;E Placement GCI</t>
        </is>
      </c>
      <c r="C193" s="371" t="inlineStr">
        <is>
          <t>$K</t>
        </is>
      </c>
      <c r="D193" s="394" t="inlineStr">
        <is>
          <t>← Section C row 138</t>
        </is>
      </c>
      <c r="E193" s="361">
        <f>E138</f>
        <v/>
      </c>
      <c r="F193" s="361">
        <f>F138</f>
        <v/>
      </c>
      <c r="G193" s="361">
        <f>G138</f>
        <v/>
      </c>
      <c r="H193" s="361">
        <f>H138</f>
        <v/>
      </c>
      <c r="I193" s="361">
        <f>SUM(E193:H193)</f>
        <v/>
      </c>
      <c r="J193" s="361">
        <f>J138</f>
        <v/>
      </c>
      <c r="K193" s="361">
        <f>K138</f>
        <v/>
      </c>
      <c r="L193" s="361">
        <f>L138</f>
        <v/>
      </c>
      <c r="M193" s="361">
        <f>M138</f>
        <v/>
      </c>
      <c r="N193" s="361">
        <f>SUM(J193:M193)</f>
        <v/>
      </c>
      <c r="O193" s="361">
        <f>O138</f>
        <v/>
      </c>
      <c r="P193" s="361">
        <f>P138</f>
        <v/>
      </c>
      <c r="Q193" s="361">
        <f>Q138</f>
        <v/>
      </c>
      <c r="R193" s="361">
        <f>R138</f>
        <v/>
      </c>
      <c r="S193" s="361">
        <f>SUM(O193:R193)</f>
        <v/>
      </c>
      <c r="T193" s="361">
        <f>T138</f>
        <v/>
      </c>
      <c r="U193" s="361">
        <f>U138</f>
        <v/>
      </c>
      <c r="V193" s="361">
        <f>V138</f>
        <v/>
      </c>
      <c r="W193" s="361">
        <f>W138</f>
        <v/>
      </c>
      <c r="X193" s="361">
        <f>SUM(T193:W193)</f>
        <v/>
      </c>
      <c r="Y193" s="361">
        <f>Y138</f>
        <v/>
      </c>
      <c r="Z193" s="361">
        <f>Z138</f>
        <v/>
      </c>
      <c r="AA193" s="361">
        <f>AA138</f>
        <v/>
      </c>
      <c r="AB193" s="361">
        <f>AB138</f>
        <v/>
      </c>
      <c r="AC193" s="361">
        <f>SUM(Y193:AB193)</f>
        <v/>
      </c>
      <c r="AD193" s="361">
        <f>AD138</f>
        <v/>
      </c>
      <c r="AE193" s="361">
        <f>AE138</f>
        <v/>
      </c>
      <c r="AF193" s="361">
        <f>AF138</f>
        <v/>
      </c>
      <c r="AG193" s="361">
        <f>AG138</f>
        <v/>
      </c>
      <c r="AH193" s="361">
        <f>SUM(AD193:AG193)</f>
        <v/>
      </c>
      <c r="AI193" s="361">
        <f>AI138</f>
        <v/>
      </c>
      <c r="AJ193" s="361">
        <f>AJ138</f>
        <v/>
      </c>
      <c r="AK193" s="361">
        <f>AK138</f>
        <v/>
      </c>
      <c r="AL193" s="361">
        <f>AL138</f>
        <v/>
      </c>
      <c r="AM193" s="361">
        <f>SUM(AI193:AL193)</f>
        <v/>
      </c>
      <c r="AN193" s="361">
        <f>AN138</f>
        <v/>
      </c>
      <c r="AO193" s="361">
        <f>AO138</f>
        <v/>
      </c>
      <c r="AP193" s="361">
        <f>AP138</f>
        <v/>
      </c>
      <c r="AQ193" s="361">
        <f>AQ138</f>
        <v/>
      </c>
      <c r="AR193" s="361">
        <f>SUM(AN193:AQ193)</f>
        <v/>
      </c>
    </row>
    <row r="194" ht="13.5" customHeight="1" s="290">
      <c r="A194" s="345" t="n"/>
      <c r="B194" s="370" t="inlineStr">
        <is>
          <t xml:space="preserve">  Valuation &amp; Advisory Revenue</t>
        </is>
      </c>
      <c r="C194" s="371" t="inlineStr">
        <is>
          <t>$K</t>
        </is>
      </c>
      <c r="D194" s="394" t="inlineStr">
        <is>
          <t>← Section D row 175</t>
        </is>
      </c>
      <c r="E194" s="361">
        <f>E175</f>
        <v/>
      </c>
      <c r="F194" s="361">
        <f>F175</f>
        <v/>
      </c>
      <c r="G194" s="361">
        <f>G175</f>
        <v/>
      </c>
      <c r="H194" s="361">
        <f>H175</f>
        <v/>
      </c>
      <c r="I194" s="361">
        <f>SUM(E194:H194)</f>
        <v/>
      </c>
      <c r="J194" s="361">
        <f>J175</f>
        <v/>
      </c>
      <c r="K194" s="361">
        <f>K175</f>
        <v/>
      </c>
      <c r="L194" s="361">
        <f>L175</f>
        <v/>
      </c>
      <c r="M194" s="361">
        <f>M175</f>
        <v/>
      </c>
      <c r="N194" s="361">
        <f>SUM(J194:M194)</f>
        <v/>
      </c>
      <c r="O194" s="361">
        <f>O175</f>
        <v/>
      </c>
      <c r="P194" s="361">
        <f>P175</f>
        <v/>
      </c>
      <c r="Q194" s="361">
        <f>Q175</f>
        <v/>
      </c>
      <c r="R194" s="361">
        <f>R175</f>
        <v/>
      </c>
      <c r="S194" s="361">
        <f>SUM(O194:R194)</f>
        <v/>
      </c>
      <c r="T194" s="361">
        <f>T175</f>
        <v/>
      </c>
      <c r="U194" s="361">
        <f>U175</f>
        <v/>
      </c>
      <c r="V194" s="361">
        <f>V175</f>
        <v/>
      </c>
      <c r="W194" s="361">
        <f>W175</f>
        <v/>
      </c>
      <c r="X194" s="361">
        <f>SUM(T194:W194)</f>
        <v/>
      </c>
      <c r="Y194" s="361">
        <f>Y175</f>
        <v/>
      </c>
      <c r="Z194" s="361">
        <f>Z175</f>
        <v/>
      </c>
      <c r="AA194" s="361">
        <f>AA175</f>
        <v/>
      </c>
      <c r="AB194" s="361">
        <f>AB175</f>
        <v/>
      </c>
      <c r="AC194" s="361">
        <f>SUM(Y194:AB194)</f>
        <v/>
      </c>
      <c r="AD194" s="361">
        <f>AD175</f>
        <v/>
      </c>
      <c r="AE194" s="361">
        <f>AE175</f>
        <v/>
      </c>
      <c r="AF194" s="361">
        <f>AF175</f>
        <v/>
      </c>
      <c r="AG194" s="361">
        <f>AG175</f>
        <v/>
      </c>
      <c r="AH194" s="361">
        <f>SUM(AD194:AG194)</f>
        <v/>
      </c>
      <c r="AI194" s="361">
        <f>AI175</f>
        <v/>
      </c>
      <c r="AJ194" s="361">
        <f>AJ175</f>
        <v/>
      </c>
      <c r="AK194" s="361">
        <f>AK175</f>
        <v/>
      </c>
      <c r="AL194" s="361">
        <f>AL175</f>
        <v/>
      </c>
      <c r="AM194" s="361">
        <f>SUM(AI194:AL194)</f>
        <v/>
      </c>
      <c r="AN194" s="361">
        <f>AN175</f>
        <v/>
      </c>
      <c r="AO194" s="361">
        <f>AO175</f>
        <v/>
      </c>
      <c r="AP194" s="361">
        <f>AP175</f>
        <v/>
      </c>
      <c r="AQ194" s="361">
        <f>AQ175</f>
        <v/>
      </c>
      <c r="AR194" s="361">
        <f>SUM(AN194:AQ194)</f>
        <v/>
      </c>
    </row>
    <row r="195" ht="15.75" customHeight="1" s="290">
      <c r="A195" s="397" t="n"/>
      <c r="B195" s="338" t="inlineStr">
        <is>
          <t xml:space="preserve">  ★ TOTAL GCI / FIRM REVENUE</t>
        </is>
      </c>
      <c r="C195" s="406" t="inlineStr">
        <is>
          <t>$K</t>
        </is>
      </c>
      <c r="D195" s="400" t="inlineStr">
        <is>
          <t xml:space="preserve"> sum of all four business lines</t>
        </is>
      </c>
      <c r="E195" s="407">
        <f>E191+E192+E193+E194</f>
        <v/>
      </c>
      <c r="F195" s="407">
        <f>F191+F192+F193+F194</f>
        <v/>
      </c>
      <c r="G195" s="407">
        <f>G191+G192+G193+G194</f>
        <v/>
      </c>
      <c r="H195" s="407">
        <f>H191+H192+H193+H194</f>
        <v/>
      </c>
      <c r="I195" s="407">
        <f>SUM(E195:H195)</f>
        <v/>
      </c>
      <c r="J195" s="407">
        <f>J191+J192+J193+J194</f>
        <v/>
      </c>
      <c r="K195" s="407">
        <f>K191+K192+K193+K194</f>
        <v/>
      </c>
      <c r="L195" s="407">
        <f>L191+L192+L193+L194</f>
        <v/>
      </c>
      <c r="M195" s="407">
        <f>M191+M192+M193+M194</f>
        <v/>
      </c>
      <c r="N195" s="407">
        <f>SUM(J195:M195)</f>
        <v/>
      </c>
      <c r="O195" s="407">
        <f>O191+O192+O193+O194</f>
        <v/>
      </c>
      <c r="P195" s="407">
        <f>P191+P192+P193+P194</f>
        <v/>
      </c>
      <c r="Q195" s="407">
        <f>Q191+Q192+Q193+Q194</f>
        <v/>
      </c>
      <c r="R195" s="407">
        <f>R191+R192+R193+R194</f>
        <v/>
      </c>
      <c r="S195" s="407">
        <f>SUM(O195:R195)</f>
        <v/>
      </c>
      <c r="T195" s="407">
        <f>T191+T192+T193+T194</f>
        <v/>
      </c>
      <c r="U195" s="407">
        <f>U191+U192+U193+U194</f>
        <v/>
      </c>
      <c r="V195" s="407">
        <f>V191+V192+V193+V194</f>
        <v/>
      </c>
      <c r="W195" s="407">
        <f>W191+W192+W193+W194</f>
        <v/>
      </c>
      <c r="X195" s="407">
        <f>SUM(T195:W195)</f>
        <v/>
      </c>
      <c r="Y195" s="407">
        <f>Y191+Y192+Y193+Y194</f>
        <v/>
      </c>
      <c r="Z195" s="407">
        <f>Z191+Z192+Z193+Z194</f>
        <v/>
      </c>
      <c r="AA195" s="407">
        <f>AA191+AA192+AA193+AA194</f>
        <v/>
      </c>
      <c r="AB195" s="407">
        <f>AB191+AB192+AB193+AB194</f>
        <v/>
      </c>
      <c r="AC195" s="407">
        <f>SUM(Y195:AB195)</f>
        <v/>
      </c>
      <c r="AD195" s="407">
        <f>AD191+AD192+AD193+AD194</f>
        <v/>
      </c>
      <c r="AE195" s="407">
        <f>AE191+AE192+AE193+AE194</f>
        <v/>
      </c>
      <c r="AF195" s="407">
        <f>AF191+AF192+AF193+AF194</f>
        <v/>
      </c>
      <c r="AG195" s="407">
        <f>AG191+AG192+AG193+AG194</f>
        <v/>
      </c>
      <c r="AH195" s="407">
        <f>SUM(AD195:AG195)</f>
        <v/>
      </c>
      <c r="AI195" s="407">
        <f>AI191+AI192+AI193+AI194</f>
        <v/>
      </c>
      <c r="AJ195" s="407">
        <f>AJ191+AJ192+AJ193+AJ194</f>
        <v/>
      </c>
      <c r="AK195" s="407">
        <f>AK191+AK192+AK193+AK194</f>
        <v/>
      </c>
      <c r="AL195" s="407">
        <f>AL191+AL192+AL193+AL194</f>
        <v/>
      </c>
      <c r="AM195" s="407">
        <f>SUM(AI195:AL195)</f>
        <v/>
      </c>
      <c r="AN195" s="407">
        <f>AN191+AN192+AN193+AN194</f>
        <v/>
      </c>
      <c r="AO195" s="407">
        <f>AO191+AO192+AO193+AO194</f>
        <v/>
      </c>
      <c r="AP195" s="407">
        <f>AP191+AP192+AP193+AP194</f>
        <v/>
      </c>
      <c r="AQ195" s="407">
        <f>AQ191+AQ192+AQ193+AQ194</f>
        <v/>
      </c>
      <c r="AR195" s="407">
        <f>SUM(AN195:AQ195)</f>
        <v/>
      </c>
    </row>
    <row r="196" ht="3.75" customHeight="1" s="290"/>
    <row r="197" ht="15" customHeight="1" s="290">
      <c r="A197" s="307" t="inlineStr">
        <is>
          <t xml:space="preserve">    E2 — REVENUE MIX</t>
        </is>
      </c>
    </row>
    <row r="198" ht="3" customHeight="1" s="290"/>
    <row r="199" ht="13.5" customHeight="1" s="290">
      <c r="A199" s="395" t="n"/>
      <c r="B199" s="373" t="inlineStr">
        <is>
          <t xml:space="preserve">  Leasing % of Total GCI</t>
        </is>
      </c>
      <c r="C199" s="374" t="inlineStr">
        <is>
          <t>%</t>
        </is>
      </c>
      <c r="D199" s="396" t="inlineStr">
        <is>
          <t xml:space="preserve"> leasing gci ÷ Total GCI</t>
        </is>
      </c>
      <c r="E199" s="376">
        <f>IFERROR(E191/E195,0)</f>
        <v/>
      </c>
      <c r="F199" s="376">
        <f>IFERROR(F191/F195,0)</f>
        <v/>
      </c>
      <c r="G199" s="376">
        <f>IFERROR(G191/G195,0)</f>
        <v/>
      </c>
      <c r="H199" s="376">
        <f>IFERROR(H191/H195,0)</f>
        <v/>
      </c>
      <c r="I199" s="376">
        <f>IFERROR(I191/I195,0)</f>
        <v/>
      </c>
      <c r="J199" s="376">
        <f>IFERROR(J191/J195,0)</f>
        <v/>
      </c>
      <c r="K199" s="376">
        <f>IFERROR(K191/K195,0)</f>
        <v/>
      </c>
      <c r="L199" s="376">
        <f>IFERROR(L191/L195,0)</f>
        <v/>
      </c>
      <c r="M199" s="376">
        <f>IFERROR(M191/M195,0)</f>
        <v/>
      </c>
      <c r="N199" s="376">
        <f>IFERROR(N191/N195,0)</f>
        <v/>
      </c>
      <c r="O199" s="376">
        <f>IFERROR(O191/O195,0)</f>
        <v/>
      </c>
      <c r="P199" s="376">
        <f>IFERROR(P191/P195,0)</f>
        <v/>
      </c>
      <c r="Q199" s="376">
        <f>IFERROR(Q191/Q195,0)</f>
        <v/>
      </c>
      <c r="R199" s="376">
        <f>IFERROR(R191/R195,0)</f>
        <v/>
      </c>
      <c r="S199" s="376">
        <f>IFERROR(S191/S195,0)</f>
        <v/>
      </c>
      <c r="T199" s="376">
        <f>IFERROR(T191/T195,0)</f>
        <v/>
      </c>
      <c r="U199" s="376">
        <f>IFERROR(U191/U195,0)</f>
        <v/>
      </c>
      <c r="V199" s="376">
        <f>IFERROR(V191/V195,0)</f>
        <v/>
      </c>
      <c r="W199" s="376">
        <f>IFERROR(W191/W195,0)</f>
        <v/>
      </c>
      <c r="X199" s="376">
        <f>IFERROR(X191/X195,0)</f>
        <v/>
      </c>
      <c r="Y199" s="376">
        <f>IFERROR(Y191/Y195,0)</f>
        <v/>
      </c>
      <c r="Z199" s="376">
        <f>IFERROR(Z191/Z195,0)</f>
        <v/>
      </c>
      <c r="AA199" s="376">
        <f>IFERROR(AA191/AA195,0)</f>
        <v/>
      </c>
      <c r="AB199" s="376">
        <f>IFERROR(AB191/AB195,0)</f>
        <v/>
      </c>
      <c r="AC199" s="376">
        <f>IFERROR(AC191/AC195,0)</f>
        <v/>
      </c>
      <c r="AD199" s="376">
        <f>IFERROR(AD191/AD195,0)</f>
        <v/>
      </c>
      <c r="AE199" s="376">
        <f>IFERROR(AE191/AE195,0)</f>
        <v/>
      </c>
      <c r="AF199" s="376">
        <f>IFERROR(AF191/AF195,0)</f>
        <v/>
      </c>
      <c r="AG199" s="376">
        <f>IFERROR(AG191/AG195,0)</f>
        <v/>
      </c>
      <c r="AH199" s="376">
        <f>IFERROR(AH191/AH195,0)</f>
        <v/>
      </c>
      <c r="AI199" s="376">
        <f>IFERROR(AI191/AI195,0)</f>
        <v/>
      </c>
      <c r="AJ199" s="376">
        <f>IFERROR(AJ191/AJ195,0)</f>
        <v/>
      </c>
      <c r="AK199" s="376">
        <f>IFERROR(AK191/AK195,0)</f>
        <v/>
      </c>
      <c r="AL199" s="376">
        <f>IFERROR(AL191/AL195,0)</f>
        <v/>
      </c>
      <c r="AM199" s="376">
        <f>IFERROR(AM191/AM195,0)</f>
        <v/>
      </c>
      <c r="AN199" s="376">
        <f>IFERROR(AN191/AN195,0)</f>
        <v/>
      </c>
      <c r="AO199" s="376">
        <f>IFERROR(AO191/AO195,0)</f>
        <v/>
      </c>
      <c r="AP199" s="376">
        <f>IFERROR(AP191/AP195,0)</f>
        <v/>
      </c>
      <c r="AQ199" s="376">
        <f>IFERROR(AQ191/AQ195,0)</f>
        <v/>
      </c>
      <c r="AR199" s="376">
        <f>IFERROR(AR191/AR195,0)</f>
        <v/>
      </c>
    </row>
    <row r="200" ht="13.5" customHeight="1" s="290">
      <c r="A200" s="395" t="n"/>
      <c r="B200" s="373" t="inlineStr">
        <is>
          <t xml:space="preserve">  IS % of Total GCI</t>
        </is>
      </c>
      <c r="C200" s="374" t="inlineStr">
        <is>
          <t>%</t>
        </is>
      </c>
      <c r="D200" s="395" t="n"/>
      <c r="E200" s="376">
        <f>IFERROR(E192/E195,0)</f>
        <v/>
      </c>
      <c r="F200" s="376">
        <f>IFERROR(F192/F195,0)</f>
        <v/>
      </c>
      <c r="G200" s="376">
        <f>IFERROR(G192/G195,0)</f>
        <v/>
      </c>
      <c r="H200" s="376">
        <f>IFERROR(H192/H195,0)</f>
        <v/>
      </c>
      <c r="I200" s="376">
        <f>IFERROR(I192/I195,0)</f>
        <v/>
      </c>
      <c r="J200" s="376">
        <f>IFERROR(J192/J195,0)</f>
        <v/>
      </c>
      <c r="K200" s="376">
        <f>IFERROR(K192/K195,0)</f>
        <v/>
      </c>
      <c r="L200" s="376">
        <f>IFERROR(L192/L195,0)</f>
        <v/>
      </c>
      <c r="M200" s="376">
        <f>IFERROR(M192/M195,0)</f>
        <v/>
      </c>
      <c r="N200" s="376">
        <f>IFERROR(N192/N195,0)</f>
        <v/>
      </c>
      <c r="O200" s="376">
        <f>IFERROR(O192/O195,0)</f>
        <v/>
      </c>
      <c r="P200" s="376">
        <f>IFERROR(P192/P195,0)</f>
        <v/>
      </c>
      <c r="Q200" s="376">
        <f>IFERROR(Q192/Q195,0)</f>
        <v/>
      </c>
      <c r="R200" s="376">
        <f>IFERROR(R192/R195,0)</f>
        <v/>
      </c>
      <c r="S200" s="376">
        <f>IFERROR(S192/S195,0)</f>
        <v/>
      </c>
      <c r="T200" s="376">
        <f>IFERROR(T192/T195,0)</f>
        <v/>
      </c>
      <c r="U200" s="376">
        <f>IFERROR(U192/U195,0)</f>
        <v/>
      </c>
      <c r="V200" s="376">
        <f>IFERROR(V192/V195,0)</f>
        <v/>
      </c>
      <c r="W200" s="376">
        <f>IFERROR(W192/W195,0)</f>
        <v/>
      </c>
      <c r="X200" s="376">
        <f>IFERROR(X192/X195,0)</f>
        <v/>
      </c>
      <c r="Y200" s="376">
        <f>IFERROR(Y192/Y195,0)</f>
        <v/>
      </c>
      <c r="Z200" s="376">
        <f>IFERROR(Z192/Z195,0)</f>
        <v/>
      </c>
      <c r="AA200" s="376">
        <f>IFERROR(AA192/AA195,0)</f>
        <v/>
      </c>
      <c r="AB200" s="376">
        <f>IFERROR(AB192/AB195,0)</f>
        <v/>
      </c>
      <c r="AC200" s="376">
        <f>IFERROR(AC192/AC195,0)</f>
        <v/>
      </c>
      <c r="AD200" s="376">
        <f>IFERROR(AD192/AD195,0)</f>
        <v/>
      </c>
      <c r="AE200" s="376">
        <f>IFERROR(AE192/AE195,0)</f>
        <v/>
      </c>
      <c r="AF200" s="376">
        <f>IFERROR(AF192/AF195,0)</f>
        <v/>
      </c>
      <c r="AG200" s="376">
        <f>IFERROR(AG192/AG195,0)</f>
        <v/>
      </c>
      <c r="AH200" s="376">
        <f>IFERROR(AH192/AH195,0)</f>
        <v/>
      </c>
      <c r="AI200" s="376">
        <f>IFERROR(AI192/AI195,0)</f>
        <v/>
      </c>
      <c r="AJ200" s="376">
        <f>IFERROR(AJ192/AJ195,0)</f>
        <v/>
      </c>
      <c r="AK200" s="376">
        <f>IFERROR(AK192/AK195,0)</f>
        <v/>
      </c>
      <c r="AL200" s="376">
        <f>IFERROR(AL192/AL195,0)</f>
        <v/>
      </c>
      <c r="AM200" s="376">
        <f>IFERROR(AM192/AM195,0)</f>
        <v/>
      </c>
      <c r="AN200" s="376">
        <f>IFERROR(AN192/AN195,0)</f>
        <v/>
      </c>
      <c r="AO200" s="376">
        <f>IFERROR(AO192/AO195,0)</f>
        <v/>
      </c>
      <c r="AP200" s="376">
        <f>IFERROR(AP192/AP195,0)</f>
        <v/>
      </c>
      <c r="AQ200" s="376">
        <f>IFERROR(AQ192/AQ195,0)</f>
        <v/>
      </c>
      <c r="AR200" s="376">
        <f>IFERROR(AR192/AR195,0)</f>
        <v/>
      </c>
    </row>
    <row r="201" ht="13.5" customHeight="1" s="290">
      <c r="A201" s="395" t="n"/>
      <c r="B201" s="373" t="inlineStr">
        <is>
          <t xml:space="preserve">  D&amp;E % of Total GCI</t>
        </is>
      </c>
      <c r="C201" s="374" t="inlineStr">
        <is>
          <t>%</t>
        </is>
      </c>
      <c r="D201" s="395" t="n"/>
      <c r="E201" s="376">
        <f>IFERROR(E193/E195,0)</f>
        <v/>
      </c>
      <c r="F201" s="376">
        <f>IFERROR(F193/F195,0)</f>
        <v/>
      </c>
      <c r="G201" s="376">
        <f>IFERROR(G193/G195,0)</f>
        <v/>
      </c>
      <c r="H201" s="376">
        <f>IFERROR(H193/H195,0)</f>
        <v/>
      </c>
      <c r="I201" s="376">
        <f>IFERROR(I193/I195,0)</f>
        <v/>
      </c>
      <c r="J201" s="376">
        <f>IFERROR(J193/J195,0)</f>
        <v/>
      </c>
      <c r="K201" s="376">
        <f>IFERROR(K193/K195,0)</f>
        <v/>
      </c>
      <c r="L201" s="376">
        <f>IFERROR(L193/L195,0)</f>
        <v/>
      </c>
      <c r="M201" s="376">
        <f>IFERROR(M193/M195,0)</f>
        <v/>
      </c>
      <c r="N201" s="376">
        <f>IFERROR(N193/N195,0)</f>
        <v/>
      </c>
      <c r="O201" s="376">
        <f>IFERROR(O193/O195,0)</f>
        <v/>
      </c>
      <c r="P201" s="376">
        <f>IFERROR(P193/P195,0)</f>
        <v/>
      </c>
      <c r="Q201" s="376">
        <f>IFERROR(Q193/Q195,0)</f>
        <v/>
      </c>
      <c r="R201" s="376">
        <f>IFERROR(R193/R195,0)</f>
        <v/>
      </c>
      <c r="S201" s="376">
        <f>IFERROR(S193/S195,0)</f>
        <v/>
      </c>
      <c r="T201" s="376">
        <f>IFERROR(T193/T195,0)</f>
        <v/>
      </c>
      <c r="U201" s="376">
        <f>IFERROR(U193/U195,0)</f>
        <v/>
      </c>
      <c r="V201" s="376">
        <f>IFERROR(V193/V195,0)</f>
        <v/>
      </c>
      <c r="W201" s="376">
        <f>IFERROR(W193/W195,0)</f>
        <v/>
      </c>
      <c r="X201" s="376">
        <f>IFERROR(X193/X195,0)</f>
        <v/>
      </c>
      <c r="Y201" s="376">
        <f>IFERROR(Y193/Y195,0)</f>
        <v/>
      </c>
      <c r="Z201" s="376">
        <f>IFERROR(Z193/Z195,0)</f>
        <v/>
      </c>
      <c r="AA201" s="376">
        <f>IFERROR(AA193/AA195,0)</f>
        <v/>
      </c>
      <c r="AB201" s="376">
        <f>IFERROR(AB193/AB195,0)</f>
        <v/>
      </c>
      <c r="AC201" s="376">
        <f>IFERROR(AC193/AC195,0)</f>
        <v/>
      </c>
      <c r="AD201" s="376">
        <f>IFERROR(AD193/AD195,0)</f>
        <v/>
      </c>
      <c r="AE201" s="376">
        <f>IFERROR(AE193/AE195,0)</f>
        <v/>
      </c>
      <c r="AF201" s="376">
        <f>IFERROR(AF193/AF195,0)</f>
        <v/>
      </c>
      <c r="AG201" s="376">
        <f>IFERROR(AG193/AG195,0)</f>
        <v/>
      </c>
      <c r="AH201" s="376">
        <f>IFERROR(AH193/AH195,0)</f>
        <v/>
      </c>
      <c r="AI201" s="376">
        <f>IFERROR(AI193/AI195,0)</f>
        <v/>
      </c>
      <c r="AJ201" s="376">
        <f>IFERROR(AJ193/AJ195,0)</f>
        <v/>
      </c>
      <c r="AK201" s="376">
        <f>IFERROR(AK193/AK195,0)</f>
        <v/>
      </c>
      <c r="AL201" s="376">
        <f>IFERROR(AL193/AL195,0)</f>
        <v/>
      </c>
      <c r="AM201" s="376">
        <f>IFERROR(AM193/AM195,0)</f>
        <v/>
      </c>
      <c r="AN201" s="376">
        <f>IFERROR(AN193/AN195,0)</f>
        <v/>
      </c>
      <c r="AO201" s="376">
        <f>IFERROR(AO193/AO195,0)</f>
        <v/>
      </c>
      <c r="AP201" s="376">
        <f>IFERROR(AP193/AP195,0)</f>
        <v/>
      </c>
      <c r="AQ201" s="376">
        <f>IFERROR(AQ193/AQ195,0)</f>
        <v/>
      </c>
      <c r="AR201" s="376">
        <f>IFERROR(AR193/AR195,0)</f>
        <v/>
      </c>
    </row>
    <row r="202" ht="13.5" customHeight="1" s="290">
      <c r="A202" s="395" t="n"/>
      <c r="B202" s="373" t="inlineStr">
        <is>
          <t xml:space="preserve">  Advisory % of Total GCI</t>
        </is>
      </c>
      <c r="C202" s="374" t="inlineStr">
        <is>
          <t>%</t>
        </is>
      </c>
      <c r="D202" s="395" t="n"/>
      <c r="E202" s="376">
        <f>IFERROR(E194/E195,0)</f>
        <v/>
      </c>
      <c r="F202" s="376">
        <f>IFERROR(F194/F195,0)</f>
        <v/>
      </c>
      <c r="G202" s="376">
        <f>IFERROR(G194/G195,0)</f>
        <v/>
      </c>
      <c r="H202" s="376">
        <f>IFERROR(H194/H195,0)</f>
        <v/>
      </c>
      <c r="I202" s="376">
        <f>IFERROR(I194/I195,0)</f>
        <v/>
      </c>
      <c r="J202" s="376">
        <f>IFERROR(J194/J195,0)</f>
        <v/>
      </c>
      <c r="K202" s="376">
        <f>IFERROR(K194/K195,0)</f>
        <v/>
      </c>
      <c r="L202" s="376">
        <f>IFERROR(L194/L195,0)</f>
        <v/>
      </c>
      <c r="M202" s="376">
        <f>IFERROR(M194/M195,0)</f>
        <v/>
      </c>
      <c r="N202" s="376">
        <f>IFERROR(N194/N195,0)</f>
        <v/>
      </c>
      <c r="O202" s="376">
        <f>IFERROR(O194/O195,0)</f>
        <v/>
      </c>
      <c r="P202" s="376">
        <f>IFERROR(P194/P195,0)</f>
        <v/>
      </c>
      <c r="Q202" s="376">
        <f>IFERROR(Q194/Q195,0)</f>
        <v/>
      </c>
      <c r="R202" s="376">
        <f>IFERROR(R194/R195,0)</f>
        <v/>
      </c>
      <c r="S202" s="376">
        <f>IFERROR(S194/S195,0)</f>
        <v/>
      </c>
      <c r="T202" s="376">
        <f>IFERROR(T194/T195,0)</f>
        <v/>
      </c>
      <c r="U202" s="376">
        <f>IFERROR(U194/U195,0)</f>
        <v/>
      </c>
      <c r="V202" s="376">
        <f>IFERROR(V194/V195,0)</f>
        <v/>
      </c>
      <c r="W202" s="376">
        <f>IFERROR(W194/W195,0)</f>
        <v/>
      </c>
      <c r="X202" s="376">
        <f>IFERROR(X194/X195,0)</f>
        <v/>
      </c>
      <c r="Y202" s="376">
        <f>IFERROR(Y194/Y195,0)</f>
        <v/>
      </c>
      <c r="Z202" s="376">
        <f>IFERROR(Z194/Z195,0)</f>
        <v/>
      </c>
      <c r="AA202" s="376">
        <f>IFERROR(AA194/AA195,0)</f>
        <v/>
      </c>
      <c r="AB202" s="376">
        <f>IFERROR(AB194/AB195,0)</f>
        <v/>
      </c>
      <c r="AC202" s="376">
        <f>IFERROR(AC194/AC195,0)</f>
        <v/>
      </c>
      <c r="AD202" s="376">
        <f>IFERROR(AD194/AD195,0)</f>
        <v/>
      </c>
      <c r="AE202" s="376">
        <f>IFERROR(AE194/AE195,0)</f>
        <v/>
      </c>
      <c r="AF202" s="376">
        <f>IFERROR(AF194/AF195,0)</f>
        <v/>
      </c>
      <c r="AG202" s="376">
        <f>IFERROR(AG194/AG195,0)</f>
        <v/>
      </c>
      <c r="AH202" s="376">
        <f>IFERROR(AH194/AH195,0)</f>
        <v/>
      </c>
      <c r="AI202" s="376">
        <f>IFERROR(AI194/AI195,0)</f>
        <v/>
      </c>
      <c r="AJ202" s="376">
        <f>IFERROR(AJ194/AJ195,0)</f>
        <v/>
      </c>
      <c r="AK202" s="376">
        <f>IFERROR(AK194/AK195,0)</f>
        <v/>
      </c>
      <c r="AL202" s="376">
        <f>IFERROR(AL194/AL195,0)</f>
        <v/>
      </c>
      <c r="AM202" s="376">
        <f>IFERROR(AM194/AM195,0)</f>
        <v/>
      </c>
      <c r="AN202" s="376">
        <f>IFERROR(AN194/AN195,0)</f>
        <v/>
      </c>
      <c r="AO202" s="376">
        <f>IFERROR(AO194/AO195,0)</f>
        <v/>
      </c>
      <c r="AP202" s="376">
        <f>IFERROR(AP194/AP195,0)</f>
        <v/>
      </c>
      <c r="AQ202" s="376">
        <f>IFERROR(AQ194/AQ195,0)</f>
        <v/>
      </c>
      <c r="AR202" s="376">
        <f>IFERROR(AR194/AR195,0)</f>
        <v/>
      </c>
    </row>
    <row r="203" ht="13.5" customHeight="1" s="290">
      <c r="A203" s="359" t="n"/>
      <c r="B203" s="353" t="inlineStr">
        <is>
          <t xml:space="preserve">  ✔  Mix Check — Sum = 100%</t>
        </is>
      </c>
      <c r="D203" s="354" t="inlineStr">
        <is>
          <t>Mix rows 199-202</t>
        </is>
      </c>
      <c r="E203" s="368" t="inlineStr">
        <is>
          <t>—</t>
        </is>
      </c>
      <c r="F203" s="368" t="inlineStr">
        <is>
          <t>—</t>
        </is>
      </c>
      <c r="G203" s="368" t="inlineStr">
        <is>
          <t>—</t>
        </is>
      </c>
      <c r="H203" s="368" t="inlineStr">
        <is>
          <t>—</t>
        </is>
      </c>
      <c r="I203" s="356">
        <f>IF(ABS(I199+I200+I201+I202-1)&lt;0.001,"PASS","FAIL — MIX ≠ 100%")</f>
        <v/>
      </c>
      <c r="J203" s="368" t="inlineStr">
        <is>
          <t>—</t>
        </is>
      </c>
      <c r="K203" s="368" t="inlineStr">
        <is>
          <t>—</t>
        </is>
      </c>
      <c r="L203" s="368" t="inlineStr">
        <is>
          <t>—</t>
        </is>
      </c>
      <c r="M203" s="368" t="inlineStr">
        <is>
          <t>—</t>
        </is>
      </c>
      <c r="N203" s="356">
        <f>IF(ABS(N199+N200+N201+N202-1)&lt;0.001,"PASS","FAIL — MIX ≠ 100%")</f>
        <v/>
      </c>
      <c r="O203" s="368" t="inlineStr">
        <is>
          <t>—</t>
        </is>
      </c>
      <c r="P203" s="368" t="inlineStr">
        <is>
          <t>—</t>
        </is>
      </c>
      <c r="Q203" s="368" t="inlineStr">
        <is>
          <t>—</t>
        </is>
      </c>
      <c r="R203" s="368" t="inlineStr">
        <is>
          <t>—</t>
        </is>
      </c>
      <c r="S203" s="356">
        <f>IF(ABS(S199+S200+S201+S202-1)&lt;0.001,"PASS","FAIL — MIX ≠ 100%")</f>
        <v/>
      </c>
      <c r="T203" s="368" t="inlineStr">
        <is>
          <t>—</t>
        </is>
      </c>
      <c r="U203" s="368" t="inlineStr">
        <is>
          <t>—</t>
        </is>
      </c>
      <c r="V203" s="368" t="inlineStr">
        <is>
          <t>—</t>
        </is>
      </c>
      <c r="W203" s="368" t="inlineStr">
        <is>
          <t>—</t>
        </is>
      </c>
      <c r="X203" s="356">
        <f>IF(ABS(X199+X200+X201+X202-1)&lt;0.001,"PASS","FAIL — MIX ≠ 100%")</f>
        <v/>
      </c>
      <c r="Y203" s="368" t="inlineStr">
        <is>
          <t>—</t>
        </is>
      </c>
      <c r="Z203" s="368" t="inlineStr">
        <is>
          <t>—</t>
        </is>
      </c>
      <c r="AA203" s="368" t="inlineStr">
        <is>
          <t>—</t>
        </is>
      </c>
      <c r="AB203" s="368" t="inlineStr">
        <is>
          <t>—</t>
        </is>
      </c>
      <c r="AC203" s="356">
        <f>IF(ABS(AC199+AC200+AC201+AC202-1)&lt;0.001,"PASS","FAIL — MIX ≠ 100%")</f>
        <v/>
      </c>
      <c r="AD203" s="368" t="inlineStr">
        <is>
          <t>—</t>
        </is>
      </c>
      <c r="AE203" s="368" t="inlineStr">
        <is>
          <t>—</t>
        </is>
      </c>
      <c r="AF203" s="368" t="inlineStr">
        <is>
          <t>—</t>
        </is>
      </c>
      <c r="AG203" s="368" t="inlineStr">
        <is>
          <t>—</t>
        </is>
      </c>
      <c r="AH203" s="356">
        <f>IF(ABS(AH199+AH200+AH201+AH202-1)&lt;0.001,"PASS","FAIL — MIX ≠ 100%")</f>
        <v/>
      </c>
      <c r="AI203" s="368" t="inlineStr">
        <is>
          <t>—</t>
        </is>
      </c>
      <c r="AJ203" s="368" t="inlineStr">
        <is>
          <t>—</t>
        </is>
      </c>
      <c r="AK203" s="368" t="inlineStr">
        <is>
          <t>—</t>
        </is>
      </c>
      <c r="AL203" s="368" t="inlineStr">
        <is>
          <t>—</t>
        </is>
      </c>
      <c r="AM203" s="356">
        <f>IF(ABS(AM199+AM200+AM201+AM202-1)&lt;0.001,"PASS","FAIL — MIX ≠ 100%")</f>
        <v/>
      </c>
      <c r="AN203" s="368" t="inlineStr">
        <is>
          <t>—</t>
        </is>
      </c>
      <c r="AO203" s="368" t="inlineStr">
        <is>
          <t>—</t>
        </is>
      </c>
      <c r="AP203" s="368" t="inlineStr">
        <is>
          <t>—</t>
        </is>
      </c>
      <c r="AQ203" s="368" t="inlineStr">
        <is>
          <t>—</t>
        </is>
      </c>
      <c r="AR203" s="356">
        <f>IF(ABS(AR199+AR200+AR201+AR202-1)&lt;0.001,"PASS","FAIL — MIX ≠ 100%")</f>
        <v/>
      </c>
    </row>
    <row r="204" ht="4.5" customHeight="1" s="290"/>
    <row r="205" ht="15" customHeight="1" s="290">
      <c r="A205" s="307" t="inlineStr">
        <is>
          <t xml:space="preserve">    E3 — REVENUE BRIDGE  (Period-over-Period)</t>
        </is>
      </c>
    </row>
    <row r="206" ht="3.75" customHeight="1" s="290"/>
    <row r="207" ht="12.75" customHeight="1" s="290">
      <c r="A207" s="348" t="inlineStr">
        <is>
          <t xml:space="preserve">  Revenue bridge decomposes the change in Total GCI into four driver effects. Run for each annual period. Quarterly columns show same-quarter YoY bridge (approx). Bridge check: Prior GCI + sum of effects = Current GCI (within rounding tolerance).</t>
        </is>
      </c>
    </row>
    <row r="208" ht="3" customHeight="1" s="290"/>
    <row r="209" ht="13.5" customHeight="1" s="290">
      <c r="A209" s="408" t="n"/>
      <c r="B209" s="409" t="inlineStr">
        <is>
          <t xml:space="preserve">  Bridge — Prior Period Total GCI</t>
        </is>
      </c>
      <c r="C209" s="410" t="inlineStr">
        <is>
          <t>$K</t>
        </is>
      </c>
      <c r="D209" s="411" t="inlineStr">
        <is>
          <t xml:space="preserve"> total gci, same quarter prior YEAR(5 cols back)</t>
        </is>
      </c>
      <c r="E209" s="412">
        <f>0</f>
        <v/>
      </c>
      <c r="F209" s="412">
        <f>0</f>
        <v/>
      </c>
      <c r="G209" s="412">
        <f>0</f>
        <v/>
      </c>
      <c r="H209" s="412">
        <f>0</f>
        <v/>
      </c>
      <c r="I209" s="344">
        <f>0</f>
        <v/>
      </c>
      <c r="J209" s="412">
        <f>E195</f>
        <v/>
      </c>
      <c r="K209" s="412">
        <f>F195</f>
        <v/>
      </c>
      <c r="L209" s="412">
        <f>G195</f>
        <v/>
      </c>
      <c r="M209" s="412">
        <f>H195</f>
        <v/>
      </c>
      <c r="N209" s="344">
        <f>I195</f>
        <v/>
      </c>
      <c r="O209" s="412">
        <f>J195</f>
        <v/>
      </c>
      <c r="P209" s="412">
        <f>K195</f>
        <v/>
      </c>
      <c r="Q209" s="412">
        <f>L195</f>
        <v/>
      </c>
      <c r="R209" s="412">
        <f>M195</f>
        <v/>
      </c>
      <c r="S209" s="344">
        <f>N195</f>
        <v/>
      </c>
      <c r="T209" s="412">
        <f>O195</f>
        <v/>
      </c>
      <c r="U209" s="412">
        <f>P195</f>
        <v/>
      </c>
      <c r="V209" s="412">
        <f>Q195</f>
        <v/>
      </c>
      <c r="W209" s="412">
        <f>R195</f>
        <v/>
      </c>
      <c r="X209" s="344">
        <f>S195</f>
        <v/>
      </c>
      <c r="Y209" s="412">
        <f>T195</f>
        <v/>
      </c>
      <c r="Z209" s="412">
        <f>U195</f>
        <v/>
      </c>
      <c r="AA209" s="412">
        <f>V195</f>
        <v/>
      </c>
      <c r="AB209" s="412">
        <f>W195</f>
        <v/>
      </c>
      <c r="AC209" s="344">
        <f>X195</f>
        <v/>
      </c>
      <c r="AD209" s="412">
        <f>Y195</f>
        <v/>
      </c>
      <c r="AE209" s="412">
        <f>Z195</f>
        <v/>
      </c>
      <c r="AF209" s="412">
        <f>AA195</f>
        <v/>
      </c>
      <c r="AG209" s="412">
        <f>AB195</f>
        <v/>
      </c>
      <c r="AH209" s="344">
        <f>AC195</f>
        <v/>
      </c>
      <c r="AI209" s="412">
        <f>AD195</f>
        <v/>
      </c>
      <c r="AJ209" s="412">
        <f>AE195</f>
        <v/>
      </c>
      <c r="AK209" s="412">
        <f>AF195</f>
        <v/>
      </c>
      <c r="AL209" s="412">
        <f>AG195</f>
        <v/>
      </c>
      <c r="AM209" s="344">
        <f>AH195</f>
        <v/>
      </c>
      <c r="AN209" s="412">
        <f>AI195</f>
        <v/>
      </c>
      <c r="AO209" s="412">
        <f>AJ195</f>
        <v/>
      </c>
      <c r="AP209" s="412">
        <f>AK195</f>
        <v/>
      </c>
      <c r="AQ209" s="412">
        <f>AL195</f>
        <v/>
      </c>
      <c r="AR209" s="344">
        <f>AM195</f>
        <v/>
      </c>
    </row>
    <row r="210" ht="13.5" customHeight="1" s="290">
      <c r="A210" s="408" t="n"/>
      <c r="B210" s="409" t="inlineStr">
        <is>
          <t xml:space="preserve">  Bridge — Volume / Market Activity Effect</t>
        </is>
      </c>
      <c r="C210" s="410" t="inlineStr">
        <is>
          <t>$K</t>
        </is>
      </c>
      <c r="D210" s="411" t="inlineStr">
        <is>
          <t>≈ Change in IS market vol × prior period market share × prior GCI per vol unit</t>
        </is>
      </c>
      <c r="E210" s="412">
        <f>0</f>
        <v/>
      </c>
      <c r="F210" s="412">
        <f>0</f>
        <v/>
      </c>
      <c r="G210" s="412">
        <f>0</f>
        <v/>
      </c>
      <c r="H210" s="412">
        <f>0</f>
        <v/>
      </c>
      <c r="I210" s="344">
        <f>SUM(E210:H210)</f>
        <v/>
      </c>
      <c r="J210" s="412">
        <f>IFERROR((J68-E68)*E95*E88/IFERROR(E80/(E68*1000),1),0)</f>
        <v/>
      </c>
      <c r="K210" s="412">
        <f>IFERROR((K68-F68)*F95*F88/IFERROR(F80/(F68*1000),1),0)</f>
        <v/>
      </c>
      <c r="L210" s="412">
        <f>IFERROR((L68-G68)*G95*G88/IFERROR(G80/(G68*1000),1),0)</f>
        <v/>
      </c>
      <c r="M210" s="412">
        <f>IFERROR((M68-H68)*H95*H88/IFERROR(H80/(H68*1000),1),0)</f>
        <v/>
      </c>
      <c r="N210" s="344">
        <f>SUM(J210:M210)</f>
        <v/>
      </c>
      <c r="O210" s="412">
        <f>IFERROR((O68-J68)*J95*J88/IFERROR(J80/(J68*1000),1),0)</f>
        <v/>
      </c>
      <c r="P210" s="412">
        <f>IFERROR((P68-K68)*K95*K88/IFERROR(K80/(K68*1000),1),0)</f>
        <v/>
      </c>
      <c r="Q210" s="412">
        <f>IFERROR((Q68-L68)*L95*L88/IFERROR(L80/(L68*1000),1),0)</f>
        <v/>
      </c>
      <c r="R210" s="412">
        <f>IFERROR((R68-M68)*M95*M88/IFERROR(M80/(M68*1000),1),0)</f>
        <v/>
      </c>
      <c r="S210" s="344">
        <f>SUM(O210:R210)</f>
        <v/>
      </c>
      <c r="T210" s="412">
        <f>IFERROR((T68-O68)*O95*O88/IFERROR(O80/(O68*1000),1),0)</f>
        <v/>
      </c>
      <c r="U210" s="412">
        <f>IFERROR((U68-P68)*P95*P88/IFERROR(P80/(P68*1000),1),0)</f>
        <v/>
      </c>
      <c r="V210" s="412">
        <f>IFERROR((V68-Q68)*Q95*Q88/IFERROR(Q80/(Q68*1000),1),0)</f>
        <v/>
      </c>
      <c r="W210" s="412">
        <f>IFERROR((W68-R68)*R95*R88/IFERROR(R80/(R68*1000),1),0)</f>
        <v/>
      </c>
      <c r="X210" s="344">
        <f>SUM(T210:W210)</f>
        <v/>
      </c>
      <c r="Y210" s="412">
        <f>IFERROR((Y68-T68)*T95*T88/IFERROR(T80/(T68*1000),1),0)</f>
        <v/>
      </c>
      <c r="Z210" s="412">
        <f>IFERROR((Z68-U68)*U95*U88/IFERROR(U80/(U68*1000),1),0)</f>
        <v/>
      </c>
      <c r="AA210" s="412">
        <f>IFERROR((AA68-V68)*V95*V88/IFERROR(V80/(V68*1000),1),0)</f>
        <v/>
      </c>
      <c r="AB210" s="412">
        <f>IFERROR((AB68-W68)*W95*W88/IFERROR(W80/(W68*1000),1),0)</f>
        <v/>
      </c>
      <c r="AC210" s="344">
        <f>SUM(Y210:AB210)</f>
        <v/>
      </c>
      <c r="AD210" s="412">
        <f>IFERROR((AD68-Y68)*Y95*Y88/IFERROR(Y80/(Y68*1000),1),0)</f>
        <v/>
      </c>
      <c r="AE210" s="412">
        <f>IFERROR((AE68-Z68)*Z95*Z88/IFERROR(Z80/(Z68*1000),1),0)</f>
        <v/>
      </c>
      <c r="AF210" s="412">
        <f>IFERROR((AF68-AA68)*AA95*AA88/IFERROR(AA80/(AA68*1000),1),0)</f>
        <v/>
      </c>
      <c r="AG210" s="412">
        <f>IFERROR((AG68-AB68)*AB95*AB88/IFERROR(AB80/(AB68*1000),1),0)</f>
        <v/>
      </c>
      <c r="AH210" s="344">
        <f>SUM(AD210:AG210)</f>
        <v/>
      </c>
      <c r="AI210" s="412">
        <f>IFERROR((AI68-AD68)*AD95*AD88/IFERROR(AD80/(AD68*1000),1),0)</f>
        <v/>
      </c>
      <c r="AJ210" s="412">
        <f>IFERROR((AJ68-AE68)*AE95*AE88/IFERROR(AE80/(AE68*1000),1),0)</f>
        <v/>
      </c>
      <c r="AK210" s="412">
        <f>IFERROR((AK68-AF68)*AF95*AF88/IFERROR(AF80/(AF68*1000),1),0)</f>
        <v/>
      </c>
      <c r="AL210" s="412">
        <f>IFERROR((AL68-AG68)*AG95*AG88/IFERROR(AG80/(AG68*1000),1),0)</f>
        <v/>
      </c>
      <c r="AM210" s="344">
        <f>SUM(AI210:AL210)</f>
        <v/>
      </c>
      <c r="AN210" s="412">
        <f>IFERROR((AN68-AI68)*AI95*AI88/IFERROR(AI80/(AI68*1000),1),0)</f>
        <v/>
      </c>
      <c r="AO210" s="412">
        <f>IFERROR((AO68-AJ68)*AJ95*AJ88/IFERROR(AJ80/(AJ68*1000),1),0)</f>
        <v/>
      </c>
      <c r="AP210" s="412">
        <f>IFERROR((AP68-AK68)*AK95*AK88/IFERROR(AK80/(AK68*1000),1),0)</f>
        <v/>
      </c>
      <c r="AQ210" s="412">
        <f>IFERROR((AQ68-AL68)*AL95*AL88/IFERROR(AL80/(AL68*1000),1),0)</f>
        <v/>
      </c>
      <c r="AR210" s="344">
        <f>SUM(AN210:AQ210)</f>
        <v/>
      </c>
    </row>
    <row r="211" ht="13.5" customHeight="1" s="290">
      <c r="A211" s="408" t="n"/>
      <c r="B211" s="409" t="inlineStr">
        <is>
          <t xml:space="preserve">  Bridge — Fee / Rate Effect</t>
        </is>
      </c>
      <c r="C211" s="410" t="inlineStr">
        <is>
          <t>$K</t>
        </is>
      </c>
      <c r="D211" s="411" t="inlineStr">
        <is>
          <t>≈ Change in blended IS bps × prior IS volume (IS as primary fee proxy)</t>
        </is>
      </c>
      <c r="E211" s="412">
        <f>0</f>
        <v/>
      </c>
      <c r="F211" s="412">
        <f>0</f>
        <v/>
      </c>
      <c r="G211" s="412">
        <f>0</f>
        <v/>
      </c>
      <c r="H211" s="412">
        <f>0</f>
        <v/>
      </c>
      <c r="I211" s="344">
        <f>SUM(E211:H211)</f>
        <v/>
      </c>
      <c r="J211" s="412">
        <f>IFERROR((J92-E92)*E80/10,0)</f>
        <v/>
      </c>
      <c r="K211" s="412">
        <f>IFERROR((K92-F92)*F80/10,0)</f>
        <v/>
      </c>
      <c r="L211" s="412">
        <f>IFERROR((L92-G92)*G80/10,0)</f>
        <v/>
      </c>
      <c r="M211" s="412">
        <f>IFERROR((M92-H92)*H80/10,0)</f>
        <v/>
      </c>
      <c r="N211" s="344">
        <f>SUM(J211:M211)</f>
        <v/>
      </c>
      <c r="O211" s="412">
        <f>IFERROR((O92-J92)*J80/10,0)</f>
        <v/>
      </c>
      <c r="P211" s="412">
        <f>IFERROR((P92-K92)*K80/10,0)</f>
        <v/>
      </c>
      <c r="Q211" s="412">
        <f>IFERROR((Q92-L92)*L80/10,0)</f>
        <v/>
      </c>
      <c r="R211" s="412">
        <f>IFERROR((R92-M92)*M80/10,0)</f>
        <v/>
      </c>
      <c r="S211" s="344">
        <f>SUM(O211:R211)</f>
        <v/>
      </c>
      <c r="T211" s="412">
        <f>IFERROR((T92-O92)*O80/10,0)</f>
        <v/>
      </c>
      <c r="U211" s="412">
        <f>IFERROR((U92-P92)*P80/10,0)</f>
        <v/>
      </c>
      <c r="V211" s="412">
        <f>IFERROR((V92-Q92)*Q80/10,0)</f>
        <v/>
      </c>
      <c r="W211" s="412">
        <f>IFERROR((W92-R92)*R80/10,0)</f>
        <v/>
      </c>
      <c r="X211" s="344">
        <f>SUM(T211:W211)</f>
        <v/>
      </c>
      <c r="Y211" s="412">
        <f>IFERROR((Y92-T92)*T80/10,0)</f>
        <v/>
      </c>
      <c r="Z211" s="412">
        <f>IFERROR((Z92-U92)*U80/10,0)</f>
        <v/>
      </c>
      <c r="AA211" s="412">
        <f>IFERROR((AA92-V92)*V80/10,0)</f>
        <v/>
      </c>
      <c r="AB211" s="412">
        <f>IFERROR((AB92-W92)*W80/10,0)</f>
        <v/>
      </c>
      <c r="AC211" s="344">
        <f>SUM(Y211:AB211)</f>
        <v/>
      </c>
      <c r="AD211" s="412">
        <f>IFERROR((AD92-Y92)*Y80/10,0)</f>
        <v/>
      </c>
      <c r="AE211" s="412">
        <f>IFERROR((AE92-Z92)*Z80/10,0)</f>
        <v/>
      </c>
      <c r="AF211" s="412">
        <f>IFERROR((AF92-AA92)*AA80/10,0)</f>
        <v/>
      </c>
      <c r="AG211" s="412">
        <f>IFERROR((AG92-AB92)*AB80/10,0)</f>
        <v/>
      </c>
      <c r="AH211" s="344">
        <f>SUM(AD211:AG211)</f>
        <v/>
      </c>
      <c r="AI211" s="412">
        <f>IFERROR((AI92-AD92)*AD80/10,0)</f>
        <v/>
      </c>
      <c r="AJ211" s="412">
        <f>IFERROR((AJ92-AE92)*AE80/10,0)</f>
        <v/>
      </c>
      <c r="AK211" s="412">
        <f>IFERROR((AK92-AF92)*AF80/10,0)</f>
        <v/>
      </c>
      <c r="AL211" s="412">
        <f>IFERROR((AL92-AG92)*AG80/10,0)</f>
        <v/>
      </c>
      <c r="AM211" s="344">
        <f>SUM(AI211:AL211)</f>
        <v/>
      </c>
      <c r="AN211" s="412">
        <f>IFERROR((AN92-AI92)*AI80/10,0)</f>
        <v/>
      </c>
      <c r="AO211" s="412">
        <f>IFERROR((AO92-AJ92)*AJ80/10,0)</f>
        <v/>
      </c>
      <c r="AP211" s="412">
        <f>IFERROR((AP92-AK92)*AK80/10,0)</f>
        <v/>
      </c>
      <c r="AQ211" s="412">
        <f>IFERROR((AQ92-AL92)*AL80/10,0)</f>
        <v/>
      </c>
      <c r="AR211" s="344">
        <f>SUM(AN211:AQ211)</f>
        <v/>
      </c>
    </row>
    <row r="212" ht="13.5" customHeight="1" s="290">
      <c r="A212" s="408" t="n"/>
      <c r="B212" s="409" t="inlineStr">
        <is>
          <t xml:space="preserve">  Bridge — EPE / Headcount Effect</t>
        </is>
      </c>
      <c r="C212" s="410" t="inlineStr">
        <is>
          <t>$K</t>
        </is>
      </c>
      <c r="D212" s="411" t="inlineStr">
        <is>
          <t xml:space="preserve"> = (Curr Firm EPE − Prior EPE) × Prior GCI per EPE</t>
        </is>
      </c>
      <c r="E212" s="412">
        <f>0</f>
        <v/>
      </c>
      <c r="F212" s="412">
        <f>0</f>
        <v/>
      </c>
      <c r="G212" s="412">
        <f>0</f>
        <v/>
      </c>
      <c r="H212" s="412">
        <f>0</f>
        <v/>
      </c>
      <c r="I212" s="344">
        <f>SUM(E212:H212)</f>
        <v/>
      </c>
      <c r="J212" s="412">
        <f>IFERROR(('04 Producer Engine'!J213-'04 Producer Engine'!E213)*IFERROR(E195/'04 Producer Engine'!E213,0),0)</f>
        <v/>
      </c>
      <c r="K212" s="412">
        <f>IFERROR(('04 Producer Engine'!K213-'04 Producer Engine'!F213)*IFERROR(F195/'04 Producer Engine'!F213,0),0)</f>
        <v/>
      </c>
      <c r="L212" s="412">
        <f>IFERROR(('04 Producer Engine'!L213-'04 Producer Engine'!G213)*IFERROR(G195/'04 Producer Engine'!G213,0),0)</f>
        <v/>
      </c>
      <c r="M212" s="412">
        <f>IFERROR(('04 Producer Engine'!M213-'04 Producer Engine'!H213)*IFERROR(H195/'04 Producer Engine'!H213,0),0)</f>
        <v/>
      </c>
      <c r="N212" s="344">
        <f>SUM(J212:M212)</f>
        <v/>
      </c>
      <c r="O212" s="412">
        <f>IFERROR(('04 Producer Engine'!O213-'04 Producer Engine'!J213)*IFERROR(J195/'04 Producer Engine'!J213,0),0)</f>
        <v/>
      </c>
      <c r="P212" s="412">
        <f>IFERROR(('04 Producer Engine'!P213-'04 Producer Engine'!K213)*IFERROR(K195/'04 Producer Engine'!K213,0),0)</f>
        <v/>
      </c>
      <c r="Q212" s="412">
        <f>IFERROR(('04 Producer Engine'!Q213-'04 Producer Engine'!L213)*IFERROR(L195/'04 Producer Engine'!L213,0),0)</f>
        <v/>
      </c>
      <c r="R212" s="412">
        <f>IFERROR(('04 Producer Engine'!R213-'04 Producer Engine'!M213)*IFERROR(M195/'04 Producer Engine'!M213,0),0)</f>
        <v/>
      </c>
      <c r="S212" s="344">
        <f>SUM(O212:R212)</f>
        <v/>
      </c>
      <c r="T212" s="412">
        <f>IFERROR(('04 Producer Engine'!T213-'04 Producer Engine'!O213)*IFERROR(O195/'04 Producer Engine'!O213,0),0)</f>
        <v/>
      </c>
      <c r="U212" s="412">
        <f>IFERROR(('04 Producer Engine'!U213-'04 Producer Engine'!P213)*IFERROR(P195/'04 Producer Engine'!P213,0),0)</f>
        <v/>
      </c>
      <c r="V212" s="412">
        <f>IFERROR(('04 Producer Engine'!V213-'04 Producer Engine'!Q213)*IFERROR(Q195/'04 Producer Engine'!Q213,0),0)</f>
        <v/>
      </c>
      <c r="W212" s="412">
        <f>IFERROR(('04 Producer Engine'!W213-'04 Producer Engine'!R213)*IFERROR(R195/'04 Producer Engine'!R213,0),0)</f>
        <v/>
      </c>
      <c r="X212" s="344">
        <f>SUM(T212:W212)</f>
        <v/>
      </c>
      <c r="Y212" s="412">
        <f>IFERROR(('04 Producer Engine'!Y213-'04 Producer Engine'!T213)*IFERROR(T195/'04 Producer Engine'!T213,0),0)</f>
        <v/>
      </c>
      <c r="Z212" s="412">
        <f>IFERROR(('04 Producer Engine'!Z213-'04 Producer Engine'!U213)*IFERROR(U195/'04 Producer Engine'!U213,0),0)</f>
        <v/>
      </c>
      <c r="AA212" s="412">
        <f>IFERROR(('04 Producer Engine'!AA213-'04 Producer Engine'!V213)*IFERROR(V195/'04 Producer Engine'!V213,0),0)</f>
        <v/>
      </c>
      <c r="AB212" s="412">
        <f>IFERROR(('04 Producer Engine'!AB213-'04 Producer Engine'!W213)*IFERROR(W195/'04 Producer Engine'!W213,0),0)</f>
        <v/>
      </c>
      <c r="AC212" s="344">
        <f>SUM(Y212:AB212)</f>
        <v/>
      </c>
      <c r="AD212" s="412">
        <f>IFERROR(('04 Producer Engine'!AD213-'04 Producer Engine'!Y213)*IFERROR(Y195/'04 Producer Engine'!Y213,0),0)</f>
        <v/>
      </c>
      <c r="AE212" s="412">
        <f>IFERROR(('04 Producer Engine'!AE213-'04 Producer Engine'!Z213)*IFERROR(Z195/'04 Producer Engine'!Z213,0),0)</f>
        <v/>
      </c>
      <c r="AF212" s="412">
        <f>IFERROR(('04 Producer Engine'!AF213-'04 Producer Engine'!AA213)*IFERROR(AA195/'04 Producer Engine'!AA213,0),0)</f>
        <v/>
      </c>
      <c r="AG212" s="412">
        <f>IFERROR(('04 Producer Engine'!AG213-'04 Producer Engine'!AB213)*IFERROR(AB195/'04 Producer Engine'!AB213,0),0)</f>
        <v/>
      </c>
      <c r="AH212" s="344">
        <f>SUM(AD212:AG212)</f>
        <v/>
      </c>
      <c r="AI212" s="412">
        <f>IFERROR(('04 Producer Engine'!AI213-'04 Producer Engine'!AD213)*IFERROR(AD195/'04 Producer Engine'!AD213,0),0)</f>
        <v/>
      </c>
      <c r="AJ212" s="412">
        <f>IFERROR(('04 Producer Engine'!AJ213-'04 Producer Engine'!AE213)*IFERROR(AE195/'04 Producer Engine'!AE213,0),0)</f>
        <v/>
      </c>
      <c r="AK212" s="412">
        <f>IFERROR(('04 Producer Engine'!AK213-'04 Producer Engine'!AF213)*IFERROR(AF195/'04 Producer Engine'!AF213,0),0)</f>
        <v/>
      </c>
      <c r="AL212" s="412">
        <f>IFERROR(('04 Producer Engine'!AL213-'04 Producer Engine'!AG213)*IFERROR(AG195/'04 Producer Engine'!AG213,0),0)</f>
        <v/>
      </c>
      <c r="AM212" s="344">
        <f>SUM(AI212:AL212)</f>
        <v/>
      </c>
      <c r="AN212" s="412">
        <f>IFERROR(('04 Producer Engine'!AN213-'04 Producer Engine'!AI213)*IFERROR(AI195/'04 Producer Engine'!AI213,0),0)</f>
        <v/>
      </c>
      <c r="AO212" s="412">
        <f>IFERROR(('04 Producer Engine'!AO213-'04 Producer Engine'!AJ213)*IFERROR(AJ195/'04 Producer Engine'!AJ213,0),0)</f>
        <v/>
      </c>
      <c r="AP212" s="412">
        <f>IFERROR(('04 Producer Engine'!AP213-'04 Producer Engine'!AK213)*IFERROR(AK195/'04 Producer Engine'!AK213,0),0)</f>
        <v/>
      </c>
      <c r="AQ212" s="412">
        <f>IFERROR(('04 Producer Engine'!AQ213-'04 Producer Engine'!AL213)*IFERROR(AL195/'04 Producer Engine'!AL213,0),0)</f>
        <v/>
      </c>
      <c r="AR212" s="344">
        <f>SUM(AN212:AQ212)</f>
        <v/>
      </c>
    </row>
    <row r="213" ht="13.5" customHeight="1" s="290">
      <c r="A213" s="408" t="n"/>
      <c r="B213" s="409" t="inlineStr">
        <is>
          <t xml:space="preserve">  Bridge — Productivity / Book Loss / Mix Effect (Residual)</t>
        </is>
      </c>
      <c r="C213" s="410" t="inlineStr">
        <is>
          <t>$K</t>
        </is>
      </c>
      <c r="D213" s="411" t="inlineStr">
        <is>
          <t xml:space="preserve"> = Current GCI − Prior − Vol − Rate − EPE effects. Includes book loss impact as part of residual.</t>
        </is>
      </c>
      <c r="E213" s="412">
        <f>0</f>
        <v/>
      </c>
      <c r="F213" s="412">
        <f>0</f>
        <v/>
      </c>
      <c r="G213" s="412">
        <f>0</f>
        <v/>
      </c>
      <c r="H213" s="412">
        <f>0</f>
        <v/>
      </c>
      <c r="I213" s="344">
        <f>SUM(E213:H213)</f>
        <v/>
      </c>
      <c r="J213" s="412">
        <f>J195-J209-J210-J211-J212</f>
        <v/>
      </c>
      <c r="K213" s="412">
        <f>K195-K209-K210-K211-K212</f>
        <v/>
      </c>
      <c r="L213" s="412">
        <f>L195-L209-L210-L211-L212</f>
        <v/>
      </c>
      <c r="M213" s="412">
        <f>M195-M209-M210-M211-M212</f>
        <v/>
      </c>
      <c r="N213" s="344">
        <f>SUM(J213:M213)</f>
        <v/>
      </c>
      <c r="O213" s="412">
        <f>O195-O209-O210-O211-O212</f>
        <v/>
      </c>
      <c r="P213" s="412">
        <f>P195-P209-P210-P211-P212</f>
        <v/>
      </c>
      <c r="Q213" s="412">
        <f>Q195-Q209-Q210-Q211-Q212</f>
        <v/>
      </c>
      <c r="R213" s="412">
        <f>R195-R209-R210-R211-R212</f>
        <v/>
      </c>
      <c r="S213" s="344">
        <f>SUM(O213:R213)</f>
        <v/>
      </c>
      <c r="T213" s="412">
        <f>T195-T209-T210-T211-T212</f>
        <v/>
      </c>
      <c r="U213" s="412">
        <f>U195-U209-U210-U211-U212</f>
        <v/>
      </c>
      <c r="V213" s="412">
        <f>V195-V209-V210-V211-V212</f>
        <v/>
      </c>
      <c r="W213" s="412">
        <f>W195-W209-W210-W211-W212</f>
        <v/>
      </c>
      <c r="X213" s="344">
        <f>SUM(T213:W213)</f>
        <v/>
      </c>
      <c r="Y213" s="412">
        <f>Y195-Y209-Y210-Y211-Y212</f>
        <v/>
      </c>
      <c r="Z213" s="412">
        <f>Z195-Z209-Z210-Z211-Z212</f>
        <v/>
      </c>
      <c r="AA213" s="412">
        <f>AA195-AA209-AA210-AA211-AA212</f>
        <v/>
      </c>
      <c r="AB213" s="412">
        <f>AB195-AB209-AB210-AB211-AB212</f>
        <v/>
      </c>
      <c r="AC213" s="344">
        <f>SUM(Y213:AB213)</f>
        <v/>
      </c>
      <c r="AD213" s="412">
        <f>AD195-AD209-AD210-AD211-AD212</f>
        <v/>
      </c>
      <c r="AE213" s="412">
        <f>AE195-AE209-AE210-AE211-AE212</f>
        <v/>
      </c>
      <c r="AF213" s="412">
        <f>AF195-AF209-AF210-AF211-AF212</f>
        <v/>
      </c>
      <c r="AG213" s="412">
        <f>AG195-AG209-AG210-AG211-AG212</f>
        <v/>
      </c>
      <c r="AH213" s="344">
        <f>SUM(AD213:AG213)</f>
        <v/>
      </c>
      <c r="AI213" s="412">
        <f>AI195-AI209-AI210-AI211-AI212</f>
        <v/>
      </c>
      <c r="AJ213" s="412">
        <f>AJ195-AJ209-AJ210-AJ211-AJ212</f>
        <v/>
      </c>
      <c r="AK213" s="412">
        <f>AK195-AK209-AK210-AK211-AK212</f>
        <v/>
      </c>
      <c r="AL213" s="412">
        <f>AL195-AL209-AL210-AL211-AL212</f>
        <v/>
      </c>
      <c r="AM213" s="344">
        <f>SUM(AI213:AL213)</f>
        <v/>
      </c>
      <c r="AN213" s="412">
        <f>AN195-AN209-AN210-AN211-AN212</f>
        <v/>
      </c>
      <c r="AO213" s="412">
        <f>AO195-AO209-AO210-AO211-AO212</f>
        <v/>
      </c>
      <c r="AP213" s="412">
        <f>AP195-AP209-AP210-AP211-AP212</f>
        <v/>
      </c>
      <c r="AQ213" s="412">
        <f>AQ195-AQ209-AQ210-AQ211-AQ212</f>
        <v/>
      </c>
      <c r="AR213" s="344">
        <f>SUM(AN213:AQ213)</f>
        <v/>
      </c>
    </row>
    <row r="214" ht="13.5" customHeight="1" s="290">
      <c r="A214" s="408" t="n"/>
      <c r="B214" s="413" t="inlineStr">
        <is>
          <t xml:space="preserve">  Bridge — Implied Current GCI</t>
        </is>
      </c>
      <c r="C214" s="410" t="inlineStr">
        <is>
          <t>$K</t>
        </is>
      </c>
      <c r="D214" s="411" t="inlineStr">
        <is>
          <t xml:space="preserve"> sum of all bridge components (must = total gci)</t>
        </is>
      </c>
      <c r="E214" s="414">
        <f>E209+E210+E211+E212+E213</f>
        <v/>
      </c>
      <c r="F214" s="414">
        <f>F209+F210+F211+F212+F213</f>
        <v/>
      </c>
      <c r="G214" s="414">
        <f>G209+G210+G211+G212+G213</f>
        <v/>
      </c>
      <c r="H214" s="414">
        <f>H209+H210+H211+H212+H213</f>
        <v/>
      </c>
      <c r="I214" s="387">
        <f>SUM(E214:H214)</f>
        <v/>
      </c>
      <c r="J214" s="414">
        <f>J209+J210+J211+J212+J213</f>
        <v/>
      </c>
      <c r="K214" s="414">
        <f>K209+K210+K211+K212+K213</f>
        <v/>
      </c>
      <c r="L214" s="414">
        <f>L209+L210+L211+L212+L213</f>
        <v/>
      </c>
      <c r="M214" s="414">
        <f>M209+M210+M211+M212+M213</f>
        <v/>
      </c>
      <c r="N214" s="387">
        <f>SUM(J214:M214)</f>
        <v/>
      </c>
      <c r="O214" s="414">
        <f>O209+O210+O211+O212+O213</f>
        <v/>
      </c>
      <c r="P214" s="414">
        <f>P209+P210+P211+P212+P213</f>
        <v/>
      </c>
      <c r="Q214" s="414">
        <f>Q209+Q210+Q211+Q212+Q213</f>
        <v/>
      </c>
      <c r="R214" s="414">
        <f>R209+R210+R211+R212+R213</f>
        <v/>
      </c>
      <c r="S214" s="387">
        <f>SUM(O214:R214)</f>
        <v/>
      </c>
      <c r="T214" s="414">
        <f>T209+T210+T211+T212+T213</f>
        <v/>
      </c>
      <c r="U214" s="414">
        <f>U209+U210+U211+U212+U213</f>
        <v/>
      </c>
      <c r="V214" s="414">
        <f>V209+V210+V211+V212+V213</f>
        <v/>
      </c>
      <c r="W214" s="414">
        <f>W209+W210+W211+W212+W213</f>
        <v/>
      </c>
      <c r="X214" s="387">
        <f>SUM(T214:W214)</f>
        <v/>
      </c>
      <c r="Y214" s="414">
        <f>Y209+Y210+Y211+Y212+Y213</f>
        <v/>
      </c>
      <c r="Z214" s="414">
        <f>Z209+Z210+Z211+Z212+Z213</f>
        <v/>
      </c>
      <c r="AA214" s="414">
        <f>AA209+AA210+AA211+AA212+AA213</f>
        <v/>
      </c>
      <c r="AB214" s="414">
        <f>AB209+AB210+AB211+AB212+AB213</f>
        <v/>
      </c>
      <c r="AC214" s="387">
        <f>SUM(Y214:AB214)</f>
        <v/>
      </c>
      <c r="AD214" s="414">
        <f>AD209+AD210+AD211+AD212+AD213</f>
        <v/>
      </c>
      <c r="AE214" s="414">
        <f>AE209+AE210+AE211+AE212+AE213</f>
        <v/>
      </c>
      <c r="AF214" s="414">
        <f>AF209+AF210+AF211+AF212+AF213</f>
        <v/>
      </c>
      <c r="AG214" s="414">
        <f>AG209+AG210+AG211+AG212+AG213</f>
        <v/>
      </c>
      <c r="AH214" s="387">
        <f>SUM(AD214:AG214)</f>
        <v/>
      </c>
      <c r="AI214" s="414">
        <f>AI209+AI210+AI211+AI212+AI213</f>
        <v/>
      </c>
      <c r="AJ214" s="414">
        <f>AJ209+AJ210+AJ211+AJ212+AJ213</f>
        <v/>
      </c>
      <c r="AK214" s="414">
        <f>AK209+AK210+AK211+AK212+AK213</f>
        <v/>
      </c>
      <c r="AL214" s="414">
        <f>AL209+AL210+AL211+AL212+AL213</f>
        <v/>
      </c>
      <c r="AM214" s="387">
        <f>SUM(AI214:AL214)</f>
        <v/>
      </c>
      <c r="AN214" s="414">
        <f>AN209+AN210+AN211+AN212+AN213</f>
        <v/>
      </c>
      <c r="AO214" s="414">
        <f>AO209+AO210+AO211+AO212+AO213</f>
        <v/>
      </c>
      <c r="AP214" s="414">
        <f>AP209+AP210+AP211+AP212+AP213</f>
        <v/>
      </c>
      <c r="AQ214" s="414">
        <f>AQ209+AQ210+AQ211+AQ212+AQ213</f>
        <v/>
      </c>
      <c r="AR214" s="387">
        <f>SUM(AN214:AQ214)</f>
        <v/>
      </c>
    </row>
    <row r="215" ht="13.5" customHeight="1" s="290">
      <c r="A215" s="359" t="n"/>
      <c r="B215" s="353" t="inlineStr">
        <is>
          <t xml:space="preserve">  ✔  Bridge Check — Implied = Total GCI</t>
        </is>
      </c>
      <c r="D215" s="354" t="inlineStr">
        <is>
          <t>Implied row 214 vs Total GCI row 195</t>
        </is>
      </c>
      <c r="E215" s="368" t="inlineStr">
        <is>
          <t>—</t>
        </is>
      </c>
      <c r="F215" s="368" t="inlineStr">
        <is>
          <t>—</t>
        </is>
      </c>
      <c r="G215" s="368" t="inlineStr">
        <is>
          <t>—</t>
        </is>
      </c>
      <c r="H215" s="368" t="inlineStr">
        <is>
          <t>—</t>
        </is>
      </c>
      <c r="I215" s="356">
        <f>IF(ABS(I214-I195)&lt;1,"PASS","FAIL — BRIDGE DOES NOT BALANCE")</f>
        <v/>
      </c>
      <c r="J215" s="368" t="inlineStr">
        <is>
          <t>—</t>
        </is>
      </c>
      <c r="K215" s="368" t="inlineStr">
        <is>
          <t>—</t>
        </is>
      </c>
      <c r="L215" s="368" t="inlineStr">
        <is>
          <t>—</t>
        </is>
      </c>
      <c r="M215" s="368" t="inlineStr">
        <is>
          <t>—</t>
        </is>
      </c>
      <c r="N215" s="356">
        <f>IF(ABS(N214-N195)&lt;1,"PASS","FAIL — BRIDGE DOES NOT BALANCE")</f>
        <v/>
      </c>
      <c r="O215" s="368" t="inlineStr">
        <is>
          <t>—</t>
        </is>
      </c>
      <c r="P215" s="368" t="inlineStr">
        <is>
          <t>—</t>
        </is>
      </c>
      <c r="Q215" s="368" t="inlineStr">
        <is>
          <t>—</t>
        </is>
      </c>
      <c r="R215" s="368" t="inlineStr">
        <is>
          <t>—</t>
        </is>
      </c>
      <c r="S215" s="356">
        <f>IF(ABS(S214-S195)&lt;1,"PASS","FAIL — BRIDGE DOES NOT BALANCE")</f>
        <v/>
      </c>
      <c r="T215" s="368" t="inlineStr">
        <is>
          <t>—</t>
        </is>
      </c>
      <c r="U215" s="368" t="inlineStr">
        <is>
          <t>—</t>
        </is>
      </c>
      <c r="V215" s="368" t="inlineStr">
        <is>
          <t>—</t>
        </is>
      </c>
      <c r="W215" s="368" t="inlineStr">
        <is>
          <t>—</t>
        </is>
      </c>
      <c r="X215" s="356">
        <f>IF(ABS(X214-X195)&lt;1,"PASS","FAIL — BRIDGE DOES NOT BALANCE")</f>
        <v/>
      </c>
      <c r="Y215" s="368" t="inlineStr">
        <is>
          <t>—</t>
        </is>
      </c>
      <c r="Z215" s="368" t="inlineStr">
        <is>
          <t>—</t>
        </is>
      </c>
      <c r="AA215" s="368" t="inlineStr">
        <is>
          <t>—</t>
        </is>
      </c>
      <c r="AB215" s="368" t="inlineStr">
        <is>
          <t>—</t>
        </is>
      </c>
      <c r="AC215" s="356">
        <f>IF(ABS(AC214-AC195)&lt;1,"PASS","FAIL — BRIDGE DOES NOT BALANCE")</f>
        <v/>
      </c>
      <c r="AD215" s="368" t="inlineStr">
        <is>
          <t>—</t>
        </is>
      </c>
      <c r="AE215" s="368" t="inlineStr">
        <is>
          <t>—</t>
        </is>
      </c>
      <c r="AF215" s="368" t="inlineStr">
        <is>
          <t>—</t>
        </is>
      </c>
      <c r="AG215" s="368" t="inlineStr">
        <is>
          <t>—</t>
        </is>
      </c>
      <c r="AH215" s="356">
        <f>IF(ABS(AH214-AH195)&lt;1,"PASS","FAIL — BRIDGE DOES NOT BALANCE")</f>
        <v/>
      </c>
      <c r="AI215" s="368" t="inlineStr">
        <is>
          <t>—</t>
        </is>
      </c>
      <c r="AJ215" s="368" t="inlineStr">
        <is>
          <t>—</t>
        </is>
      </c>
      <c r="AK215" s="368" t="inlineStr">
        <is>
          <t>—</t>
        </is>
      </c>
      <c r="AL215" s="368" t="inlineStr">
        <is>
          <t>—</t>
        </is>
      </c>
      <c r="AM215" s="356">
        <f>IF(ABS(AM214-AM195)&lt;1,"PASS","FAIL — BRIDGE DOES NOT BALANCE")</f>
        <v/>
      </c>
      <c r="AN215" s="368" t="inlineStr">
        <is>
          <t>—</t>
        </is>
      </c>
      <c r="AO215" s="368" t="inlineStr">
        <is>
          <t>—</t>
        </is>
      </c>
      <c r="AP215" s="368" t="inlineStr">
        <is>
          <t>—</t>
        </is>
      </c>
      <c r="AQ215" s="368" t="inlineStr">
        <is>
          <t>—</t>
        </is>
      </c>
      <c r="AR215" s="356">
        <f>IF(ABS(AR214-AR195)&lt;1,"PASS","FAIL — BRIDGE DOES NOT BALANCE")</f>
        <v/>
      </c>
    </row>
    <row r="216" ht="4.5" customHeight="1" s="290"/>
    <row r="217" ht="15" customHeight="1" s="290">
      <c r="A217" s="307" t="inlineStr">
        <is>
          <t xml:space="preserve">    E4 — ANNUAL SUMMARY  [ Dashboard &amp; Scenario Analysis source rows ]</t>
        </is>
      </c>
    </row>
    <row r="218" ht="3" customHeight="1" s="290"/>
    <row r="219" ht="12.75" customHeight="1" s="290">
      <c r="A219" s="348" t="inlineStr">
        <is>
          <t xml:space="preserve">  Annual columns only. Tab 10 Dashboard and Tab 09 Scenario Analysis link to these rows.</t>
        </is>
      </c>
    </row>
    <row r="220" ht="3" customHeight="1" s="290"/>
    <row r="221" ht="13.5" customHeight="1" s="290">
      <c r="A221" s="345" t="n"/>
      <c r="B221" s="370" t="inlineStr">
        <is>
          <t xml:space="preserve">  Annual — Leasing GCI</t>
        </is>
      </c>
      <c r="C221" s="371" t="inlineStr">
        <is>
          <t>$K/yr</t>
        </is>
      </c>
      <c r="D221" s="345" t="n"/>
      <c r="E221" s="415" t="inlineStr">
        <is>
          <t>—</t>
        </is>
      </c>
      <c r="F221" s="415" t="inlineStr">
        <is>
          <t>—</t>
        </is>
      </c>
      <c r="G221" s="415" t="inlineStr">
        <is>
          <t>—</t>
        </is>
      </c>
      <c r="H221" s="415" t="inlineStr">
        <is>
          <t>—</t>
        </is>
      </c>
      <c r="I221" s="361">
        <f>I191</f>
        <v/>
      </c>
      <c r="J221" s="415" t="inlineStr">
        <is>
          <t>—</t>
        </is>
      </c>
      <c r="K221" s="415" t="inlineStr">
        <is>
          <t>—</t>
        </is>
      </c>
      <c r="L221" s="415" t="inlineStr">
        <is>
          <t>—</t>
        </is>
      </c>
      <c r="M221" s="415" t="inlineStr">
        <is>
          <t>—</t>
        </is>
      </c>
      <c r="N221" s="361">
        <f>N191</f>
        <v/>
      </c>
      <c r="O221" s="415" t="inlineStr">
        <is>
          <t>—</t>
        </is>
      </c>
      <c r="P221" s="415" t="inlineStr">
        <is>
          <t>—</t>
        </is>
      </c>
      <c r="Q221" s="415" t="inlineStr">
        <is>
          <t>—</t>
        </is>
      </c>
      <c r="R221" s="415" t="inlineStr">
        <is>
          <t>—</t>
        </is>
      </c>
      <c r="S221" s="361">
        <f>S191</f>
        <v/>
      </c>
      <c r="T221" s="415" t="inlineStr">
        <is>
          <t>—</t>
        </is>
      </c>
      <c r="U221" s="415" t="inlineStr">
        <is>
          <t>—</t>
        </is>
      </c>
      <c r="V221" s="415" t="inlineStr">
        <is>
          <t>—</t>
        </is>
      </c>
      <c r="W221" s="415" t="inlineStr">
        <is>
          <t>—</t>
        </is>
      </c>
      <c r="X221" s="361">
        <f>X191</f>
        <v/>
      </c>
      <c r="Y221" s="415" t="inlineStr">
        <is>
          <t>—</t>
        </is>
      </c>
      <c r="Z221" s="415" t="inlineStr">
        <is>
          <t>—</t>
        </is>
      </c>
      <c r="AA221" s="415" t="inlineStr">
        <is>
          <t>—</t>
        </is>
      </c>
      <c r="AB221" s="415" t="inlineStr">
        <is>
          <t>—</t>
        </is>
      </c>
      <c r="AC221" s="361">
        <f>AC191</f>
        <v/>
      </c>
      <c r="AD221" s="415" t="inlineStr">
        <is>
          <t>—</t>
        </is>
      </c>
      <c r="AE221" s="415" t="inlineStr">
        <is>
          <t>—</t>
        </is>
      </c>
      <c r="AF221" s="415" t="inlineStr">
        <is>
          <t>—</t>
        </is>
      </c>
      <c r="AG221" s="415" t="inlineStr">
        <is>
          <t>—</t>
        </is>
      </c>
      <c r="AH221" s="361">
        <f>AH191</f>
        <v/>
      </c>
      <c r="AI221" s="415" t="inlineStr">
        <is>
          <t>—</t>
        </is>
      </c>
      <c r="AJ221" s="415" t="inlineStr">
        <is>
          <t>—</t>
        </is>
      </c>
      <c r="AK221" s="415" t="inlineStr">
        <is>
          <t>—</t>
        </is>
      </c>
      <c r="AL221" s="415" t="inlineStr">
        <is>
          <t>—</t>
        </is>
      </c>
      <c r="AM221" s="361">
        <f>AM191</f>
        <v/>
      </c>
      <c r="AN221" s="415" t="inlineStr">
        <is>
          <t>—</t>
        </is>
      </c>
      <c r="AO221" s="415" t="inlineStr">
        <is>
          <t>—</t>
        </is>
      </c>
      <c r="AP221" s="415" t="inlineStr">
        <is>
          <t>—</t>
        </is>
      </c>
      <c r="AQ221" s="415" t="inlineStr">
        <is>
          <t>—</t>
        </is>
      </c>
      <c r="AR221" s="361">
        <f>AR191</f>
        <v/>
      </c>
    </row>
    <row r="222" ht="13.5" customHeight="1" s="290">
      <c r="A222" s="345" t="n"/>
      <c r="B222" s="370" t="inlineStr">
        <is>
          <t xml:space="preserve">  Annual — IS GCI</t>
        </is>
      </c>
      <c r="C222" s="371" t="inlineStr">
        <is>
          <t>$K/yr</t>
        </is>
      </c>
      <c r="D222" s="345" t="n"/>
      <c r="E222" s="415" t="inlineStr">
        <is>
          <t>—</t>
        </is>
      </c>
      <c r="F222" s="415" t="inlineStr">
        <is>
          <t>—</t>
        </is>
      </c>
      <c r="G222" s="415" t="inlineStr">
        <is>
          <t>—</t>
        </is>
      </c>
      <c r="H222" s="415" t="inlineStr">
        <is>
          <t>—</t>
        </is>
      </c>
      <c r="I222" s="361">
        <f>I192</f>
        <v/>
      </c>
      <c r="J222" s="415" t="inlineStr">
        <is>
          <t>—</t>
        </is>
      </c>
      <c r="K222" s="415" t="inlineStr">
        <is>
          <t>—</t>
        </is>
      </c>
      <c r="L222" s="415" t="inlineStr">
        <is>
          <t>—</t>
        </is>
      </c>
      <c r="M222" s="415" t="inlineStr">
        <is>
          <t>—</t>
        </is>
      </c>
      <c r="N222" s="361">
        <f>N192</f>
        <v/>
      </c>
      <c r="O222" s="415" t="inlineStr">
        <is>
          <t>—</t>
        </is>
      </c>
      <c r="P222" s="415" t="inlineStr">
        <is>
          <t>—</t>
        </is>
      </c>
      <c r="Q222" s="415" t="inlineStr">
        <is>
          <t>—</t>
        </is>
      </c>
      <c r="R222" s="415" t="inlineStr">
        <is>
          <t>—</t>
        </is>
      </c>
      <c r="S222" s="361">
        <f>S192</f>
        <v/>
      </c>
      <c r="T222" s="415" t="inlineStr">
        <is>
          <t>—</t>
        </is>
      </c>
      <c r="U222" s="415" t="inlineStr">
        <is>
          <t>—</t>
        </is>
      </c>
      <c r="V222" s="415" t="inlineStr">
        <is>
          <t>—</t>
        </is>
      </c>
      <c r="W222" s="415" t="inlineStr">
        <is>
          <t>—</t>
        </is>
      </c>
      <c r="X222" s="361">
        <f>X192</f>
        <v/>
      </c>
      <c r="Y222" s="415" t="inlineStr">
        <is>
          <t>—</t>
        </is>
      </c>
      <c r="Z222" s="415" t="inlineStr">
        <is>
          <t>—</t>
        </is>
      </c>
      <c r="AA222" s="415" t="inlineStr">
        <is>
          <t>—</t>
        </is>
      </c>
      <c r="AB222" s="415" t="inlineStr">
        <is>
          <t>—</t>
        </is>
      </c>
      <c r="AC222" s="361">
        <f>AC192</f>
        <v/>
      </c>
      <c r="AD222" s="415" t="inlineStr">
        <is>
          <t>—</t>
        </is>
      </c>
      <c r="AE222" s="415" t="inlineStr">
        <is>
          <t>—</t>
        </is>
      </c>
      <c r="AF222" s="415" t="inlineStr">
        <is>
          <t>—</t>
        </is>
      </c>
      <c r="AG222" s="415" t="inlineStr">
        <is>
          <t>—</t>
        </is>
      </c>
      <c r="AH222" s="361">
        <f>AH192</f>
        <v/>
      </c>
      <c r="AI222" s="415" t="inlineStr">
        <is>
          <t>—</t>
        </is>
      </c>
      <c r="AJ222" s="415" t="inlineStr">
        <is>
          <t>—</t>
        </is>
      </c>
      <c r="AK222" s="415" t="inlineStr">
        <is>
          <t>—</t>
        </is>
      </c>
      <c r="AL222" s="415" t="inlineStr">
        <is>
          <t>—</t>
        </is>
      </c>
      <c r="AM222" s="361">
        <f>AM192</f>
        <v/>
      </c>
      <c r="AN222" s="415" t="inlineStr">
        <is>
          <t>—</t>
        </is>
      </c>
      <c r="AO222" s="415" t="inlineStr">
        <is>
          <t>—</t>
        </is>
      </c>
      <c r="AP222" s="415" t="inlineStr">
        <is>
          <t>—</t>
        </is>
      </c>
      <c r="AQ222" s="415" t="inlineStr">
        <is>
          <t>—</t>
        </is>
      </c>
      <c r="AR222" s="361">
        <f>AR192</f>
        <v/>
      </c>
    </row>
    <row r="223" ht="13.5" customHeight="1" s="290">
      <c r="A223" s="345" t="n"/>
      <c r="B223" s="370" t="inlineStr">
        <is>
          <t xml:space="preserve">  Annual — D&amp;E GCI</t>
        </is>
      </c>
      <c r="C223" s="371" t="inlineStr">
        <is>
          <t>$K/yr</t>
        </is>
      </c>
      <c r="D223" s="345" t="n"/>
      <c r="E223" s="415" t="inlineStr">
        <is>
          <t>—</t>
        </is>
      </c>
      <c r="F223" s="415" t="inlineStr">
        <is>
          <t>—</t>
        </is>
      </c>
      <c r="G223" s="415" t="inlineStr">
        <is>
          <t>—</t>
        </is>
      </c>
      <c r="H223" s="415" t="inlineStr">
        <is>
          <t>—</t>
        </is>
      </c>
      <c r="I223" s="361">
        <f>I193</f>
        <v/>
      </c>
      <c r="J223" s="415" t="inlineStr">
        <is>
          <t>—</t>
        </is>
      </c>
      <c r="K223" s="415" t="inlineStr">
        <is>
          <t>—</t>
        </is>
      </c>
      <c r="L223" s="415" t="inlineStr">
        <is>
          <t>—</t>
        </is>
      </c>
      <c r="M223" s="415" t="inlineStr">
        <is>
          <t>—</t>
        </is>
      </c>
      <c r="N223" s="361">
        <f>N193</f>
        <v/>
      </c>
      <c r="O223" s="415" t="inlineStr">
        <is>
          <t>—</t>
        </is>
      </c>
      <c r="P223" s="415" t="inlineStr">
        <is>
          <t>—</t>
        </is>
      </c>
      <c r="Q223" s="415" t="inlineStr">
        <is>
          <t>—</t>
        </is>
      </c>
      <c r="R223" s="415" t="inlineStr">
        <is>
          <t>—</t>
        </is>
      </c>
      <c r="S223" s="361">
        <f>S193</f>
        <v/>
      </c>
      <c r="T223" s="415" t="inlineStr">
        <is>
          <t>—</t>
        </is>
      </c>
      <c r="U223" s="415" t="inlineStr">
        <is>
          <t>—</t>
        </is>
      </c>
      <c r="V223" s="415" t="inlineStr">
        <is>
          <t>—</t>
        </is>
      </c>
      <c r="W223" s="415" t="inlineStr">
        <is>
          <t>—</t>
        </is>
      </c>
      <c r="X223" s="361">
        <f>X193</f>
        <v/>
      </c>
      <c r="Y223" s="415" t="inlineStr">
        <is>
          <t>—</t>
        </is>
      </c>
      <c r="Z223" s="415" t="inlineStr">
        <is>
          <t>—</t>
        </is>
      </c>
      <c r="AA223" s="415" t="inlineStr">
        <is>
          <t>—</t>
        </is>
      </c>
      <c r="AB223" s="415" t="inlineStr">
        <is>
          <t>—</t>
        </is>
      </c>
      <c r="AC223" s="361">
        <f>AC193</f>
        <v/>
      </c>
      <c r="AD223" s="415" t="inlineStr">
        <is>
          <t>—</t>
        </is>
      </c>
      <c r="AE223" s="415" t="inlineStr">
        <is>
          <t>—</t>
        </is>
      </c>
      <c r="AF223" s="415" t="inlineStr">
        <is>
          <t>—</t>
        </is>
      </c>
      <c r="AG223" s="415" t="inlineStr">
        <is>
          <t>—</t>
        </is>
      </c>
      <c r="AH223" s="361">
        <f>AH193</f>
        <v/>
      </c>
      <c r="AI223" s="415" t="inlineStr">
        <is>
          <t>—</t>
        </is>
      </c>
      <c r="AJ223" s="415" t="inlineStr">
        <is>
          <t>—</t>
        </is>
      </c>
      <c r="AK223" s="415" t="inlineStr">
        <is>
          <t>—</t>
        </is>
      </c>
      <c r="AL223" s="415" t="inlineStr">
        <is>
          <t>—</t>
        </is>
      </c>
      <c r="AM223" s="361">
        <f>AM193</f>
        <v/>
      </c>
      <c r="AN223" s="415" t="inlineStr">
        <is>
          <t>—</t>
        </is>
      </c>
      <c r="AO223" s="415" t="inlineStr">
        <is>
          <t>—</t>
        </is>
      </c>
      <c r="AP223" s="415" t="inlineStr">
        <is>
          <t>—</t>
        </is>
      </c>
      <c r="AQ223" s="415" t="inlineStr">
        <is>
          <t>—</t>
        </is>
      </c>
      <c r="AR223" s="361">
        <f>AR193</f>
        <v/>
      </c>
    </row>
    <row r="224" ht="13.5" customHeight="1" s="290">
      <c r="A224" s="345" t="n"/>
      <c r="B224" s="370" t="inlineStr">
        <is>
          <t xml:space="preserve">  Annual — Advisory Revenue</t>
        </is>
      </c>
      <c r="C224" s="371" t="inlineStr">
        <is>
          <t>$K/yr</t>
        </is>
      </c>
      <c r="D224" s="345" t="n"/>
      <c r="E224" s="415" t="inlineStr">
        <is>
          <t>—</t>
        </is>
      </c>
      <c r="F224" s="415" t="inlineStr">
        <is>
          <t>—</t>
        </is>
      </c>
      <c r="G224" s="415" t="inlineStr">
        <is>
          <t>—</t>
        </is>
      </c>
      <c r="H224" s="415" t="inlineStr">
        <is>
          <t>—</t>
        </is>
      </c>
      <c r="I224" s="361">
        <f>I194</f>
        <v/>
      </c>
      <c r="J224" s="415" t="inlineStr">
        <is>
          <t>—</t>
        </is>
      </c>
      <c r="K224" s="415" t="inlineStr">
        <is>
          <t>—</t>
        </is>
      </c>
      <c r="L224" s="415" t="inlineStr">
        <is>
          <t>—</t>
        </is>
      </c>
      <c r="M224" s="415" t="inlineStr">
        <is>
          <t>—</t>
        </is>
      </c>
      <c r="N224" s="361">
        <f>N194</f>
        <v/>
      </c>
      <c r="O224" s="415" t="inlineStr">
        <is>
          <t>—</t>
        </is>
      </c>
      <c r="P224" s="415" t="inlineStr">
        <is>
          <t>—</t>
        </is>
      </c>
      <c r="Q224" s="415" t="inlineStr">
        <is>
          <t>—</t>
        </is>
      </c>
      <c r="R224" s="415" t="inlineStr">
        <is>
          <t>—</t>
        </is>
      </c>
      <c r="S224" s="361">
        <f>S194</f>
        <v/>
      </c>
      <c r="T224" s="415" t="inlineStr">
        <is>
          <t>—</t>
        </is>
      </c>
      <c r="U224" s="415" t="inlineStr">
        <is>
          <t>—</t>
        </is>
      </c>
      <c r="V224" s="415" t="inlineStr">
        <is>
          <t>—</t>
        </is>
      </c>
      <c r="W224" s="415" t="inlineStr">
        <is>
          <t>—</t>
        </is>
      </c>
      <c r="X224" s="361">
        <f>X194</f>
        <v/>
      </c>
      <c r="Y224" s="415" t="inlineStr">
        <is>
          <t>—</t>
        </is>
      </c>
      <c r="Z224" s="415" t="inlineStr">
        <is>
          <t>—</t>
        </is>
      </c>
      <c r="AA224" s="415" t="inlineStr">
        <is>
          <t>—</t>
        </is>
      </c>
      <c r="AB224" s="415" t="inlineStr">
        <is>
          <t>—</t>
        </is>
      </c>
      <c r="AC224" s="361">
        <f>AC194</f>
        <v/>
      </c>
      <c r="AD224" s="415" t="inlineStr">
        <is>
          <t>—</t>
        </is>
      </c>
      <c r="AE224" s="415" t="inlineStr">
        <is>
          <t>—</t>
        </is>
      </c>
      <c r="AF224" s="415" t="inlineStr">
        <is>
          <t>—</t>
        </is>
      </c>
      <c r="AG224" s="415" t="inlineStr">
        <is>
          <t>—</t>
        </is>
      </c>
      <c r="AH224" s="361">
        <f>AH194</f>
        <v/>
      </c>
      <c r="AI224" s="415" t="inlineStr">
        <is>
          <t>—</t>
        </is>
      </c>
      <c r="AJ224" s="415" t="inlineStr">
        <is>
          <t>—</t>
        </is>
      </c>
      <c r="AK224" s="415" t="inlineStr">
        <is>
          <t>—</t>
        </is>
      </c>
      <c r="AL224" s="415" t="inlineStr">
        <is>
          <t>—</t>
        </is>
      </c>
      <c r="AM224" s="361">
        <f>AM194</f>
        <v/>
      </c>
      <c r="AN224" s="415" t="inlineStr">
        <is>
          <t>—</t>
        </is>
      </c>
      <c r="AO224" s="415" t="inlineStr">
        <is>
          <t>—</t>
        </is>
      </c>
      <c r="AP224" s="415" t="inlineStr">
        <is>
          <t>—</t>
        </is>
      </c>
      <c r="AQ224" s="415" t="inlineStr">
        <is>
          <t>—</t>
        </is>
      </c>
      <c r="AR224" s="361">
        <f>AR194</f>
        <v/>
      </c>
    </row>
    <row r="225" ht="13.5" customHeight="1" s="290">
      <c r="A225" s="416" t="n"/>
      <c r="B225" s="338" t="inlineStr">
        <is>
          <t xml:space="preserve">  Annual — TOTAL GCI</t>
        </is>
      </c>
      <c r="C225" s="406" t="inlineStr">
        <is>
          <t>$K/yr</t>
        </is>
      </c>
      <c r="D225" s="416" t="n"/>
      <c r="E225" s="417" t="inlineStr">
        <is>
          <t>—</t>
        </is>
      </c>
      <c r="F225" s="417" t="inlineStr">
        <is>
          <t>—</t>
        </is>
      </c>
      <c r="G225" s="417" t="inlineStr">
        <is>
          <t>—</t>
        </is>
      </c>
      <c r="H225" s="417" t="inlineStr">
        <is>
          <t>—</t>
        </is>
      </c>
      <c r="I225" s="407">
        <f>I195</f>
        <v/>
      </c>
      <c r="J225" s="417" t="inlineStr">
        <is>
          <t>—</t>
        </is>
      </c>
      <c r="K225" s="417" t="inlineStr">
        <is>
          <t>—</t>
        </is>
      </c>
      <c r="L225" s="417" t="inlineStr">
        <is>
          <t>—</t>
        </is>
      </c>
      <c r="M225" s="417" t="inlineStr">
        <is>
          <t>—</t>
        </is>
      </c>
      <c r="N225" s="407">
        <f>N195</f>
        <v/>
      </c>
      <c r="O225" s="417" t="inlineStr">
        <is>
          <t>—</t>
        </is>
      </c>
      <c r="P225" s="417" t="inlineStr">
        <is>
          <t>—</t>
        </is>
      </c>
      <c r="Q225" s="417" t="inlineStr">
        <is>
          <t>—</t>
        </is>
      </c>
      <c r="R225" s="417" t="inlineStr">
        <is>
          <t>—</t>
        </is>
      </c>
      <c r="S225" s="407">
        <f>S195</f>
        <v/>
      </c>
      <c r="T225" s="417" t="inlineStr">
        <is>
          <t>—</t>
        </is>
      </c>
      <c r="U225" s="417" t="inlineStr">
        <is>
          <t>—</t>
        </is>
      </c>
      <c r="V225" s="417" t="inlineStr">
        <is>
          <t>—</t>
        </is>
      </c>
      <c r="W225" s="417" t="inlineStr">
        <is>
          <t>—</t>
        </is>
      </c>
      <c r="X225" s="407">
        <f>X195</f>
        <v/>
      </c>
      <c r="Y225" s="417" t="inlineStr">
        <is>
          <t>—</t>
        </is>
      </c>
      <c r="Z225" s="417" t="inlineStr">
        <is>
          <t>—</t>
        </is>
      </c>
      <c r="AA225" s="417" t="inlineStr">
        <is>
          <t>—</t>
        </is>
      </c>
      <c r="AB225" s="417" t="inlineStr">
        <is>
          <t>—</t>
        </is>
      </c>
      <c r="AC225" s="407">
        <f>AC195</f>
        <v/>
      </c>
      <c r="AD225" s="417" t="inlineStr">
        <is>
          <t>—</t>
        </is>
      </c>
      <c r="AE225" s="417" t="inlineStr">
        <is>
          <t>—</t>
        </is>
      </c>
      <c r="AF225" s="417" t="inlineStr">
        <is>
          <t>—</t>
        </is>
      </c>
      <c r="AG225" s="417" t="inlineStr">
        <is>
          <t>—</t>
        </is>
      </c>
      <c r="AH225" s="407">
        <f>AH195</f>
        <v/>
      </c>
      <c r="AI225" s="417" t="inlineStr">
        <is>
          <t>—</t>
        </is>
      </c>
      <c r="AJ225" s="417" t="inlineStr">
        <is>
          <t>—</t>
        </is>
      </c>
      <c r="AK225" s="417" t="inlineStr">
        <is>
          <t>—</t>
        </is>
      </c>
      <c r="AL225" s="417" t="inlineStr">
        <is>
          <t>—</t>
        </is>
      </c>
      <c r="AM225" s="407">
        <f>AM195</f>
        <v/>
      </c>
      <c r="AN225" s="417" t="inlineStr">
        <is>
          <t>—</t>
        </is>
      </c>
      <c r="AO225" s="417" t="inlineStr">
        <is>
          <t>—</t>
        </is>
      </c>
      <c r="AP225" s="417" t="inlineStr">
        <is>
          <t>—</t>
        </is>
      </c>
      <c r="AQ225" s="417" t="inlineStr">
        <is>
          <t>—</t>
        </is>
      </c>
      <c r="AR225" s="407">
        <f>AR195</f>
        <v/>
      </c>
    </row>
    <row r="226" ht="4.5" customHeight="1" s="290"/>
    <row r="227" ht="3" customHeight="1" s="290">
      <c r="A227" s="293" t="n"/>
    </row>
    <row r="228" ht="4.5" customHeight="1" s="290"/>
    <row r="229" ht="15.75" customHeight="1" s="290">
      <c r="A229" s="338" t="inlineStr">
        <is>
          <t xml:space="preserve">  SECTION F — REVENUE ENGINE CHECKS  [ All results feed Tab 11 — Checks ]</t>
        </is>
      </c>
    </row>
    <row r="230" ht="3.75" customHeight="1" s="290"/>
    <row r="231" ht="12.75" customHeight="1" s="290">
      <c r="A231" s="348" t="inlineStr">
        <is>
          <t xml:space="preserve">  Checks run on the annual summary columns. PASS = valid. FAIL = investigate before running Tab 06. Market share thresholds: Leasing &lt;10%, IS &lt;8%, D&amp;E &lt;15% of national origination volume.</t>
        </is>
      </c>
    </row>
    <row r="232" ht="3.75" customHeight="1" s="290"/>
    <row r="233" ht="15" customHeight="1" s="290">
      <c r="B233" s="358" t="inlineStr">
        <is>
          <t>Check Description</t>
        </is>
      </c>
      <c r="D233" s="358" t="inlineStr">
        <is>
          <t>Logic / Source</t>
        </is>
      </c>
      <c r="I233" s="358" t="inlineStr">
        <is>
          <t>2023A</t>
        </is>
      </c>
      <c r="N233" s="358" t="inlineStr">
        <is>
          <t>2024A</t>
        </is>
      </c>
      <c r="S233" s="358" t="inlineStr">
        <is>
          <t>2025A</t>
        </is>
      </c>
      <c r="X233" s="358" t="inlineStr">
        <is>
          <t>2026E</t>
        </is>
      </c>
      <c r="AC233" s="358" t="inlineStr">
        <is>
          <t>2027E</t>
        </is>
      </c>
      <c r="AH233" s="358" t="inlineStr">
        <is>
          <t>2028E</t>
        </is>
      </c>
      <c r="AM233" s="358" t="inlineStr">
        <is>
          <t>2029E</t>
        </is>
      </c>
      <c r="AR233" s="358" t="inlineStr">
        <is>
          <t>2030E</t>
        </is>
      </c>
    </row>
    <row r="234" ht="3" customHeight="1" s="290"/>
    <row r="235" ht="13.5" customHeight="1" s="290">
      <c r="A235" s="359" t="n"/>
      <c r="B235" s="353" t="inlineStr">
        <is>
          <t xml:space="preserve">  ✔  Leasing GCI ≥ 0</t>
        </is>
      </c>
      <c r="D235" s="354" t="inlineStr">
        <is>
          <t>Row 191</t>
        </is>
      </c>
      <c r="E235" s="368" t="inlineStr">
        <is>
          <t>—</t>
        </is>
      </c>
      <c r="F235" s="368" t="inlineStr">
        <is>
          <t>—</t>
        </is>
      </c>
      <c r="G235" s="368" t="inlineStr">
        <is>
          <t>—</t>
        </is>
      </c>
      <c r="H235" s="368" t="inlineStr">
        <is>
          <t>—</t>
        </is>
      </c>
      <c r="I235" s="356">
        <f>IF(I191&gt;=0,"PASS","FAIL — NEGATIVE LEASING GCI")</f>
        <v/>
      </c>
      <c r="J235" s="368" t="inlineStr">
        <is>
          <t>—</t>
        </is>
      </c>
      <c r="K235" s="368" t="inlineStr">
        <is>
          <t>—</t>
        </is>
      </c>
      <c r="L235" s="368" t="inlineStr">
        <is>
          <t>—</t>
        </is>
      </c>
      <c r="M235" s="368" t="inlineStr">
        <is>
          <t>—</t>
        </is>
      </c>
      <c r="N235" s="356">
        <f>IF(N191&gt;=0,"PASS","FAIL — NEGATIVE LEASING GCI")</f>
        <v/>
      </c>
      <c r="O235" s="368" t="inlineStr">
        <is>
          <t>—</t>
        </is>
      </c>
      <c r="P235" s="368" t="inlineStr">
        <is>
          <t>—</t>
        </is>
      </c>
      <c r="Q235" s="368" t="inlineStr">
        <is>
          <t>—</t>
        </is>
      </c>
      <c r="R235" s="368" t="inlineStr">
        <is>
          <t>—</t>
        </is>
      </c>
      <c r="S235" s="356">
        <f>IF(S191&gt;=0,"PASS","FAIL — NEGATIVE LEASING GCI")</f>
        <v/>
      </c>
      <c r="T235" s="368" t="inlineStr">
        <is>
          <t>—</t>
        </is>
      </c>
      <c r="U235" s="368" t="inlineStr">
        <is>
          <t>—</t>
        </is>
      </c>
      <c r="V235" s="368" t="inlineStr">
        <is>
          <t>—</t>
        </is>
      </c>
      <c r="W235" s="368" t="inlineStr">
        <is>
          <t>—</t>
        </is>
      </c>
      <c r="X235" s="356">
        <f>IF(X191&gt;=0,"PASS","FAIL — NEGATIVE LEASING GCI")</f>
        <v/>
      </c>
      <c r="Y235" s="368" t="inlineStr">
        <is>
          <t>—</t>
        </is>
      </c>
      <c r="Z235" s="368" t="inlineStr">
        <is>
          <t>—</t>
        </is>
      </c>
      <c r="AA235" s="368" t="inlineStr">
        <is>
          <t>—</t>
        </is>
      </c>
      <c r="AB235" s="368" t="inlineStr">
        <is>
          <t>—</t>
        </is>
      </c>
      <c r="AC235" s="356">
        <f>IF(AC191&gt;=0,"PASS","FAIL — NEGATIVE LEASING GCI")</f>
        <v/>
      </c>
      <c r="AD235" s="368" t="inlineStr">
        <is>
          <t>—</t>
        </is>
      </c>
      <c r="AE235" s="368" t="inlineStr">
        <is>
          <t>—</t>
        </is>
      </c>
      <c r="AF235" s="368" t="inlineStr">
        <is>
          <t>—</t>
        </is>
      </c>
      <c r="AG235" s="368" t="inlineStr">
        <is>
          <t>—</t>
        </is>
      </c>
      <c r="AH235" s="356">
        <f>IF(AH191&gt;=0,"PASS","FAIL — NEGATIVE LEASING GCI")</f>
        <v/>
      </c>
      <c r="AI235" s="368" t="inlineStr">
        <is>
          <t>—</t>
        </is>
      </c>
      <c r="AJ235" s="368" t="inlineStr">
        <is>
          <t>—</t>
        </is>
      </c>
      <c r="AK235" s="368" t="inlineStr">
        <is>
          <t>—</t>
        </is>
      </c>
      <c r="AL235" s="368" t="inlineStr">
        <is>
          <t>—</t>
        </is>
      </c>
      <c r="AM235" s="356">
        <f>IF(AM191&gt;=0,"PASS","FAIL — NEGATIVE LEASING GCI")</f>
        <v/>
      </c>
      <c r="AN235" s="368" t="inlineStr">
        <is>
          <t>—</t>
        </is>
      </c>
      <c r="AO235" s="368" t="inlineStr">
        <is>
          <t>—</t>
        </is>
      </c>
      <c r="AP235" s="368" t="inlineStr">
        <is>
          <t>—</t>
        </is>
      </c>
      <c r="AQ235" s="368" t="inlineStr">
        <is>
          <t>—</t>
        </is>
      </c>
      <c r="AR235" s="356">
        <f>IF(AR191&gt;=0,"PASS","FAIL — NEGATIVE LEASING GCI")</f>
        <v/>
      </c>
    </row>
    <row r="236" ht="13.5" customHeight="1" s="290">
      <c r="A236" s="359" t="n"/>
      <c r="B236" s="353" t="inlineStr">
        <is>
          <t xml:space="preserve">  ✔  IS GCI ≥ 0</t>
        </is>
      </c>
      <c r="D236" s="354" t="inlineStr">
        <is>
          <t>Row 192</t>
        </is>
      </c>
      <c r="E236" s="368" t="inlineStr">
        <is>
          <t>—</t>
        </is>
      </c>
      <c r="F236" s="368" t="inlineStr">
        <is>
          <t>—</t>
        </is>
      </c>
      <c r="G236" s="368" t="inlineStr">
        <is>
          <t>—</t>
        </is>
      </c>
      <c r="H236" s="368" t="inlineStr">
        <is>
          <t>—</t>
        </is>
      </c>
      <c r="I236" s="356">
        <f>IF(I192&gt;=0,"PASS","FAIL — NEGATIVE IS GCI")</f>
        <v/>
      </c>
      <c r="J236" s="368" t="inlineStr">
        <is>
          <t>—</t>
        </is>
      </c>
      <c r="K236" s="368" t="inlineStr">
        <is>
          <t>—</t>
        </is>
      </c>
      <c r="L236" s="368" t="inlineStr">
        <is>
          <t>—</t>
        </is>
      </c>
      <c r="M236" s="368" t="inlineStr">
        <is>
          <t>—</t>
        </is>
      </c>
      <c r="N236" s="356">
        <f>IF(N192&gt;=0,"PASS","FAIL — NEGATIVE IS GCI")</f>
        <v/>
      </c>
      <c r="O236" s="368" t="inlineStr">
        <is>
          <t>—</t>
        </is>
      </c>
      <c r="P236" s="368" t="inlineStr">
        <is>
          <t>—</t>
        </is>
      </c>
      <c r="Q236" s="368" t="inlineStr">
        <is>
          <t>—</t>
        </is>
      </c>
      <c r="R236" s="368" t="inlineStr">
        <is>
          <t>—</t>
        </is>
      </c>
      <c r="S236" s="356">
        <f>IF(S192&gt;=0,"PASS","FAIL — NEGATIVE IS GCI")</f>
        <v/>
      </c>
      <c r="T236" s="368" t="inlineStr">
        <is>
          <t>—</t>
        </is>
      </c>
      <c r="U236" s="368" t="inlineStr">
        <is>
          <t>—</t>
        </is>
      </c>
      <c r="V236" s="368" t="inlineStr">
        <is>
          <t>—</t>
        </is>
      </c>
      <c r="W236" s="368" t="inlineStr">
        <is>
          <t>—</t>
        </is>
      </c>
      <c r="X236" s="356">
        <f>IF(X192&gt;=0,"PASS","FAIL — NEGATIVE IS GCI")</f>
        <v/>
      </c>
      <c r="Y236" s="368" t="inlineStr">
        <is>
          <t>—</t>
        </is>
      </c>
      <c r="Z236" s="368" t="inlineStr">
        <is>
          <t>—</t>
        </is>
      </c>
      <c r="AA236" s="368" t="inlineStr">
        <is>
          <t>—</t>
        </is>
      </c>
      <c r="AB236" s="368" t="inlineStr">
        <is>
          <t>—</t>
        </is>
      </c>
      <c r="AC236" s="356">
        <f>IF(AC192&gt;=0,"PASS","FAIL — NEGATIVE IS GCI")</f>
        <v/>
      </c>
      <c r="AD236" s="368" t="inlineStr">
        <is>
          <t>—</t>
        </is>
      </c>
      <c r="AE236" s="368" t="inlineStr">
        <is>
          <t>—</t>
        </is>
      </c>
      <c r="AF236" s="368" t="inlineStr">
        <is>
          <t>—</t>
        </is>
      </c>
      <c r="AG236" s="368" t="inlineStr">
        <is>
          <t>—</t>
        </is>
      </c>
      <c r="AH236" s="356">
        <f>IF(AH192&gt;=0,"PASS","FAIL — NEGATIVE IS GCI")</f>
        <v/>
      </c>
      <c r="AI236" s="368" t="inlineStr">
        <is>
          <t>—</t>
        </is>
      </c>
      <c r="AJ236" s="368" t="inlineStr">
        <is>
          <t>—</t>
        </is>
      </c>
      <c r="AK236" s="368" t="inlineStr">
        <is>
          <t>—</t>
        </is>
      </c>
      <c r="AL236" s="368" t="inlineStr">
        <is>
          <t>—</t>
        </is>
      </c>
      <c r="AM236" s="356">
        <f>IF(AM192&gt;=0,"PASS","FAIL — NEGATIVE IS GCI")</f>
        <v/>
      </c>
      <c r="AN236" s="368" t="inlineStr">
        <is>
          <t>—</t>
        </is>
      </c>
      <c r="AO236" s="368" t="inlineStr">
        <is>
          <t>—</t>
        </is>
      </c>
      <c r="AP236" s="368" t="inlineStr">
        <is>
          <t>—</t>
        </is>
      </c>
      <c r="AQ236" s="368" t="inlineStr">
        <is>
          <t>—</t>
        </is>
      </c>
      <c r="AR236" s="356">
        <f>IF(AR192&gt;=0,"PASS","FAIL — NEGATIVE IS GCI")</f>
        <v/>
      </c>
    </row>
    <row r="237" ht="13.5" customHeight="1" s="290">
      <c r="A237" s="359" t="n"/>
      <c r="B237" s="353" t="inlineStr">
        <is>
          <t xml:space="preserve">  ✔  D&amp;E GCI ≥ 0</t>
        </is>
      </c>
      <c r="D237" s="354" t="inlineStr">
        <is>
          <t>Row 193</t>
        </is>
      </c>
      <c r="E237" s="368" t="inlineStr">
        <is>
          <t>—</t>
        </is>
      </c>
      <c r="F237" s="368" t="inlineStr">
        <is>
          <t>—</t>
        </is>
      </c>
      <c r="G237" s="368" t="inlineStr">
        <is>
          <t>—</t>
        </is>
      </c>
      <c r="H237" s="368" t="inlineStr">
        <is>
          <t>—</t>
        </is>
      </c>
      <c r="I237" s="356">
        <f>IF(I193&gt;=0,"PASS","FAIL — NEGATIVE D&amp;E GCI")</f>
        <v/>
      </c>
      <c r="J237" s="368" t="inlineStr">
        <is>
          <t>—</t>
        </is>
      </c>
      <c r="K237" s="368" t="inlineStr">
        <is>
          <t>—</t>
        </is>
      </c>
      <c r="L237" s="368" t="inlineStr">
        <is>
          <t>—</t>
        </is>
      </c>
      <c r="M237" s="368" t="inlineStr">
        <is>
          <t>—</t>
        </is>
      </c>
      <c r="N237" s="356">
        <f>IF(N193&gt;=0,"PASS","FAIL — NEGATIVE D&amp;E GCI")</f>
        <v/>
      </c>
      <c r="O237" s="368" t="inlineStr">
        <is>
          <t>—</t>
        </is>
      </c>
      <c r="P237" s="368" t="inlineStr">
        <is>
          <t>—</t>
        </is>
      </c>
      <c r="Q237" s="368" t="inlineStr">
        <is>
          <t>—</t>
        </is>
      </c>
      <c r="R237" s="368" t="inlineStr">
        <is>
          <t>—</t>
        </is>
      </c>
      <c r="S237" s="356">
        <f>IF(S193&gt;=0,"PASS","FAIL — NEGATIVE D&amp;E GCI")</f>
        <v/>
      </c>
      <c r="T237" s="368" t="inlineStr">
        <is>
          <t>—</t>
        </is>
      </c>
      <c r="U237" s="368" t="inlineStr">
        <is>
          <t>—</t>
        </is>
      </c>
      <c r="V237" s="368" t="inlineStr">
        <is>
          <t>—</t>
        </is>
      </c>
      <c r="W237" s="368" t="inlineStr">
        <is>
          <t>—</t>
        </is>
      </c>
      <c r="X237" s="356">
        <f>IF(X193&gt;=0,"PASS","FAIL — NEGATIVE D&amp;E GCI")</f>
        <v/>
      </c>
      <c r="Y237" s="368" t="inlineStr">
        <is>
          <t>—</t>
        </is>
      </c>
      <c r="Z237" s="368" t="inlineStr">
        <is>
          <t>—</t>
        </is>
      </c>
      <c r="AA237" s="368" t="inlineStr">
        <is>
          <t>—</t>
        </is>
      </c>
      <c r="AB237" s="368" t="inlineStr">
        <is>
          <t>—</t>
        </is>
      </c>
      <c r="AC237" s="356">
        <f>IF(AC193&gt;=0,"PASS","FAIL — NEGATIVE D&amp;E GCI")</f>
        <v/>
      </c>
      <c r="AD237" s="368" t="inlineStr">
        <is>
          <t>—</t>
        </is>
      </c>
      <c r="AE237" s="368" t="inlineStr">
        <is>
          <t>—</t>
        </is>
      </c>
      <c r="AF237" s="368" t="inlineStr">
        <is>
          <t>—</t>
        </is>
      </c>
      <c r="AG237" s="368" t="inlineStr">
        <is>
          <t>—</t>
        </is>
      </c>
      <c r="AH237" s="356">
        <f>IF(AH193&gt;=0,"PASS","FAIL — NEGATIVE D&amp;E GCI")</f>
        <v/>
      </c>
      <c r="AI237" s="368" t="inlineStr">
        <is>
          <t>—</t>
        </is>
      </c>
      <c r="AJ237" s="368" t="inlineStr">
        <is>
          <t>—</t>
        </is>
      </c>
      <c r="AK237" s="368" t="inlineStr">
        <is>
          <t>—</t>
        </is>
      </c>
      <c r="AL237" s="368" t="inlineStr">
        <is>
          <t>—</t>
        </is>
      </c>
      <c r="AM237" s="356">
        <f>IF(AM193&gt;=0,"PASS","FAIL — NEGATIVE D&amp;E GCI")</f>
        <v/>
      </c>
      <c r="AN237" s="368" t="inlineStr">
        <is>
          <t>—</t>
        </is>
      </c>
      <c r="AO237" s="368" t="inlineStr">
        <is>
          <t>—</t>
        </is>
      </c>
      <c r="AP237" s="368" t="inlineStr">
        <is>
          <t>—</t>
        </is>
      </c>
      <c r="AQ237" s="368" t="inlineStr">
        <is>
          <t>—</t>
        </is>
      </c>
      <c r="AR237" s="356">
        <f>IF(AR193&gt;=0,"PASS","FAIL — NEGATIVE D&amp;E GCI")</f>
        <v/>
      </c>
    </row>
    <row r="238" ht="13.5" customHeight="1" s="290">
      <c r="A238" s="359" t="n"/>
      <c r="B238" s="353" t="inlineStr">
        <is>
          <t xml:space="preserve">  ✔  Advisory Revenue ≥ 0</t>
        </is>
      </c>
      <c r="D238" s="354" t="inlineStr">
        <is>
          <t>Row 194</t>
        </is>
      </c>
      <c r="E238" s="368" t="inlineStr">
        <is>
          <t>—</t>
        </is>
      </c>
      <c r="F238" s="368" t="inlineStr">
        <is>
          <t>—</t>
        </is>
      </c>
      <c r="G238" s="368" t="inlineStr">
        <is>
          <t>—</t>
        </is>
      </c>
      <c r="H238" s="368" t="inlineStr">
        <is>
          <t>—</t>
        </is>
      </c>
      <c r="I238" s="356">
        <f>IF(I194&gt;=0,"PASS","FAIL — NEGATIVE ADVISORY REV")</f>
        <v/>
      </c>
      <c r="J238" s="368" t="inlineStr">
        <is>
          <t>—</t>
        </is>
      </c>
      <c r="K238" s="368" t="inlineStr">
        <is>
          <t>—</t>
        </is>
      </c>
      <c r="L238" s="368" t="inlineStr">
        <is>
          <t>—</t>
        </is>
      </c>
      <c r="M238" s="368" t="inlineStr">
        <is>
          <t>—</t>
        </is>
      </c>
      <c r="N238" s="356">
        <f>IF(N194&gt;=0,"PASS","FAIL — NEGATIVE ADVISORY REV")</f>
        <v/>
      </c>
      <c r="O238" s="368" t="inlineStr">
        <is>
          <t>—</t>
        </is>
      </c>
      <c r="P238" s="368" t="inlineStr">
        <is>
          <t>—</t>
        </is>
      </c>
      <c r="Q238" s="368" t="inlineStr">
        <is>
          <t>—</t>
        </is>
      </c>
      <c r="R238" s="368" t="inlineStr">
        <is>
          <t>—</t>
        </is>
      </c>
      <c r="S238" s="356">
        <f>IF(S194&gt;=0,"PASS","FAIL — NEGATIVE ADVISORY REV")</f>
        <v/>
      </c>
      <c r="T238" s="368" t="inlineStr">
        <is>
          <t>—</t>
        </is>
      </c>
      <c r="U238" s="368" t="inlineStr">
        <is>
          <t>—</t>
        </is>
      </c>
      <c r="V238" s="368" t="inlineStr">
        <is>
          <t>—</t>
        </is>
      </c>
      <c r="W238" s="368" t="inlineStr">
        <is>
          <t>—</t>
        </is>
      </c>
      <c r="X238" s="356">
        <f>IF(X194&gt;=0,"PASS","FAIL — NEGATIVE ADVISORY REV")</f>
        <v/>
      </c>
      <c r="Y238" s="368" t="inlineStr">
        <is>
          <t>—</t>
        </is>
      </c>
      <c r="Z238" s="368" t="inlineStr">
        <is>
          <t>—</t>
        </is>
      </c>
      <c r="AA238" s="368" t="inlineStr">
        <is>
          <t>—</t>
        </is>
      </c>
      <c r="AB238" s="368" t="inlineStr">
        <is>
          <t>—</t>
        </is>
      </c>
      <c r="AC238" s="356">
        <f>IF(AC194&gt;=0,"PASS","FAIL — NEGATIVE ADVISORY REV")</f>
        <v/>
      </c>
      <c r="AD238" s="368" t="inlineStr">
        <is>
          <t>—</t>
        </is>
      </c>
      <c r="AE238" s="368" t="inlineStr">
        <is>
          <t>—</t>
        </is>
      </c>
      <c r="AF238" s="368" t="inlineStr">
        <is>
          <t>—</t>
        </is>
      </c>
      <c r="AG238" s="368" t="inlineStr">
        <is>
          <t>—</t>
        </is>
      </c>
      <c r="AH238" s="356">
        <f>IF(AH194&gt;=0,"PASS","FAIL — NEGATIVE ADVISORY REV")</f>
        <v/>
      </c>
      <c r="AI238" s="368" t="inlineStr">
        <is>
          <t>—</t>
        </is>
      </c>
      <c r="AJ238" s="368" t="inlineStr">
        <is>
          <t>—</t>
        </is>
      </c>
      <c r="AK238" s="368" t="inlineStr">
        <is>
          <t>—</t>
        </is>
      </c>
      <c r="AL238" s="368" t="inlineStr">
        <is>
          <t>—</t>
        </is>
      </c>
      <c r="AM238" s="356">
        <f>IF(AM194&gt;=0,"PASS","FAIL — NEGATIVE ADVISORY REV")</f>
        <v/>
      </c>
      <c r="AN238" s="368" t="inlineStr">
        <is>
          <t>—</t>
        </is>
      </c>
      <c r="AO238" s="368" t="inlineStr">
        <is>
          <t>—</t>
        </is>
      </c>
      <c r="AP238" s="368" t="inlineStr">
        <is>
          <t>—</t>
        </is>
      </c>
      <c r="AQ238" s="368" t="inlineStr">
        <is>
          <t>—</t>
        </is>
      </c>
      <c r="AR238" s="356">
        <f>IF(AR194&gt;=0,"PASS","FAIL — NEGATIVE ADVISORY REV")</f>
        <v/>
      </c>
    </row>
    <row r="239" ht="13.5" customHeight="1" s="290">
      <c r="A239" s="359" t="n"/>
      <c r="B239" s="353" t="inlineStr">
        <is>
          <t xml:space="preserve">  ✔  Total GCI ≥ 0</t>
        </is>
      </c>
      <c r="D239" s="354" t="inlineStr">
        <is>
          <t>Row 195</t>
        </is>
      </c>
      <c r="E239" s="368" t="inlineStr">
        <is>
          <t>—</t>
        </is>
      </c>
      <c r="F239" s="368" t="inlineStr">
        <is>
          <t>—</t>
        </is>
      </c>
      <c r="G239" s="368" t="inlineStr">
        <is>
          <t>—</t>
        </is>
      </c>
      <c r="H239" s="368" t="inlineStr">
        <is>
          <t>—</t>
        </is>
      </c>
      <c r="I239" s="356">
        <f>IF(I195&gt;=0,"PASS","FAIL — NEGATIVE TOTAL GCI")</f>
        <v/>
      </c>
      <c r="J239" s="368" t="inlineStr">
        <is>
          <t>—</t>
        </is>
      </c>
      <c r="K239" s="368" t="inlineStr">
        <is>
          <t>—</t>
        </is>
      </c>
      <c r="L239" s="368" t="inlineStr">
        <is>
          <t>—</t>
        </is>
      </c>
      <c r="M239" s="368" t="inlineStr">
        <is>
          <t>—</t>
        </is>
      </c>
      <c r="N239" s="356">
        <f>IF(N195&gt;=0,"PASS","FAIL — NEGATIVE TOTAL GCI")</f>
        <v/>
      </c>
      <c r="O239" s="368" t="inlineStr">
        <is>
          <t>—</t>
        </is>
      </c>
      <c r="P239" s="368" t="inlineStr">
        <is>
          <t>—</t>
        </is>
      </c>
      <c r="Q239" s="368" t="inlineStr">
        <is>
          <t>—</t>
        </is>
      </c>
      <c r="R239" s="368" t="inlineStr">
        <is>
          <t>—</t>
        </is>
      </c>
      <c r="S239" s="356">
        <f>IF(S195&gt;=0,"PASS","FAIL — NEGATIVE TOTAL GCI")</f>
        <v/>
      </c>
      <c r="T239" s="368" t="inlineStr">
        <is>
          <t>—</t>
        </is>
      </c>
      <c r="U239" s="368" t="inlineStr">
        <is>
          <t>—</t>
        </is>
      </c>
      <c r="V239" s="368" t="inlineStr">
        <is>
          <t>—</t>
        </is>
      </c>
      <c r="W239" s="368" t="inlineStr">
        <is>
          <t>—</t>
        </is>
      </c>
      <c r="X239" s="356">
        <f>IF(X195&gt;=0,"PASS","FAIL — NEGATIVE TOTAL GCI")</f>
        <v/>
      </c>
      <c r="Y239" s="368" t="inlineStr">
        <is>
          <t>—</t>
        </is>
      </c>
      <c r="Z239" s="368" t="inlineStr">
        <is>
          <t>—</t>
        </is>
      </c>
      <c r="AA239" s="368" t="inlineStr">
        <is>
          <t>—</t>
        </is>
      </c>
      <c r="AB239" s="368" t="inlineStr">
        <is>
          <t>—</t>
        </is>
      </c>
      <c r="AC239" s="356">
        <f>IF(AC195&gt;=0,"PASS","FAIL — NEGATIVE TOTAL GCI")</f>
        <v/>
      </c>
      <c r="AD239" s="368" t="inlineStr">
        <is>
          <t>—</t>
        </is>
      </c>
      <c r="AE239" s="368" t="inlineStr">
        <is>
          <t>—</t>
        </is>
      </c>
      <c r="AF239" s="368" t="inlineStr">
        <is>
          <t>—</t>
        </is>
      </c>
      <c r="AG239" s="368" t="inlineStr">
        <is>
          <t>—</t>
        </is>
      </c>
      <c r="AH239" s="356">
        <f>IF(AH195&gt;=0,"PASS","FAIL — NEGATIVE TOTAL GCI")</f>
        <v/>
      </c>
      <c r="AI239" s="368" t="inlineStr">
        <is>
          <t>—</t>
        </is>
      </c>
      <c r="AJ239" s="368" t="inlineStr">
        <is>
          <t>—</t>
        </is>
      </c>
      <c r="AK239" s="368" t="inlineStr">
        <is>
          <t>—</t>
        </is>
      </c>
      <c r="AL239" s="368" t="inlineStr">
        <is>
          <t>—</t>
        </is>
      </c>
      <c r="AM239" s="356">
        <f>IF(AM195&gt;=0,"PASS","FAIL — NEGATIVE TOTAL GCI")</f>
        <v/>
      </c>
      <c r="AN239" s="368" t="inlineStr">
        <is>
          <t>—</t>
        </is>
      </c>
      <c r="AO239" s="368" t="inlineStr">
        <is>
          <t>—</t>
        </is>
      </c>
      <c r="AP239" s="368" t="inlineStr">
        <is>
          <t>—</t>
        </is>
      </c>
      <c r="AQ239" s="368" t="inlineStr">
        <is>
          <t>—</t>
        </is>
      </c>
      <c r="AR239" s="356">
        <f>IF(AR195&gt;=0,"PASS","FAIL — NEGATIVE TOTAL GCI")</f>
        <v/>
      </c>
    </row>
    <row r="240" ht="13.5" customHeight="1" s="290">
      <c r="A240" s="359" t="n"/>
      <c r="B240" s="353" t="inlineStr">
        <is>
          <t xml:space="preserve">  ✔  Total Leasing Deal Count ≥ 0</t>
        </is>
      </c>
      <c r="D240" s="354" t="inlineStr">
        <is>
          <t>Row 28</t>
        </is>
      </c>
      <c r="E240" s="368" t="inlineStr">
        <is>
          <t>—</t>
        </is>
      </c>
      <c r="F240" s="368" t="inlineStr">
        <is>
          <t>—</t>
        </is>
      </c>
      <c r="G240" s="368" t="inlineStr">
        <is>
          <t>—</t>
        </is>
      </c>
      <c r="H240" s="368" t="inlineStr">
        <is>
          <t>—</t>
        </is>
      </c>
      <c r="I240" s="356">
        <f>IF(I28&gt;=0,"PASS","FAIL — NEGATIVE DEAL COUNT")</f>
        <v/>
      </c>
      <c r="J240" s="368" t="inlineStr">
        <is>
          <t>—</t>
        </is>
      </c>
      <c r="K240" s="368" t="inlineStr">
        <is>
          <t>—</t>
        </is>
      </c>
      <c r="L240" s="368" t="inlineStr">
        <is>
          <t>—</t>
        </is>
      </c>
      <c r="M240" s="368" t="inlineStr">
        <is>
          <t>—</t>
        </is>
      </c>
      <c r="N240" s="356">
        <f>IF(N28&gt;=0,"PASS","FAIL — NEGATIVE DEAL COUNT")</f>
        <v/>
      </c>
      <c r="O240" s="368" t="inlineStr">
        <is>
          <t>—</t>
        </is>
      </c>
      <c r="P240" s="368" t="inlineStr">
        <is>
          <t>—</t>
        </is>
      </c>
      <c r="Q240" s="368" t="inlineStr">
        <is>
          <t>—</t>
        </is>
      </c>
      <c r="R240" s="368" t="inlineStr">
        <is>
          <t>—</t>
        </is>
      </c>
      <c r="S240" s="356">
        <f>IF(S28&gt;=0,"PASS","FAIL — NEGATIVE DEAL COUNT")</f>
        <v/>
      </c>
      <c r="T240" s="368" t="inlineStr">
        <is>
          <t>—</t>
        </is>
      </c>
      <c r="U240" s="368" t="inlineStr">
        <is>
          <t>—</t>
        </is>
      </c>
      <c r="V240" s="368" t="inlineStr">
        <is>
          <t>—</t>
        </is>
      </c>
      <c r="W240" s="368" t="inlineStr">
        <is>
          <t>—</t>
        </is>
      </c>
      <c r="X240" s="356">
        <f>IF(X28&gt;=0,"PASS","FAIL — NEGATIVE DEAL COUNT")</f>
        <v/>
      </c>
      <c r="Y240" s="368" t="inlineStr">
        <is>
          <t>—</t>
        </is>
      </c>
      <c r="Z240" s="368" t="inlineStr">
        <is>
          <t>—</t>
        </is>
      </c>
      <c r="AA240" s="368" t="inlineStr">
        <is>
          <t>—</t>
        </is>
      </c>
      <c r="AB240" s="368" t="inlineStr">
        <is>
          <t>—</t>
        </is>
      </c>
      <c r="AC240" s="356">
        <f>IF(AC28&gt;=0,"PASS","FAIL — NEGATIVE DEAL COUNT")</f>
        <v/>
      </c>
      <c r="AD240" s="368" t="inlineStr">
        <is>
          <t>—</t>
        </is>
      </c>
      <c r="AE240" s="368" t="inlineStr">
        <is>
          <t>—</t>
        </is>
      </c>
      <c r="AF240" s="368" t="inlineStr">
        <is>
          <t>—</t>
        </is>
      </c>
      <c r="AG240" s="368" t="inlineStr">
        <is>
          <t>—</t>
        </is>
      </c>
      <c r="AH240" s="356">
        <f>IF(AH28&gt;=0,"PASS","FAIL — NEGATIVE DEAL COUNT")</f>
        <v/>
      </c>
      <c r="AI240" s="368" t="inlineStr">
        <is>
          <t>—</t>
        </is>
      </c>
      <c r="AJ240" s="368" t="inlineStr">
        <is>
          <t>—</t>
        </is>
      </c>
      <c r="AK240" s="368" t="inlineStr">
        <is>
          <t>—</t>
        </is>
      </c>
      <c r="AL240" s="368" t="inlineStr">
        <is>
          <t>—</t>
        </is>
      </c>
      <c r="AM240" s="356">
        <f>IF(AM28&gt;=0,"PASS","FAIL — NEGATIVE DEAL COUNT")</f>
        <v/>
      </c>
      <c r="AN240" s="368" t="inlineStr">
        <is>
          <t>—</t>
        </is>
      </c>
      <c r="AO240" s="368" t="inlineStr">
        <is>
          <t>—</t>
        </is>
      </c>
      <c r="AP240" s="368" t="inlineStr">
        <is>
          <t>—</t>
        </is>
      </c>
      <c r="AQ240" s="368" t="inlineStr">
        <is>
          <t>—</t>
        </is>
      </c>
      <c r="AR240" s="356">
        <f>IF(AR28&gt;=0,"PASS","FAIL — NEGATIVE DEAL COUNT")</f>
        <v/>
      </c>
    </row>
    <row r="241" ht="13.5" customHeight="1" s="290">
      <c r="A241" s="359" t="n"/>
      <c r="B241" s="353" t="inlineStr">
        <is>
          <t xml:space="preserve">  ✔  Total IS Deal Count ≥ 0</t>
        </is>
      </c>
      <c r="D241" s="354" t="inlineStr">
        <is>
          <t>Row 76</t>
        </is>
      </c>
      <c r="E241" s="368" t="inlineStr">
        <is>
          <t>—</t>
        </is>
      </c>
      <c r="F241" s="368" t="inlineStr">
        <is>
          <t>—</t>
        </is>
      </c>
      <c r="G241" s="368" t="inlineStr">
        <is>
          <t>—</t>
        </is>
      </c>
      <c r="H241" s="368" t="inlineStr">
        <is>
          <t>—</t>
        </is>
      </c>
      <c r="I241" s="356">
        <f>IF(I76&gt;=0,"PASS","FAIL — NEGATIVE DEAL COUNT")</f>
        <v/>
      </c>
      <c r="J241" s="368" t="inlineStr">
        <is>
          <t>—</t>
        </is>
      </c>
      <c r="K241" s="368" t="inlineStr">
        <is>
          <t>—</t>
        </is>
      </c>
      <c r="L241" s="368" t="inlineStr">
        <is>
          <t>—</t>
        </is>
      </c>
      <c r="M241" s="368" t="inlineStr">
        <is>
          <t>—</t>
        </is>
      </c>
      <c r="N241" s="356">
        <f>IF(N76&gt;=0,"PASS","FAIL — NEGATIVE DEAL COUNT")</f>
        <v/>
      </c>
      <c r="O241" s="368" t="inlineStr">
        <is>
          <t>—</t>
        </is>
      </c>
      <c r="P241" s="368" t="inlineStr">
        <is>
          <t>—</t>
        </is>
      </c>
      <c r="Q241" s="368" t="inlineStr">
        <is>
          <t>—</t>
        </is>
      </c>
      <c r="R241" s="368" t="inlineStr">
        <is>
          <t>—</t>
        </is>
      </c>
      <c r="S241" s="356">
        <f>IF(S76&gt;=0,"PASS","FAIL — NEGATIVE DEAL COUNT")</f>
        <v/>
      </c>
      <c r="T241" s="368" t="inlineStr">
        <is>
          <t>—</t>
        </is>
      </c>
      <c r="U241" s="368" t="inlineStr">
        <is>
          <t>—</t>
        </is>
      </c>
      <c r="V241" s="368" t="inlineStr">
        <is>
          <t>—</t>
        </is>
      </c>
      <c r="W241" s="368" t="inlineStr">
        <is>
          <t>—</t>
        </is>
      </c>
      <c r="X241" s="356">
        <f>IF(X76&gt;=0,"PASS","FAIL — NEGATIVE DEAL COUNT")</f>
        <v/>
      </c>
      <c r="Y241" s="368" t="inlineStr">
        <is>
          <t>—</t>
        </is>
      </c>
      <c r="Z241" s="368" t="inlineStr">
        <is>
          <t>—</t>
        </is>
      </c>
      <c r="AA241" s="368" t="inlineStr">
        <is>
          <t>—</t>
        </is>
      </c>
      <c r="AB241" s="368" t="inlineStr">
        <is>
          <t>—</t>
        </is>
      </c>
      <c r="AC241" s="356">
        <f>IF(AC76&gt;=0,"PASS","FAIL — NEGATIVE DEAL COUNT")</f>
        <v/>
      </c>
      <c r="AD241" s="368" t="inlineStr">
        <is>
          <t>—</t>
        </is>
      </c>
      <c r="AE241" s="368" t="inlineStr">
        <is>
          <t>—</t>
        </is>
      </c>
      <c r="AF241" s="368" t="inlineStr">
        <is>
          <t>—</t>
        </is>
      </c>
      <c r="AG241" s="368" t="inlineStr">
        <is>
          <t>—</t>
        </is>
      </c>
      <c r="AH241" s="356">
        <f>IF(AH76&gt;=0,"PASS","FAIL — NEGATIVE DEAL COUNT")</f>
        <v/>
      </c>
      <c r="AI241" s="368" t="inlineStr">
        <is>
          <t>—</t>
        </is>
      </c>
      <c r="AJ241" s="368" t="inlineStr">
        <is>
          <t>—</t>
        </is>
      </c>
      <c r="AK241" s="368" t="inlineStr">
        <is>
          <t>—</t>
        </is>
      </c>
      <c r="AL241" s="368" t="inlineStr">
        <is>
          <t>—</t>
        </is>
      </c>
      <c r="AM241" s="356">
        <f>IF(AM76&gt;=0,"PASS","FAIL — NEGATIVE DEAL COUNT")</f>
        <v/>
      </c>
      <c r="AN241" s="368" t="inlineStr">
        <is>
          <t>—</t>
        </is>
      </c>
      <c r="AO241" s="368" t="inlineStr">
        <is>
          <t>—</t>
        </is>
      </c>
      <c r="AP241" s="368" t="inlineStr">
        <is>
          <t>—</t>
        </is>
      </c>
      <c r="AQ241" s="368" t="inlineStr">
        <is>
          <t>—</t>
        </is>
      </c>
      <c r="AR241" s="356">
        <f>IF(AR76&gt;=0,"PASS","FAIL — NEGATIVE DEAL COUNT")</f>
        <v/>
      </c>
    </row>
    <row r="242" ht="13.5" customHeight="1" s="290">
      <c r="A242" s="359" t="n"/>
      <c r="B242" s="353" t="inlineStr">
        <is>
          <t xml:space="preserve">  ✔  IS Blended Bps &gt; 0</t>
        </is>
      </c>
      <c r="D242" s="354" t="inlineStr">
        <is>
          <t>Row 92</t>
        </is>
      </c>
      <c r="E242" s="368" t="inlineStr">
        <is>
          <t>—</t>
        </is>
      </c>
      <c r="F242" s="368" t="inlineStr">
        <is>
          <t>—</t>
        </is>
      </c>
      <c r="G242" s="368" t="inlineStr">
        <is>
          <t>—</t>
        </is>
      </c>
      <c r="H242" s="368" t="inlineStr">
        <is>
          <t>—</t>
        </is>
      </c>
      <c r="I242" s="356">
        <f>IF(I92&gt;0,"PASS","FAIL — ZERO/NEG BPS")</f>
        <v/>
      </c>
      <c r="J242" s="368" t="inlineStr">
        <is>
          <t>—</t>
        </is>
      </c>
      <c r="K242" s="368" t="inlineStr">
        <is>
          <t>—</t>
        </is>
      </c>
      <c r="L242" s="368" t="inlineStr">
        <is>
          <t>—</t>
        </is>
      </c>
      <c r="M242" s="368" t="inlineStr">
        <is>
          <t>—</t>
        </is>
      </c>
      <c r="N242" s="356">
        <f>IF(N92&gt;0,"PASS","FAIL — ZERO/NEG BPS")</f>
        <v/>
      </c>
      <c r="O242" s="368" t="inlineStr">
        <is>
          <t>—</t>
        </is>
      </c>
      <c r="P242" s="368" t="inlineStr">
        <is>
          <t>—</t>
        </is>
      </c>
      <c r="Q242" s="368" t="inlineStr">
        <is>
          <t>—</t>
        </is>
      </c>
      <c r="R242" s="368" t="inlineStr">
        <is>
          <t>—</t>
        </is>
      </c>
      <c r="S242" s="356">
        <f>IF(S92&gt;0,"PASS","FAIL — ZERO/NEG BPS")</f>
        <v/>
      </c>
      <c r="T242" s="368" t="inlineStr">
        <is>
          <t>—</t>
        </is>
      </c>
      <c r="U242" s="368" t="inlineStr">
        <is>
          <t>—</t>
        </is>
      </c>
      <c r="V242" s="368" t="inlineStr">
        <is>
          <t>—</t>
        </is>
      </c>
      <c r="W242" s="368" t="inlineStr">
        <is>
          <t>—</t>
        </is>
      </c>
      <c r="X242" s="356">
        <f>IF(X92&gt;0,"PASS","FAIL — ZERO/NEG BPS")</f>
        <v/>
      </c>
      <c r="Y242" s="368" t="inlineStr">
        <is>
          <t>—</t>
        </is>
      </c>
      <c r="Z242" s="368" t="inlineStr">
        <is>
          <t>—</t>
        </is>
      </c>
      <c r="AA242" s="368" t="inlineStr">
        <is>
          <t>—</t>
        </is>
      </c>
      <c r="AB242" s="368" t="inlineStr">
        <is>
          <t>—</t>
        </is>
      </c>
      <c r="AC242" s="356">
        <f>IF(AC92&gt;0,"PASS","FAIL — ZERO/NEG BPS")</f>
        <v/>
      </c>
      <c r="AD242" s="368" t="inlineStr">
        <is>
          <t>—</t>
        </is>
      </c>
      <c r="AE242" s="368" t="inlineStr">
        <is>
          <t>—</t>
        </is>
      </c>
      <c r="AF242" s="368" t="inlineStr">
        <is>
          <t>—</t>
        </is>
      </c>
      <c r="AG242" s="368" t="inlineStr">
        <is>
          <t>—</t>
        </is>
      </c>
      <c r="AH242" s="356">
        <f>IF(AH92&gt;0,"PASS","FAIL — ZERO/NEG BPS")</f>
        <v/>
      </c>
      <c r="AI242" s="368" t="inlineStr">
        <is>
          <t>—</t>
        </is>
      </c>
      <c r="AJ242" s="368" t="inlineStr">
        <is>
          <t>—</t>
        </is>
      </c>
      <c r="AK242" s="368" t="inlineStr">
        <is>
          <t>—</t>
        </is>
      </c>
      <c r="AL242" s="368" t="inlineStr">
        <is>
          <t>—</t>
        </is>
      </c>
      <c r="AM242" s="356">
        <f>IF(AM92&gt;0,"PASS","FAIL — ZERO/NEG BPS")</f>
        <v/>
      </c>
      <c r="AN242" s="368" t="inlineStr">
        <is>
          <t>—</t>
        </is>
      </c>
      <c r="AO242" s="368" t="inlineStr">
        <is>
          <t>—</t>
        </is>
      </c>
      <c r="AP242" s="368" t="inlineStr">
        <is>
          <t>—</t>
        </is>
      </c>
      <c r="AQ242" s="368" t="inlineStr">
        <is>
          <t>—</t>
        </is>
      </c>
      <c r="AR242" s="356">
        <f>IF(AR92&gt;0,"PASS","FAIL — ZERO/NEG BPS")</f>
        <v/>
      </c>
    </row>
    <row r="243" ht="13.5" customHeight="1" s="290">
      <c r="A243" s="359" t="n"/>
      <c r="B243" s="353" t="inlineStr">
        <is>
          <t xml:space="preserve">  ✔  Leasing Market Share &lt; 10%</t>
        </is>
      </c>
      <c r="D243" s="354" t="inlineStr">
        <is>
          <t>Row 48</t>
        </is>
      </c>
      <c r="E243" s="368" t="inlineStr">
        <is>
          <t>—</t>
        </is>
      </c>
      <c r="F243" s="368" t="inlineStr">
        <is>
          <t>—</t>
        </is>
      </c>
      <c r="G243" s="368" t="inlineStr">
        <is>
          <t>—</t>
        </is>
      </c>
      <c r="H243" s="368" t="inlineStr">
        <is>
          <t>—</t>
        </is>
      </c>
      <c r="I243" s="356">
        <f>IF(I48&lt;0.1,"PASS","FAIL — LEASING SHARE &gt; 10%")</f>
        <v/>
      </c>
      <c r="J243" s="368" t="inlineStr">
        <is>
          <t>—</t>
        </is>
      </c>
      <c r="K243" s="368" t="inlineStr">
        <is>
          <t>—</t>
        </is>
      </c>
      <c r="L243" s="368" t="inlineStr">
        <is>
          <t>—</t>
        </is>
      </c>
      <c r="M243" s="368" t="inlineStr">
        <is>
          <t>—</t>
        </is>
      </c>
      <c r="N243" s="356">
        <f>IF(N48&lt;0.1,"PASS","FAIL — LEASING SHARE &gt; 10%")</f>
        <v/>
      </c>
      <c r="O243" s="368" t="inlineStr">
        <is>
          <t>—</t>
        </is>
      </c>
      <c r="P243" s="368" t="inlineStr">
        <is>
          <t>—</t>
        </is>
      </c>
      <c r="Q243" s="368" t="inlineStr">
        <is>
          <t>—</t>
        </is>
      </c>
      <c r="R243" s="368" t="inlineStr">
        <is>
          <t>—</t>
        </is>
      </c>
      <c r="S243" s="356">
        <f>IF(S48&lt;0.1,"PASS","FAIL — LEASING SHARE &gt; 10%")</f>
        <v/>
      </c>
      <c r="T243" s="368" t="inlineStr">
        <is>
          <t>—</t>
        </is>
      </c>
      <c r="U243" s="368" t="inlineStr">
        <is>
          <t>—</t>
        </is>
      </c>
      <c r="V243" s="368" t="inlineStr">
        <is>
          <t>—</t>
        </is>
      </c>
      <c r="W243" s="368" t="inlineStr">
        <is>
          <t>—</t>
        </is>
      </c>
      <c r="X243" s="356">
        <f>IF(X48&lt;0.1,"PASS","FAIL — LEASING SHARE &gt; 10%")</f>
        <v/>
      </c>
      <c r="Y243" s="368" t="inlineStr">
        <is>
          <t>—</t>
        </is>
      </c>
      <c r="Z243" s="368" t="inlineStr">
        <is>
          <t>—</t>
        </is>
      </c>
      <c r="AA243" s="368" t="inlineStr">
        <is>
          <t>—</t>
        </is>
      </c>
      <c r="AB243" s="368" t="inlineStr">
        <is>
          <t>—</t>
        </is>
      </c>
      <c r="AC243" s="356">
        <f>IF(AC48&lt;0.1,"PASS","FAIL — LEASING SHARE &gt; 10%")</f>
        <v/>
      </c>
      <c r="AD243" s="368" t="inlineStr">
        <is>
          <t>—</t>
        </is>
      </c>
      <c r="AE243" s="368" t="inlineStr">
        <is>
          <t>—</t>
        </is>
      </c>
      <c r="AF243" s="368" t="inlineStr">
        <is>
          <t>—</t>
        </is>
      </c>
      <c r="AG243" s="368" t="inlineStr">
        <is>
          <t>—</t>
        </is>
      </c>
      <c r="AH243" s="356">
        <f>IF(AH48&lt;0.1,"PASS","FAIL — LEASING SHARE &gt; 10%")</f>
        <v/>
      </c>
      <c r="AI243" s="368" t="inlineStr">
        <is>
          <t>—</t>
        </is>
      </c>
      <c r="AJ243" s="368" t="inlineStr">
        <is>
          <t>—</t>
        </is>
      </c>
      <c r="AK243" s="368" t="inlineStr">
        <is>
          <t>—</t>
        </is>
      </c>
      <c r="AL243" s="368" t="inlineStr">
        <is>
          <t>—</t>
        </is>
      </c>
      <c r="AM243" s="356">
        <f>IF(AM48&lt;0.1,"PASS","FAIL — LEASING SHARE &gt; 10%")</f>
        <v/>
      </c>
      <c r="AN243" s="368" t="inlineStr">
        <is>
          <t>—</t>
        </is>
      </c>
      <c r="AO243" s="368" t="inlineStr">
        <is>
          <t>—</t>
        </is>
      </c>
      <c r="AP243" s="368" t="inlineStr">
        <is>
          <t>—</t>
        </is>
      </c>
      <c r="AQ243" s="368" t="inlineStr">
        <is>
          <t>—</t>
        </is>
      </c>
      <c r="AR243" s="356">
        <f>IF(AR48&lt;0.1,"PASS","FAIL — LEASING SHARE &gt; 10%")</f>
        <v/>
      </c>
    </row>
    <row r="244" ht="13.5" customHeight="1" s="290">
      <c r="A244" s="359" t="n"/>
      <c r="B244" s="353" t="inlineStr">
        <is>
          <t xml:space="preserve">  ✔  IS Market Share &lt; 8%</t>
        </is>
      </c>
      <c r="D244" s="354" t="inlineStr">
        <is>
          <t>Row 95</t>
        </is>
      </c>
      <c r="E244" s="368" t="inlineStr">
        <is>
          <t>—</t>
        </is>
      </c>
      <c r="F244" s="368" t="inlineStr">
        <is>
          <t>—</t>
        </is>
      </c>
      <c r="G244" s="368" t="inlineStr">
        <is>
          <t>—</t>
        </is>
      </c>
      <c r="H244" s="368" t="inlineStr">
        <is>
          <t>—</t>
        </is>
      </c>
      <c r="I244" s="356">
        <f>IF(I95&lt;0.08,"PASS","FAIL — IS SHARE &gt; 8%")</f>
        <v/>
      </c>
      <c r="J244" s="368" t="inlineStr">
        <is>
          <t>—</t>
        </is>
      </c>
      <c r="K244" s="368" t="inlineStr">
        <is>
          <t>—</t>
        </is>
      </c>
      <c r="L244" s="368" t="inlineStr">
        <is>
          <t>—</t>
        </is>
      </c>
      <c r="M244" s="368" t="inlineStr">
        <is>
          <t>—</t>
        </is>
      </c>
      <c r="N244" s="356">
        <f>IF(N95&lt;0.08,"PASS","FAIL — IS SHARE &gt; 8%")</f>
        <v/>
      </c>
      <c r="O244" s="368" t="inlineStr">
        <is>
          <t>—</t>
        </is>
      </c>
      <c r="P244" s="368" t="inlineStr">
        <is>
          <t>—</t>
        </is>
      </c>
      <c r="Q244" s="368" t="inlineStr">
        <is>
          <t>—</t>
        </is>
      </c>
      <c r="R244" s="368" t="inlineStr">
        <is>
          <t>—</t>
        </is>
      </c>
      <c r="S244" s="356">
        <f>IF(S95&lt;0.08,"PASS","FAIL — IS SHARE &gt; 8%")</f>
        <v/>
      </c>
      <c r="T244" s="368" t="inlineStr">
        <is>
          <t>—</t>
        </is>
      </c>
      <c r="U244" s="368" t="inlineStr">
        <is>
          <t>—</t>
        </is>
      </c>
      <c r="V244" s="368" t="inlineStr">
        <is>
          <t>—</t>
        </is>
      </c>
      <c r="W244" s="368" t="inlineStr">
        <is>
          <t>—</t>
        </is>
      </c>
      <c r="X244" s="356">
        <f>IF(X95&lt;0.08,"PASS","FAIL — IS SHARE &gt; 8%")</f>
        <v/>
      </c>
      <c r="Y244" s="368" t="inlineStr">
        <is>
          <t>—</t>
        </is>
      </c>
      <c r="Z244" s="368" t="inlineStr">
        <is>
          <t>—</t>
        </is>
      </c>
      <c r="AA244" s="368" t="inlineStr">
        <is>
          <t>—</t>
        </is>
      </c>
      <c r="AB244" s="368" t="inlineStr">
        <is>
          <t>—</t>
        </is>
      </c>
      <c r="AC244" s="356">
        <f>IF(AC95&lt;0.08,"PASS","FAIL — IS SHARE &gt; 8%")</f>
        <v/>
      </c>
      <c r="AD244" s="368" t="inlineStr">
        <is>
          <t>—</t>
        </is>
      </c>
      <c r="AE244" s="368" t="inlineStr">
        <is>
          <t>—</t>
        </is>
      </c>
      <c r="AF244" s="368" t="inlineStr">
        <is>
          <t>—</t>
        </is>
      </c>
      <c r="AG244" s="368" t="inlineStr">
        <is>
          <t>—</t>
        </is>
      </c>
      <c r="AH244" s="356">
        <f>IF(AH95&lt;0.08,"PASS","FAIL — IS SHARE &gt; 8%")</f>
        <v/>
      </c>
      <c r="AI244" s="368" t="inlineStr">
        <is>
          <t>—</t>
        </is>
      </c>
      <c r="AJ244" s="368" t="inlineStr">
        <is>
          <t>—</t>
        </is>
      </c>
      <c r="AK244" s="368" t="inlineStr">
        <is>
          <t>—</t>
        </is>
      </c>
      <c r="AL244" s="368" t="inlineStr">
        <is>
          <t>—</t>
        </is>
      </c>
      <c r="AM244" s="356">
        <f>IF(AM95&lt;0.08,"PASS","FAIL — IS SHARE &gt; 8%")</f>
        <v/>
      </c>
      <c r="AN244" s="368" t="inlineStr">
        <is>
          <t>—</t>
        </is>
      </c>
      <c r="AO244" s="368" t="inlineStr">
        <is>
          <t>—</t>
        </is>
      </c>
      <c r="AP244" s="368" t="inlineStr">
        <is>
          <t>—</t>
        </is>
      </c>
      <c r="AQ244" s="368" t="inlineStr">
        <is>
          <t>—</t>
        </is>
      </c>
      <c r="AR244" s="356">
        <f>IF(AR95&lt;0.08,"PASS","FAIL — IS SHARE &gt; 8%")</f>
        <v/>
      </c>
    </row>
    <row r="245" ht="13.5" customHeight="1" s="290">
      <c r="A245" s="359" t="n"/>
      <c r="B245" s="353" t="inlineStr">
        <is>
          <t xml:space="preserve">  ✔  D&amp;E Market Share &lt; 15%</t>
        </is>
      </c>
      <c r="D245" s="354" t="inlineStr">
        <is>
          <t>Row 145</t>
        </is>
      </c>
      <c r="E245" s="368" t="inlineStr">
        <is>
          <t>—</t>
        </is>
      </c>
      <c r="F245" s="368" t="inlineStr">
        <is>
          <t>—</t>
        </is>
      </c>
      <c r="G245" s="368" t="inlineStr">
        <is>
          <t>—</t>
        </is>
      </c>
      <c r="H245" s="368" t="inlineStr">
        <is>
          <t>—</t>
        </is>
      </c>
      <c r="I245" s="356">
        <f>IF(I145&lt;0.15,"PASS","FAIL — D&amp;E SHARE &gt; 15%")</f>
        <v/>
      </c>
      <c r="J245" s="368" t="inlineStr">
        <is>
          <t>—</t>
        </is>
      </c>
      <c r="K245" s="368" t="inlineStr">
        <is>
          <t>—</t>
        </is>
      </c>
      <c r="L245" s="368" t="inlineStr">
        <is>
          <t>—</t>
        </is>
      </c>
      <c r="M245" s="368" t="inlineStr">
        <is>
          <t>—</t>
        </is>
      </c>
      <c r="N245" s="356">
        <f>IF(N145&lt;0.15,"PASS","FAIL — D&amp;E SHARE &gt; 15%")</f>
        <v/>
      </c>
      <c r="O245" s="368" t="inlineStr">
        <is>
          <t>—</t>
        </is>
      </c>
      <c r="P245" s="368" t="inlineStr">
        <is>
          <t>—</t>
        </is>
      </c>
      <c r="Q245" s="368" t="inlineStr">
        <is>
          <t>—</t>
        </is>
      </c>
      <c r="R245" s="368" t="inlineStr">
        <is>
          <t>—</t>
        </is>
      </c>
      <c r="S245" s="356">
        <f>IF(S145&lt;0.15,"PASS","FAIL — D&amp;E SHARE &gt; 15%")</f>
        <v/>
      </c>
      <c r="T245" s="368" t="inlineStr">
        <is>
          <t>—</t>
        </is>
      </c>
      <c r="U245" s="368" t="inlineStr">
        <is>
          <t>—</t>
        </is>
      </c>
      <c r="V245" s="368" t="inlineStr">
        <is>
          <t>—</t>
        </is>
      </c>
      <c r="W245" s="368" t="inlineStr">
        <is>
          <t>—</t>
        </is>
      </c>
      <c r="X245" s="356">
        <f>IF(X145&lt;0.15,"PASS","FAIL — D&amp;E SHARE &gt; 15%")</f>
        <v/>
      </c>
      <c r="Y245" s="368" t="inlineStr">
        <is>
          <t>—</t>
        </is>
      </c>
      <c r="Z245" s="368" t="inlineStr">
        <is>
          <t>—</t>
        </is>
      </c>
      <c r="AA245" s="368" t="inlineStr">
        <is>
          <t>—</t>
        </is>
      </c>
      <c r="AB245" s="368" t="inlineStr">
        <is>
          <t>—</t>
        </is>
      </c>
      <c r="AC245" s="356">
        <f>IF(AC145&lt;0.15,"PASS","FAIL — D&amp;E SHARE &gt; 15%")</f>
        <v/>
      </c>
      <c r="AD245" s="368" t="inlineStr">
        <is>
          <t>—</t>
        </is>
      </c>
      <c r="AE245" s="368" t="inlineStr">
        <is>
          <t>—</t>
        </is>
      </c>
      <c r="AF245" s="368" t="inlineStr">
        <is>
          <t>—</t>
        </is>
      </c>
      <c r="AG245" s="368" t="inlineStr">
        <is>
          <t>—</t>
        </is>
      </c>
      <c r="AH245" s="356">
        <f>IF(AH145&lt;0.15,"PASS","FAIL — D&amp;E SHARE &gt; 15%")</f>
        <v/>
      </c>
      <c r="AI245" s="368" t="inlineStr">
        <is>
          <t>—</t>
        </is>
      </c>
      <c r="AJ245" s="368" t="inlineStr">
        <is>
          <t>—</t>
        </is>
      </c>
      <c r="AK245" s="368" t="inlineStr">
        <is>
          <t>—</t>
        </is>
      </c>
      <c r="AL245" s="368" t="inlineStr">
        <is>
          <t>—</t>
        </is>
      </c>
      <c r="AM245" s="356">
        <f>IF(AM145&lt;0.15,"PASS","FAIL — D&amp;E SHARE &gt; 15%")</f>
        <v/>
      </c>
      <c r="AN245" s="368" t="inlineStr">
        <is>
          <t>—</t>
        </is>
      </c>
      <c r="AO245" s="368" t="inlineStr">
        <is>
          <t>—</t>
        </is>
      </c>
      <c r="AP245" s="368" t="inlineStr">
        <is>
          <t>—</t>
        </is>
      </c>
      <c r="AQ245" s="368" t="inlineStr">
        <is>
          <t>—</t>
        </is>
      </c>
      <c r="AR245" s="356">
        <f>IF(AR145&lt;0.15,"PASS","FAIL — D&amp;E SHARE &gt; 15%")</f>
        <v/>
      </c>
    </row>
    <row r="246" ht="13.5" customHeight="1" s="290">
      <c r="A246" s="359" t="n"/>
      <c r="B246" s="353" t="inlineStr">
        <is>
          <t xml:space="preserve">  ✔  Revenue Mix Sums to 100%</t>
        </is>
      </c>
      <c r="D246" s="354" t="inlineStr">
        <is>
          <t>Row 203</t>
        </is>
      </c>
      <c r="E246" s="368" t="inlineStr">
        <is>
          <t>—</t>
        </is>
      </c>
      <c r="F246" s="368" t="inlineStr">
        <is>
          <t>—</t>
        </is>
      </c>
      <c r="G246" s="368" t="inlineStr">
        <is>
          <t>—</t>
        </is>
      </c>
      <c r="H246" s="368" t="inlineStr">
        <is>
          <t>—</t>
        </is>
      </c>
      <c r="I246" s="356">
        <f>IF(I203="PASS","PASS","FAIL — MIX ≠ 100%")</f>
        <v/>
      </c>
      <c r="J246" s="368" t="inlineStr">
        <is>
          <t>—</t>
        </is>
      </c>
      <c r="K246" s="368" t="inlineStr">
        <is>
          <t>—</t>
        </is>
      </c>
      <c r="L246" s="368" t="inlineStr">
        <is>
          <t>—</t>
        </is>
      </c>
      <c r="M246" s="368" t="inlineStr">
        <is>
          <t>—</t>
        </is>
      </c>
      <c r="N246" s="356">
        <f>IF(N203="PASS","PASS","FAIL — MIX ≠ 100%")</f>
        <v/>
      </c>
      <c r="O246" s="368" t="inlineStr">
        <is>
          <t>—</t>
        </is>
      </c>
      <c r="P246" s="368" t="inlineStr">
        <is>
          <t>—</t>
        </is>
      </c>
      <c r="Q246" s="368" t="inlineStr">
        <is>
          <t>—</t>
        </is>
      </c>
      <c r="R246" s="368" t="inlineStr">
        <is>
          <t>—</t>
        </is>
      </c>
      <c r="S246" s="356">
        <f>IF(S203="PASS","PASS","FAIL — MIX ≠ 100%")</f>
        <v/>
      </c>
      <c r="T246" s="368" t="inlineStr">
        <is>
          <t>—</t>
        </is>
      </c>
      <c r="U246" s="368" t="inlineStr">
        <is>
          <t>—</t>
        </is>
      </c>
      <c r="V246" s="368" t="inlineStr">
        <is>
          <t>—</t>
        </is>
      </c>
      <c r="W246" s="368" t="inlineStr">
        <is>
          <t>—</t>
        </is>
      </c>
      <c r="X246" s="356">
        <f>IF(X203="PASS","PASS","FAIL — MIX ≠ 100%")</f>
        <v/>
      </c>
      <c r="Y246" s="368" t="inlineStr">
        <is>
          <t>—</t>
        </is>
      </c>
      <c r="Z246" s="368" t="inlineStr">
        <is>
          <t>—</t>
        </is>
      </c>
      <c r="AA246" s="368" t="inlineStr">
        <is>
          <t>—</t>
        </is>
      </c>
      <c r="AB246" s="368" t="inlineStr">
        <is>
          <t>—</t>
        </is>
      </c>
      <c r="AC246" s="356">
        <f>IF(AC203="PASS","PASS","FAIL — MIX ≠ 100%")</f>
        <v/>
      </c>
      <c r="AD246" s="368" t="inlineStr">
        <is>
          <t>—</t>
        </is>
      </c>
      <c r="AE246" s="368" t="inlineStr">
        <is>
          <t>—</t>
        </is>
      </c>
      <c r="AF246" s="368" t="inlineStr">
        <is>
          <t>—</t>
        </is>
      </c>
      <c r="AG246" s="368" t="inlineStr">
        <is>
          <t>—</t>
        </is>
      </c>
      <c r="AH246" s="356">
        <f>IF(AH203="PASS","PASS","FAIL — MIX ≠ 100%")</f>
        <v/>
      </c>
      <c r="AI246" s="368" t="inlineStr">
        <is>
          <t>—</t>
        </is>
      </c>
      <c r="AJ246" s="368" t="inlineStr">
        <is>
          <t>—</t>
        </is>
      </c>
      <c r="AK246" s="368" t="inlineStr">
        <is>
          <t>—</t>
        </is>
      </c>
      <c r="AL246" s="368" t="inlineStr">
        <is>
          <t>—</t>
        </is>
      </c>
      <c r="AM246" s="356">
        <f>IF(AM203="PASS","PASS","FAIL — MIX ≠ 100%")</f>
        <v/>
      </c>
      <c r="AN246" s="368" t="inlineStr">
        <is>
          <t>—</t>
        </is>
      </c>
      <c r="AO246" s="368" t="inlineStr">
        <is>
          <t>—</t>
        </is>
      </c>
      <c r="AP246" s="368" t="inlineStr">
        <is>
          <t>—</t>
        </is>
      </c>
      <c r="AQ246" s="368" t="inlineStr">
        <is>
          <t>—</t>
        </is>
      </c>
      <c r="AR246" s="356">
        <f>IF(AR203="PASS","PASS","FAIL — MIX ≠ 100%")</f>
        <v/>
      </c>
    </row>
    <row r="247" ht="13.5" customHeight="1" s="290">
      <c r="A247" s="359" t="n"/>
      <c r="B247" s="353" t="inlineStr">
        <is>
          <t xml:space="preserve">  ✔  Revenue Bridge Balances</t>
        </is>
      </c>
      <c r="D247" s="354" t="inlineStr">
        <is>
          <t>Row 215</t>
        </is>
      </c>
      <c r="E247" s="368" t="inlineStr">
        <is>
          <t>—</t>
        </is>
      </c>
      <c r="F247" s="368" t="inlineStr">
        <is>
          <t>—</t>
        </is>
      </c>
      <c r="G247" s="368" t="inlineStr">
        <is>
          <t>—</t>
        </is>
      </c>
      <c r="H247" s="368" t="inlineStr">
        <is>
          <t>—</t>
        </is>
      </c>
      <c r="I247" s="356">
        <f>IF(I215="PASS","PASS","FAIL — BRIDGE IMBALANCE")</f>
        <v/>
      </c>
      <c r="J247" s="368" t="inlineStr">
        <is>
          <t>—</t>
        </is>
      </c>
      <c r="K247" s="368" t="inlineStr">
        <is>
          <t>—</t>
        </is>
      </c>
      <c r="L247" s="368" t="inlineStr">
        <is>
          <t>—</t>
        </is>
      </c>
      <c r="M247" s="368" t="inlineStr">
        <is>
          <t>—</t>
        </is>
      </c>
      <c r="N247" s="356">
        <f>IF(N215="PASS","PASS","FAIL — BRIDGE IMBALANCE")</f>
        <v/>
      </c>
      <c r="O247" s="368" t="inlineStr">
        <is>
          <t>—</t>
        </is>
      </c>
      <c r="P247" s="368" t="inlineStr">
        <is>
          <t>—</t>
        </is>
      </c>
      <c r="Q247" s="368" t="inlineStr">
        <is>
          <t>—</t>
        </is>
      </c>
      <c r="R247" s="368" t="inlineStr">
        <is>
          <t>—</t>
        </is>
      </c>
      <c r="S247" s="356">
        <f>IF(S215="PASS","PASS","FAIL — BRIDGE IMBALANCE")</f>
        <v/>
      </c>
      <c r="T247" s="368" t="inlineStr">
        <is>
          <t>—</t>
        </is>
      </c>
      <c r="U247" s="368" t="inlineStr">
        <is>
          <t>—</t>
        </is>
      </c>
      <c r="V247" s="368" t="inlineStr">
        <is>
          <t>—</t>
        </is>
      </c>
      <c r="W247" s="368" t="inlineStr">
        <is>
          <t>—</t>
        </is>
      </c>
      <c r="X247" s="356">
        <f>IF(X215="PASS","PASS","FAIL — BRIDGE IMBALANCE")</f>
        <v/>
      </c>
      <c r="Y247" s="368" t="inlineStr">
        <is>
          <t>—</t>
        </is>
      </c>
      <c r="Z247" s="368" t="inlineStr">
        <is>
          <t>—</t>
        </is>
      </c>
      <c r="AA247" s="368" t="inlineStr">
        <is>
          <t>—</t>
        </is>
      </c>
      <c r="AB247" s="368" t="inlineStr">
        <is>
          <t>—</t>
        </is>
      </c>
      <c r="AC247" s="356">
        <f>IF(AC215="PASS","PASS","FAIL — BRIDGE IMBALANCE")</f>
        <v/>
      </c>
      <c r="AD247" s="368" t="inlineStr">
        <is>
          <t>—</t>
        </is>
      </c>
      <c r="AE247" s="368" t="inlineStr">
        <is>
          <t>—</t>
        </is>
      </c>
      <c r="AF247" s="368" t="inlineStr">
        <is>
          <t>—</t>
        </is>
      </c>
      <c r="AG247" s="368" t="inlineStr">
        <is>
          <t>—</t>
        </is>
      </c>
      <c r="AH247" s="356">
        <f>IF(AH215="PASS","PASS","FAIL — BRIDGE IMBALANCE")</f>
        <v/>
      </c>
      <c r="AI247" s="368" t="inlineStr">
        <is>
          <t>—</t>
        </is>
      </c>
      <c r="AJ247" s="368" t="inlineStr">
        <is>
          <t>—</t>
        </is>
      </c>
      <c r="AK247" s="368" t="inlineStr">
        <is>
          <t>—</t>
        </is>
      </c>
      <c r="AL247" s="368" t="inlineStr">
        <is>
          <t>—</t>
        </is>
      </c>
      <c r="AM247" s="356">
        <f>IF(AM215="PASS","PASS","FAIL — BRIDGE IMBALANCE")</f>
        <v/>
      </c>
      <c r="AN247" s="368" t="inlineStr">
        <is>
          <t>—</t>
        </is>
      </c>
      <c r="AO247" s="368" t="inlineStr">
        <is>
          <t>—</t>
        </is>
      </c>
      <c r="AP247" s="368" t="inlineStr">
        <is>
          <t>—</t>
        </is>
      </c>
      <c r="AQ247" s="368" t="inlineStr">
        <is>
          <t>—</t>
        </is>
      </c>
      <c r="AR247" s="356">
        <f>IF(AR215="PASS","PASS","FAIL — BRIDGE IMBALANCE")</f>
        <v/>
      </c>
    </row>
    <row r="248" ht="4.5" customHeight="1" s="290"/>
    <row r="249" ht="18" customHeight="1" s="290">
      <c r="A249" s="360" t="inlineStr">
        <is>
          <t xml:space="preserve">  All 13 checks above feed Tab 11 — Checks. Checks return PASS/FAIL on annual columns (simpler to audit). With empty inputs all GCI = 0; most checks PASS. Share checks PASS (0 &lt; threshold). Mix check and Bridge check may show FAIL until inputs are entered.</t>
        </is>
      </c>
    </row>
    <row r="250" ht="4.5" customHeight="1" s="290"/>
    <row r="251" ht="3" customHeight="1" s="290">
      <c r="A251" s="293" t="n"/>
    </row>
  </sheetData>
  <mergeCells count="43">
    <mergeCell ref="A147:AR147"/>
    <mergeCell ref="A165:AR165"/>
    <mergeCell ref="A231:AR231"/>
    <mergeCell ref="A81:AR81"/>
    <mergeCell ref="A43:AR43"/>
    <mergeCell ref="A52:AR52"/>
    <mergeCell ref="A115:AR115"/>
    <mergeCell ref="A117:AR117"/>
    <mergeCell ref="A249:AR249"/>
    <mergeCell ref="A229:AR229"/>
    <mergeCell ref="A34:AR34"/>
    <mergeCell ref="A207:AR207"/>
    <mergeCell ref="A1:AR1"/>
    <mergeCell ref="A197:AR197"/>
    <mergeCell ref="A153:AR153"/>
    <mergeCell ref="A187:AR187"/>
    <mergeCell ref="A69:AR69"/>
    <mergeCell ref="A205:AR205"/>
    <mergeCell ref="A7:AR7"/>
    <mergeCell ref="A227:AR227"/>
    <mergeCell ref="A54:AR54"/>
    <mergeCell ref="A99:AR99"/>
    <mergeCell ref="A183:AR183"/>
    <mergeCell ref="A177:AR177"/>
    <mergeCell ref="A90:AR90"/>
    <mergeCell ref="A217:AR217"/>
    <mergeCell ref="A189:AR189"/>
    <mergeCell ref="A149:AR149"/>
    <mergeCell ref="A50:AR50"/>
    <mergeCell ref="A101:AR101"/>
    <mergeCell ref="A2:AR2"/>
    <mergeCell ref="A71:AR71"/>
    <mergeCell ref="A129:AR129"/>
    <mergeCell ref="A251:AR251"/>
    <mergeCell ref="A32:AR32"/>
    <mergeCell ref="A151:AR151"/>
    <mergeCell ref="A185:AR185"/>
    <mergeCell ref="A5:AR5"/>
    <mergeCell ref="A23:AR23"/>
    <mergeCell ref="A219:AR219"/>
    <mergeCell ref="A97:AR97"/>
    <mergeCell ref="A131:AR131"/>
    <mergeCell ref="A140:AR140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FF8C00"/>
    <outlinePr summaryBelow="1" summaryRight="1"/>
    <pageSetUpPr fitToPage="1"/>
  </sheetPr>
  <dimension ref="A1:AR25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2" customWidth="1" style="289" min="1" max="1"/>
    <col width="40" customWidth="1" style="289" min="2" max="2"/>
    <col width="10" customWidth="1" style="289" min="3" max="3"/>
    <col width="20" customWidth="1" style="289" min="4" max="4"/>
    <col width="8.800000000000001" customWidth="1" style="289" min="5" max="8"/>
    <col width="10.51" customWidth="1" style="289" min="9" max="9"/>
    <col width="8.800000000000001" customWidth="1" style="289" min="10" max="13"/>
    <col width="10.51" customWidth="1" style="289" min="14" max="14"/>
    <col width="8.800000000000001" customWidth="1" style="289" min="15" max="18"/>
    <col width="10.51" customWidth="1" style="289" min="19" max="19"/>
    <col width="8.800000000000001" customWidth="1" style="289" min="20" max="23"/>
    <col width="10.51" customWidth="1" style="289" min="24" max="24"/>
    <col width="8.800000000000001" customWidth="1" style="289" min="25" max="28"/>
    <col width="10.51" customWidth="1" style="289" min="29" max="29"/>
    <col width="8.800000000000001" customWidth="1" style="289" min="30" max="33"/>
    <col width="10.51" customWidth="1" style="289" min="34" max="34"/>
    <col width="8.800000000000001" customWidth="1" style="289" min="35" max="38"/>
    <col width="10.51" customWidth="1" style="289" min="39" max="39"/>
    <col width="8.800000000000001" customWidth="1" style="289" min="40" max="43"/>
    <col width="10.51" customWidth="1" style="289" min="44" max="44"/>
  </cols>
  <sheetData>
    <row r="1" ht="25.5" customHeight="1" s="290">
      <c r="A1" s="330" t="inlineStr">
        <is>
          <t xml:space="preserve">  06  |  COMPENSATION ENGINE  —  Splits → Payouts → Company Dollar</t>
        </is>
      </c>
    </row>
    <row r="2" ht="15" customHeight="1" s="290">
      <c r="A2" s="331" t="inlineStr">
        <is>
          <t xml:space="preserve">  Green = link from Tab 03/04/05  |  Black = calculation  |  Sections: A=Producer Payouts  B=Advisory Comp  C=Corporate  E=Summary  D=Bonus Pool  F=Checks</t>
        </is>
      </c>
    </row>
    <row r="3" ht="30" customHeight="1" s="290">
      <c r="A3" s="332" t="n"/>
      <c r="B3" s="333" t="inlineStr">
        <is>
          <t>Row Description</t>
        </is>
      </c>
      <c r="C3" s="333" t="inlineStr">
        <is>
          <t>Units</t>
        </is>
      </c>
      <c r="D3" s="333" t="inlineStr">
        <is>
          <t>Source / Note</t>
        </is>
      </c>
      <c r="E3" s="334" t="inlineStr">
        <is>
          <t>2023A
Q1</t>
        </is>
      </c>
      <c r="F3" s="334" t="inlineStr">
        <is>
          <t>2023A
Q2</t>
        </is>
      </c>
      <c r="G3" s="334" t="inlineStr">
        <is>
          <t>2023A
Q3</t>
        </is>
      </c>
      <c r="H3" s="334" t="inlineStr">
        <is>
          <t>2023A
Q4</t>
        </is>
      </c>
      <c r="I3" s="335" t="inlineStr">
        <is>
          <t>2023A
Annual</t>
        </is>
      </c>
      <c r="J3" s="334" t="inlineStr">
        <is>
          <t>2024A
Q1</t>
        </is>
      </c>
      <c r="K3" s="334" t="inlineStr">
        <is>
          <t>2024A
Q2</t>
        </is>
      </c>
      <c r="L3" s="334" t="inlineStr">
        <is>
          <t>2024A
Q3</t>
        </is>
      </c>
      <c r="M3" s="334" t="inlineStr">
        <is>
          <t>2024A
Q4</t>
        </is>
      </c>
      <c r="N3" s="335" t="inlineStr">
        <is>
          <t>2024A
Annual</t>
        </is>
      </c>
      <c r="O3" s="334" t="inlineStr">
        <is>
          <t>2025A
Q1</t>
        </is>
      </c>
      <c r="P3" s="334" t="inlineStr">
        <is>
          <t>2025A
Q2</t>
        </is>
      </c>
      <c r="Q3" s="334" t="inlineStr">
        <is>
          <t>2025A
Q3</t>
        </is>
      </c>
      <c r="R3" s="334" t="inlineStr">
        <is>
          <t>2025A
Q4</t>
        </is>
      </c>
      <c r="S3" s="335" t="inlineStr">
        <is>
          <t>2025A
Annual</t>
        </is>
      </c>
      <c r="T3" s="336" t="inlineStr">
        <is>
          <t>2026E
Q1</t>
        </is>
      </c>
      <c r="U3" s="336" t="inlineStr">
        <is>
          <t>2026E
Q2</t>
        </is>
      </c>
      <c r="V3" s="336" t="inlineStr">
        <is>
          <t>2026E
Q3</t>
        </is>
      </c>
      <c r="W3" s="336" t="inlineStr">
        <is>
          <t>2026E
Q4</t>
        </is>
      </c>
      <c r="X3" s="337" t="inlineStr">
        <is>
          <t>2026E
Annual</t>
        </is>
      </c>
      <c r="Y3" s="336" t="inlineStr">
        <is>
          <t>2027E
Q1</t>
        </is>
      </c>
      <c r="Z3" s="336" t="inlineStr">
        <is>
          <t>2027E
Q2</t>
        </is>
      </c>
      <c r="AA3" s="336" t="inlineStr">
        <is>
          <t>2027E
Q3</t>
        </is>
      </c>
      <c r="AB3" s="336" t="inlineStr">
        <is>
          <t>2027E
Q4</t>
        </is>
      </c>
      <c r="AC3" s="337" t="inlineStr">
        <is>
          <t>2027E
Annual</t>
        </is>
      </c>
      <c r="AD3" s="336" t="inlineStr">
        <is>
          <t>2028E
Q1</t>
        </is>
      </c>
      <c r="AE3" s="336" t="inlineStr">
        <is>
          <t>2028E
Q2</t>
        </is>
      </c>
      <c r="AF3" s="336" t="inlineStr">
        <is>
          <t>2028E
Q3</t>
        </is>
      </c>
      <c r="AG3" s="336" t="inlineStr">
        <is>
          <t>2028E
Q4</t>
        </is>
      </c>
      <c r="AH3" s="337" t="inlineStr">
        <is>
          <t>2028E
Annual</t>
        </is>
      </c>
      <c r="AI3" s="336" t="inlineStr">
        <is>
          <t>2029E
Q1</t>
        </is>
      </c>
      <c r="AJ3" s="336" t="inlineStr">
        <is>
          <t>2029E
Q2</t>
        </is>
      </c>
      <c r="AK3" s="336" t="inlineStr">
        <is>
          <t>2029E
Q3</t>
        </is>
      </c>
      <c r="AL3" s="336" t="inlineStr">
        <is>
          <t>2029E
Q4</t>
        </is>
      </c>
      <c r="AM3" s="337" t="inlineStr">
        <is>
          <t>2029E
Annual</t>
        </is>
      </c>
      <c r="AN3" s="336" t="inlineStr">
        <is>
          <t>2030E
Q1</t>
        </is>
      </c>
      <c r="AO3" s="336" t="inlineStr">
        <is>
          <t>2030E
Q2</t>
        </is>
      </c>
      <c r="AP3" s="336" t="inlineStr">
        <is>
          <t>2030E
Q3</t>
        </is>
      </c>
      <c r="AQ3" s="336" t="inlineStr">
        <is>
          <t>2030E
Q4</t>
        </is>
      </c>
      <c r="AR3" s="337" t="inlineStr">
        <is>
          <t>2030E
Annual</t>
        </is>
      </c>
    </row>
    <row r="4" ht="4.5" customHeight="1" s="290"/>
    <row r="5" ht="15.75" customHeight="1" s="290">
      <c r="A5" s="338" t="inlineStr">
        <is>
          <t xml:space="preserve">  SECTION A — PRODUCER PAYOUT BUILD  (Tiered Split Schedule Applied at Tier Level)</t>
        </is>
      </c>
    </row>
    <row r="6" ht="3.75" customHeight="1" s="290"/>
    <row r="7" ht="12.75" customHeight="1" s="290">
      <c r="A7" s="348" t="inlineStr">
        <is>
          <t xml:space="preserve">  Tier GCI attribution: Leasing = deal-share; IS = volume-share; D&amp;E = EPE-share. Applied split: IF(GCI/EPE ≤ T1 → S1, ELIF ≤ T2 → S2, ELSE S3). Payout = Tier GCI × Applied Split. Split thresholds are annual ($K/yr); GCI/EPE is quarterly, annualized as ×4 for comparison.</t>
        </is>
      </c>
    </row>
    <row r="8" ht="3.75" customHeight="1" s="290"/>
    <row r="9" ht="15" customHeight="1" s="290">
      <c r="A9" s="307" t="inlineStr">
        <is>
          <t xml:space="preserve">    LEASING — PRODUCER PAYOUT</t>
        </is>
      </c>
    </row>
    <row r="10" ht="3" customHeight="1" s="290"/>
    <row r="11" ht="13.5" customHeight="1" s="290">
      <c r="A11" s="369" t="inlineStr">
        <is>
          <t xml:space="preserve">    ── Rainmaker ──</t>
        </is>
      </c>
    </row>
    <row r="12" ht="13.5" customHeight="1" s="290">
      <c r="A12" s="395" t="n"/>
      <c r="B12" s="373" t="inlineStr">
        <is>
          <t xml:space="preserve">  Tier GCI — Rainmaker</t>
        </is>
      </c>
      <c r="C12" s="374" t="inlineStr">
        <is>
          <t>$K</t>
        </is>
      </c>
      <c r="D12" s="396" t="inlineStr">
        <is>
          <t xml:space="preserve"> (tier share) × Net Leasing GCI</t>
        </is>
      </c>
      <c r="E12" s="376">
        <f>IFERROR('05 Revenue Engine'!E25/'05 Revenue Engine'!E28*'05 Revenue Engine'!E41,0)</f>
        <v/>
      </c>
      <c r="F12" s="376">
        <f>IFERROR('05 Revenue Engine'!F25/'05 Revenue Engine'!F28*'05 Revenue Engine'!F41,0)</f>
        <v/>
      </c>
      <c r="G12" s="376">
        <f>IFERROR('05 Revenue Engine'!G25/'05 Revenue Engine'!G28*'05 Revenue Engine'!G41,0)</f>
        <v/>
      </c>
      <c r="H12" s="376">
        <f>IFERROR('05 Revenue Engine'!H25/'05 Revenue Engine'!H28*'05 Revenue Engine'!H41,0)</f>
        <v/>
      </c>
      <c r="I12" s="344">
        <f>SUM(E12:H12)</f>
        <v/>
      </c>
      <c r="J12" s="376">
        <f>IFERROR('05 Revenue Engine'!J25/'05 Revenue Engine'!J28*'05 Revenue Engine'!J41,0)</f>
        <v/>
      </c>
      <c r="K12" s="376">
        <f>IFERROR('05 Revenue Engine'!K25/'05 Revenue Engine'!K28*'05 Revenue Engine'!K41,0)</f>
        <v/>
      </c>
      <c r="L12" s="376">
        <f>IFERROR('05 Revenue Engine'!L25/'05 Revenue Engine'!L28*'05 Revenue Engine'!L41,0)</f>
        <v/>
      </c>
      <c r="M12" s="376">
        <f>IFERROR('05 Revenue Engine'!M25/'05 Revenue Engine'!M28*'05 Revenue Engine'!M41,0)</f>
        <v/>
      </c>
      <c r="N12" s="344">
        <f>SUM(J12:M12)</f>
        <v/>
      </c>
      <c r="O12" s="376">
        <f>IFERROR('05 Revenue Engine'!O25/'05 Revenue Engine'!O28*'05 Revenue Engine'!O41,0)</f>
        <v/>
      </c>
      <c r="P12" s="376">
        <f>IFERROR('05 Revenue Engine'!P25/'05 Revenue Engine'!P28*'05 Revenue Engine'!P41,0)</f>
        <v/>
      </c>
      <c r="Q12" s="376">
        <f>IFERROR('05 Revenue Engine'!Q25/'05 Revenue Engine'!Q28*'05 Revenue Engine'!Q41,0)</f>
        <v/>
      </c>
      <c r="R12" s="376">
        <f>IFERROR('05 Revenue Engine'!R25/'05 Revenue Engine'!R28*'05 Revenue Engine'!R41,0)</f>
        <v/>
      </c>
      <c r="S12" s="344">
        <f>SUM(O12:R12)</f>
        <v/>
      </c>
      <c r="T12" s="376">
        <f>IFERROR('05 Revenue Engine'!T25/'05 Revenue Engine'!T28*'05 Revenue Engine'!T41,0)</f>
        <v/>
      </c>
      <c r="U12" s="376">
        <f>IFERROR('05 Revenue Engine'!U25/'05 Revenue Engine'!U28*'05 Revenue Engine'!U41,0)</f>
        <v/>
      </c>
      <c r="V12" s="376">
        <f>IFERROR('05 Revenue Engine'!V25/'05 Revenue Engine'!V28*'05 Revenue Engine'!V41,0)</f>
        <v/>
      </c>
      <c r="W12" s="376">
        <f>IFERROR('05 Revenue Engine'!W25/'05 Revenue Engine'!W28*'05 Revenue Engine'!W41,0)</f>
        <v/>
      </c>
      <c r="X12" s="344">
        <f>SUM(T12:W12)</f>
        <v/>
      </c>
      <c r="Y12" s="376">
        <f>IFERROR('05 Revenue Engine'!Y25/'05 Revenue Engine'!Y28*'05 Revenue Engine'!Y41,0)</f>
        <v/>
      </c>
      <c r="Z12" s="376">
        <f>IFERROR('05 Revenue Engine'!Z25/'05 Revenue Engine'!Z28*'05 Revenue Engine'!Z41,0)</f>
        <v/>
      </c>
      <c r="AA12" s="376">
        <f>IFERROR('05 Revenue Engine'!AA25/'05 Revenue Engine'!AA28*'05 Revenue Engine'!AA41,0)</f>
        <v/>
      </c>
      <c r="AB12" s="376">
        <f>IFERROR('05 Revenue Engine'!AB25/'05 Revenue Engine'!AB28*'05 Revenue Engine'!AB41,0)</f>
        <v/>
      </c>
      <c r="AC12" s="344">
        <f>SUM(Y12:AB12)</f>
        <v/>
      </c>
      <c r="AD12" s="376">
        <f>IFERROR('05 Revenue Engine'!AD25/'05 Revenue Engine'!AD28*'05 Revenue Engine'!AD41,0)</f>
        <v/>
      </c>
      <c r="AE12" s="376">
        <f>IFERROR('05 Revenue Engine'!AE25/'05 Revenue Engine'!AE28*'05 Revenue Engine'!AE41,0)</f>
        <v/>
      </c>
      <c r="AF12" s="376">
        <f>IFERROR('05 Revenue Engine'!AF25/'05 Revenue Engine'!AF28*'05 Revenue Engine'!AF41,0)</f>
        <v/>
      </c>
      <c r="AG12" s="376">
        <f>IFERROR('05 Revenue Engine'!AG25/'05 Revenue Engine'!AG28*'05 Revenue Engine'!AG41,0)</f>
        <v/>
      </c>
      <c r="AH12" s="344">
        <f>SUM(AD12:AG12)</f>
        <v/>
      </c>
      <c r="AI12" s="376">
        <f>IFERROR('05 Revenue Engine'!AI25/'05 Revenue Engine'!AI28*'05 Revenue Engine'!AI41,0)</f>
        <v/>
      </c>
      <c r="AJ12" s="376">
        <f>IFERROR('05 Revenue Engine'!AJ25/'05 Revenue Engine'!AJ28*'05 Revenue Engine'!AJ41,0)</f>
        <v/>
      </c>
      <c r="AK12" s="376">
        <f>IFERROR('05 Revenue Engine'!AK25/'05 Revenue Engine'!AK28*'05 Revenue Engine'!AK41,0)</f>
        <v/>
      </c>
      <c r="AL12" s="376">
        <f>IFERROR('05 Revenue Engine'!AL25/'05 Revenue Engine'!AL28*'05 Revenue Engine'!AL41,0)</f>
        <v/>
      </c>
      <c r="AM12" s="344">
        <f>SUM(AI12:AL12)</f>
        <v/>
      </c>
      <c r="AN12" s="376">
        <f>IFERROR('05 Revenue Engine'!AN25/'05 Revenue Engine'!AN28*'05 Revenue Engine'!AN41,0)</f>
        <v/>
      </c>
      <c r="AO12" s="376">
        <f>IFERROR('05 Revenue Engine'!AO25/'05 Revenue Engine'!AO28*'05 Revenue Engine'!AO41,0)</f>
        <v/>
      </c>
      <c r="AP12" s="376">
        <f>IFERROR('05 Revenue Engine'!AP25/'05 Revenue Engine'!AP28*'05 Revenue Engine'!AP41,0)</f>
        <v/>
      </c>
      <c r="AQ12" s="376">
        <f>IFERROR('05 Revenue Engine'!AQ25/'05 Revenue Engine'!AQ28*'05 Revenue Engine'!AQ41,0)</f>
        <v/>
      </c>
      <c r="AR12" s="344">
        <f>SUM(AN12:AQ12)</f>
        <v/>
      </c>
    </row>
    <row r="13" ht="13.5" customHeight="1" s="290">
      <c r="A13" s="345" t="n"/>
      <c r="B13" s="370" t="inlineStr">
        <is>
          <t xml:space="preserve">  EPE — Rainmaker</t>
        </is>
      </c>
      <c r="C13" s="371" t="inlineStr">
        <is>
          <t>EPE</t>
        </is>
      </c>
      <c r="D13" s="394" t="inlineStr">
        <is>
          <t>← Tab 04 row 15</t>
        </is>
      </c>
      <c r="E13" s="361">
        <f>'04 Producer Engine'!E15</f>
        <v/>
      </c>
      <c r="F13" s="361">
        <f>'04 Producer Engine'!F15</f>
        <v/>
      </c>
      <c r="G13" s="361">
        <f>'04 Producer Engine'!G15</f>
        <v/>
      </c>
      <c r="H13" s="361">
        <f>'04 Producer Engine'!H15</f>
        <v/>
      </c>
      <c r="I13" s="361">
        <f>AVERAGE(E13:H13)</f>
        <v/>
      </c>
      <c r="J13" s="361">
        <f>'04 Producer Engine'!J15</f>
        <v/>
      </c>
      <c r="K13" s="361">
        <f>'04 Producer Engine'!K15</f>
        <v/>
      </c>
      <c r="L13" s="361">
        <f>'04 Producer Engine'!L15</f>
        <v/>
      </c>
      <c r="M13" s="361">
        <f>'04 Producer Engine'!M15</f>
        <v/>
      </c>
      <c r="N13" s="361">
        <f>AVERAGE(J13:M13)</f>
        <v/>
      </c>
      <c r="O13" s="361">
        <f>'04 Producer Engine'!O15</f>
        <v/>
      </c>
      <c r="P13" s="361">
        <f>'04 Producer Engine'!P15</f>
        <v/>
      </c>
      <c r="Q13" s="361">
        <f>'04 Producer Engine'!Q15</f>
        <v/>
      </c>
      <c r="R13" s="361">
        <f>'04 Producer Engine'!R15</f>
        <v/>
      </c>
      <c r="S13" s="361">
        <f>AVERAGE(O13:R13)</f>
        <v/>
      </c>
      <c r="T13" s="361">
        <f>'04 Producer Engine'!T15</f>
        <v/>
      </c>
      <c r="U13" s="361">
        <f>'04 Producer Engine'!U15</f>
        <v/>
      </c>
      <c r="V13" s="361">
        <f>'04 Producer Engine'!V15</f>
        <v/>
      </c>
      <c r="W13" s="361">
        <f>'04 Producer Engine'!W15</f>
        <v/>
      </c>
      <c r="X13" s="361">
        <f>AVERAGE(T13:W13)</f>
        <v/>
      </c>
      <c r="Y13" s="361">
        <f>'04 Producer Engine'!Y15</f>
        <v/>
      </c>
      <c r="Z13" s="361">
        <f>'04 Producer Engine'!Z15</f>
        <v/>
      </c>
      <c r="AA13" s="361">
        <f>'04 Producer Engine'!AA15</f>
        <v/>
      </c>
      <c r="AB13" s="361">
        <f>'04 Producer Engine'!AB15</f>
        <v/>
      </c>
      <c r="AC13" s="361">
        <f>AVERAGE(Y13:AB13)</f>
        <v/>
      </c>
      <c r="AD13" s="361">
        <f>'04 Producer Engine'!AD15</f>
        <v/>
      </c>
      <c r="AE13" s="361">
        <f>'04 Producer Engine'!AE15</f>
        <v/>
      </c>
      <c r="AF13" s="361">
        <f>'04 Producer Engine'!AF15</f>
        <v/>
      </c>
      <c r="AG13" s="361">
        <f>'04 Producer Engine'!AG15</f>
        <v/>
      </c>
      <c r="AH13" s="361">
        <f>AVERAGE(AD13:AG13)</f>
        <v/>
      </c>
      <c r="AI13" s="361">
        <f>'04 Producer Engine'!AI15</f>
        <v/>
      </c>
      <c r="AJ13" s="361">
        <f>'04 Producer Engine'!AJ15</f>
        <v/>
      </c>
      <c r="AK13" s="361">
        <f>'04 Producer Engine'!AK15</f>
        <v/>
      </c>
      <c r="AL13" s="361">
        <f>'04 Producer Engine'!AL15</f>
        <v/>
      </c>
      <c r="AM13" s="361">
        <f>AVERAGE(AI13:AL13)</f>
        <v/>
      </c>
      <c r="AN13" s="361">
        <f>'04 Producer Engine'!AN15</f>
        <v/>
      </c>
      <c r="AO13" s="361">
        <f>'04 Producer Engine'!AO15</f>
        <v/>
      </c>
      <c r="AP13" s="361">
        <f>'04 Producer Engine'!AP15</f>
        <v/>
      </c>
      <c r="AQ13" s="361">
        <f>'04 Producer Engine'!AQ15</f>
        <v/>
      </c>
      <c r="AR13" s="361">
        <f>AVERAGE(AN13:AQ13)</f>
        <v/>
      </c>
    </row>
    <row r="14" ht="13.5" customHeight="1" s="290">
      <c r="A14" s="395" t="n"/>
      <c r="B14" s="373" t="inlineStr">
        <is>
          <t xml:space="preserve">  GCI per EPE Annualized — Rainmaker</t>
        </is>
      </c>
      <c r="C14" s="374" t="inlineStr">
        <is>
          <t>$K/EPE/yr</t>
        </is>
      </c>
      <c r="D14" s="396" t="inlineStr">
        <is>
          <t xml:space="preserve"> (tier gci ÷ Tier EPE) × 4  [annualized for threshold comparison])</t>
        </is>
      </c>
      <c r="E14" s="376">
        <f>IFERROR(E12/E13*4,0)</f>
        <v/>
      </c>
      <c r="F14" s="376">
        <f>IFERROR(F12/F13*4,0)</f>
        <v/>
      </c>
      <c r="G14" s="376">
        <f>IFERROR(G12/G13*4,0)</f>
        <v/>
      </c>
      <c r="H14" s="376">
        <f>IFERROR(H12/H13*4,0)</f>
        <v/>
      </c>
      <c r="I14" s="344">
        <f>IFERROR(I12/I13,0)</f>
        <v/>
      </c>
      <c r="J14" s="376">
        <f>IFERROR(J12/J13*4,0)</f>
        <v/>
      </c>
      <c r="K14" s="376">
        <f>IFERROR(K12/K13*4,0)</f>
        <v/>
      </c>
      <c r="L14" s="376">
        <f>IFERROR(L12/L13*4,0)</f>
        <v/>
      </c>
      <c r="M14" s="376">
        <f>IFERROR(M12/M13*4,0)</f>
        <v/>
      </c>
      <c r="N14" s="344">
        <f>IFERROR(N12/N13,0)</f>
        <v/>
      </c>
      <c r="O14" s="376">
        <f>IFERROR(O12/O13*4,0)</f>
        <v/>
      </c>
      <c r="P14" s="376">
        <f>IFERROR(P12/P13*4,0)</f>
        <v/>
      </c>
      <c r="Q14" s="376">
        <f>IFERROR(Q12/Q13*4,0)</f>
        <v/>
      </c>
      <c r="R14" s="376">
        <f>IFERROR(R12/R13*4,0)</f>
        <v/>
      </c>
      <c r="S14" s="344">
        <f>IFERROR(S12/S13,0)</f>
        <v/>
      </c>
      <c r="T14" s="376">
        <f>IFERROR(T12/T13*4,0)</f>
        <v/>
      </c>
      <c r="U14" s="376">
        <f>IFERROR(U12/U13*4,0)</f>
        <v/>
      </c>
      <c r="V14" s="376">
        <f>IFERROR(V12/V13*4,0)</f>
        <v/>
      </c>
      <c r="W14" s="376">
        <f>IFERROR(W12/W13*4,0)</f>
        <v/>
      </c>
      <c r="X14" s="344">
        <f>IFERROR(X12/X13,0)</f>
        <v/>
      </c>
      <c r="Y14" s="376">
        <f>IFERROR(Y12/Y13*4,0)</f>
        <v/>
      </c>
      <c r="Z14" s="376">
        <f>IFERROR(Z12/Z13*4,0)</f>
        <v/>
      </c>
      <c r="AA14" s="376">
        <f>IFERROR(AA12/AA13*4,0)</f>
        <v/>
      </c>
      <c r="AB14" s="376">
        <f>IFERROR(AB12/AB13*4,0)</f>
        <v/>
      </c>
      <c r="AC14" s="344">
        <f>IFERROR(AC12/AC13,0)</f>
        <v/>
      </c>
      <c r="AD14" s="376">
        <f>IFERROR(AD12/AD13*4,0)</f>
        <v/>
      </c>
      <c r="AE14" s="376">
        <f>IFERROR(AE12/AE13*4,0)</f>
        <v/>
      </c>
      <c r="AF14" s="376">
        <f>IFERROR(AF12/AF13*4,0)</f>
        <v/>
      </c>
      <c r="AG14" s="376">
        <f>IFERROR(AG12/AG13*4,0)</f>
        <v/>
      </c>
      <c r="AH14" s="344">
        <f>IFERROR(AH12/AH13,0)</f>
        <v/>
      </c>
      <c r="AI14" s="376">
        <f>IFERROR(AI12/AI13*4,0)</f>
        <v/>
      </c>
      <c r="AJ14" s="376">
        <f>IFERROR(AJ12/AJ13*4,0)</f>
        <v/>
      </c>
      <c r="AK14" s="376">
        <f>IFERROR(AK12/AK13*4,0)</f>
        <v/>
      </c>
      <c r="AL14" s="376">
        <f>IFERROR(AL12/AL13*4,0)</f>
        <v/>
      </c>
      <c r="AM14" s="344">
        <f>IFERROR(AM12/AM13,0)</f>
        <v/>
      </c>
      <c r="AN14" s="376">
        <f>IFERROR(AN12/AN13*4,0)</f>
        <v/>
      </c>
      <c r="AO14" s="376">
        <f>IFERROR(AO12/AO13*4,0)</f>
        <v/>
      </c>
      <c r="AP14" s="376">
        <f>IFERROR(AP12/AP13*4,0)</f>
        <v/>
      </c>
      <c r="AQ14" s="376">
        <f>IFERROR(AQ12/AQ13*4,0)</f>
        <v/>
      </c>
      <c r="AR14" s="344">
        <f>IFERROR(AR12/AR13,0)</f>
        <v/>
      </c>
    </row>
    <row r="15" ht="13.5" customHeight="1" s="290">
      <c r="A15" s="345" t="n"/>
      <c r="B15" s="370" t="inlineStr">
        <is>
          <t xml:space="preserve">  Split Threshold 1 — Rainmaker</t>
        </is>
      </c>
      <c r="C15" s="371" t="inlineStr">
        <is>
          <t>$K GCI/yr</t>
        </is>
      </c>
      <c r="D15" s="394" t="inlineStr">
        <is>
          <t>← Tab 03 row 252 col E</t>
        </is>
      </c>
      <c r="E15" s="361">
        <f>'03 Operational Assumptions'!E252</f>
        <v/>
      </c>
      <c r="F15" s="361">
        <f>'03 Operational Assumptions'!E252</f>
        <v/>
      </c>
      <c r="G15" s="361">
        <f>'03 Operational Assumptions'!E252</f>
        <v/>
      </c>
      <c r="H15" s="361">
        <f>'03 Operational Assumptions'!E252</f>
        <v/>
      </c>
      <c r="I15" s="361">
        <f>'03 Operational Assumptions'!E252</f>
        <v/>
      </c>
      <c r="J15" s="361">
        <f>'03 Operational Assumptions'!E252</f>
        <v/>
      </c>
      <c r="K15" s="361">
        <f>'03 Operational Assumptions'!E252</f>
        <v/>
      </c>
      <c r="L15" s="361">
        <f>'03 Operational Assumptions'!E252</f>
        <v/>
      </c>
      <c r="M15" s="361">
        <f>'03 Operational Assumptions'!E252</f>
        <v/>
      </c>
      <c r="N15" s="361">
        <f>'03 Operational Assumptions'!E252</f>
        <v/>
      </c>
      <c r="O15" s="361">
        <f>'03 Operational Assumptions'!E252</f>
        <v/>
      </c>
      <c r="P15" s="361">
        <f>'03 Operational Assumptions'!E252</f>
        <v/>
      </c>
      <c r="Q15" s="361">
        <f>'03 Operational Assumptions'!E252</f>
        <v/>
      </c>
      <c r="R15" s="361">
        <f>'03 Operational Assumptions'!E252</f>
        <v/>
      </c>
      <c r="S15" s="361">
        <f>'03 Operational Assumptions'!E252</f>
        <v/>
      </c>
      <c r="T15" s="361">
        <f>'03 Operational Assumptions'!E252</f>
        <v/>
      </c>
      <c r="U15" s="361">
        <f>'03 Operational Assumptions'!E252</f>
        <v/>
      </c>
      <c r="V15" s="361">
        <f>'03 Operational Assumptions'!E252</f>
        <v/>
      </c>
      <c r="W15" s="361">
        <f>'03 Operational Assumptions'!E252</f>
        <v/>
      </c>
      <c r="X15" s="361">
        <f>'03 Operational Assumptions'!E252</f>
        <v/>
      </c>
      <c r="Y15" s="361">
        <f>'03 Operational Assumptions'!E252</f>
        <v/>
      </c>
      <c r="Z15" s="361">
        <f>'03 Operational Assumptions'!E252</f>
        <v/>
      </c>
      <c r="AA15" s="361">
        <f>'03 Operational Assumptions'!E252</f>
        <v/>
      </c>
      <c r="AB15" s="361">
        <f>'03 Operational Assumptions'!E252</f>
        <v/>
      </c>
      <c r="AC15" s="361">
        <f>'03 Operational Assumptions'!E252</f>
        <v/>
      </c>
      <c r="AD15" s="361">
        <f>'03 Operational Assumptions'!E252</f>
        <v/>
      </c>
      <c r="AE15" s="361">
        <f>'03 Operational Assumptions'!E252</f>
        <v/>
      </c>
      <c r="AF15" s="361">
        <f>'03 Operational Assumptions'!E252</f>
        <v/>
      </c>
      <c r="AG15" s="361">
        <f>'03 Operational Assumptions'!E252</f>
        <v/>
      </c>
      <c r="AH15" s="361">
        <f>'03 Operational Assumptions'!E252</f>
        <v/>
      </c>
      <c r="AI15" s="361">
        <f>'03 Operational Assumptions'!E252</f>
        <v/>
      </c>
      <c r="AJ15" s="361">
        <f>'03 Operational Assumptions'!E252</f>
        <v/>
      </c>
      <c r="AK15" s="361">
        <f>'03 Operational Assumptions'!E252</f>
        <v/>
      </c>
      <c r="AL15" s="361">
        <f>'03 Operational Assumptions'!E252</f>
        <v/>
      </c>
      <c r="AM15" s="361">
        <f>'03 Operational Assumptions'!E252</f>
        <v/>
      </c>
      <c r="AN15" s="361">
        <f>'03 Operational Assumptions'!E252</f>
        <v/>
      </c>
      <c r="AO15" s="361">
        <f>'03 Operational Assumptions'!E252</f>
        <v/>
      </c>
      <c r="AP15" s="361">
        <f>'03 Operational Assumptions'!E252</f>
        <v/>
      </c>
      <c r="AQ15" s="361">
        <f>'03 Operational Assumptions'!E252</f>
        <v/>
      </c>
      <c r="AR15" s="361">
        <f>'03 Operational Assumptions'!E252</f>
        <v/>
      </c>
    </row>
    <row r="16" ht="13.5" customHeight="1" s="290">
      <c r="A16" s="345" t="n"/>
      <c r="B16" s="370" t="inlineStr">
        <is>
          <t xml:space="preserve">  Split % at T1 (S1) — Rainmaker</t>
        </is>
      </c>
      <c r="C16" s="371" t="inlineStr">
        <is>
          <t>%</t>
        </is>
      </c>
      <c r="D16" s="394" t="inlineStr">
        <is>
          <t>← Tab 03 row 252 col F</t>
        </is>
      </c>
      <c r="E16" s="361">
        <f>'03 Operational Assumptions'!F252</f>
        <v/>
      </c>
      <c r="F16" s="361">
        <f>'03 Operational Assumptions'!F252</f>
        <v/>
      </c>
      <c r="G16" s="361">
        <f>'03 Operational Assumptions'!F252</f>
        <v/>
      </c>
      <c r="H16" s="361">
        <f>'03 Operational Assumptions'!F252</f>
        <v/>
      </c>
      <c r="I16" s="361">
        <f>'03 Operational Assumptions'!F252</f>
        <v/>
      </c>
      <c r="J16" s="361">
        <f>'03 Operational Assumptions'!F252</f>
        <v/>
      </c>
      <c r="K16" s="361">
        <f>'03 Operational Assumptions'!F252</f>
        <v/>
      </c>
      <c r="L16" s="361">
        <f>'03 Operational Assumptions'!F252</f>
        <v/>
      </c>
      <c r="M16" s="361">
        <f>'03 Operational Assumptions'!F252</f>
        <v/>
      </c>
      <c r="N16" s="361">
        <f>'03 Operational Assumptions'!F252</f>
        <v/>
      </c>
      <c r="O16" s="361">
        <f>'03 Operational Assumptions'!F252</f>
        <v/>
      </c>
      <c r="P16" s="361">
        <f>'03 Operational Assumptions'!F252</f>
        <v/>
      </c>
      <c r="Q16" s="361">
        <f>'03 Operational Assumptions'!F252</f>
        <v/>
      </c>
      <c r="R16" s="361">
        <f>'03 Operational Assumptions'!F252</f>
        <v/>
      </c>
      <c r="S16" s="361">
        <f>'03 Operational Assumptions'!F252</f>
        <v/>
      </c>
      <c r="T16" s="361">
        <f>'03 Operational Assumptions'!F252</f>
        <v/>
      </c>
      <c r="U16" s="361">
        <f>'03 Operational Assumptions'!F252</f>
        <v/>
      </c>
      <c r="V16" s="361">
        <f>'03 Operational Assumptions'!F252</f>
        <v/>
      </c>
      <c r="W16" s="361">
        <f>'03 Operational Assumptions'!F252</f>
        <v/>
      </c>
      <c r="X16" s="361">
        <f>'03 Operational Assumptions'!F252</f>
        <v/>
      </c>
      <c r="Y16" s="361">
        <f>'03 Operational Assumptions'!F252</f>
        <v/>
      </c>
      <c r="Z16" s="361">
        <f>'03 Operational Assumptions'!F252</f>
        <v/>
      </c>
      <c r="AA16" s="361">
        <f>'03 Operational Assumptions'!F252</f>
        <v/>
      </c>
      <c r="AB16" s="361">
        <f>'03 Operational Assumptions'!F252</f>
        <v/>
      </c>
      <c r="AC16" s="361">
        <f>'03 Operational Assumptions'!F252</f>
        <v/>
      </c>
      <c r="AD16" s="361">
        <f>'03 Operational Assumptions'!F252</f>
        <v/>
      </c>
      <c r="AE16" s="361">
        <f>'03 Operational Assumptions'!F252</f>
        <v/>
      </c>
      <c r="AF16" s="361">
        <f>'03 Operational Assumptions'!F252</f>
        <v/>
      </c>
      <c r="AG16" s="361">
        <f>'03 Operational Assumptions'!F252</f>
        <v/>
      </c>
      <c r="AH16" s="361">
        <f>'03 Operational Assumptions'!F252</f>
        <v/>
      </c>
      <c r="AI16" s="361">
        <f>'03 Operational Assumptions'!F252</f>
        <v/>
      </c>
      <c r="AJ16" s="361">
        <f>'03 Operational Assumptions'!F252</f>
        <v/>
      </c>
      <c r="AK16" s="361">
        <f>'03 Operational Assumptions'!F252</f>
        <v/>
      </c>
      <c r="AL16" s="361">
        <f>'03 Operational Assumptions'!F252</f>
        <v/>
      </c>
      <c r="AM16" s="361">
        <f>'03 Operational Assumptions'!F252</f>
        <v/>
      </c>
      <c r="AN16" s="361">
        <f>'03 Operational Assumptions'!F252</f>
        <v/>
      </c>
      <c r="AO16" s="361">
        <f>'03 Operational Assumptions'!F252</f>
        <v/>
      </c>
      <c r="AP16" s="361">
        <f>'03 Operational Assumptions'!F252</f>
        <v/>
      </c>
      <c r="AQ16" s="361">
        <f>'03 Operational Assumptions'!F252</f>
        <v/>
      </c>
      <c r="AR16" s="361">
        <f>'03 Operational Assumptions'!F252</f>
        <v/>
      </c>
    </row>
    <row r="17" ht="13.5" customHeight="1" s="290">
      <c r="A17" s="345" t="n"/>
      <c r="B17" s="370" t="inlineStr">
        <is>
          <t xml:space="preserve">  Split Threshold 2 — Rainmaker</t>
        </is>
      </c>
      <c r="C17" s="371" t="inlineStr">
        <is>
          <t>$K GCI/yr</t>
        </is>
      </c>
      <c r="D17" s="394" t="inlineStr">
        <is>
          <t>← Tab 03 row 252 col G</t>
        </is>
      </c>
      <c r="E17" s="361">
        <f>'03 Operational Assumptions'!G252</f>
        <v/>
      </c>
      <c r="F17" s="361">
        <f>'03 Operational Assumptions'!G252</f>
        <v/>
      </c>
      <c r="G17" s="361">
        <f>'03 Operational Assumptions'!G252</f>
        <v/>
      </c>
      <c r="H17" s="361">
        <f>'03 Operational Assumptions'!G252</f>
        <v/>
      </c>
      <c r="I17" s="361">
        <f>'03 Operational Assumptions'!G252</f>
        <v/>
      </c>
      <c r="J17" s="361">
        <f>'03 Operational Assumptions'!G252</f>
        <v/>
      </c>
      <c r="K17" s="361">
        <f>'03 Operational Assumptions'!G252</f>
        <v/>
      </c>
      <c r="L17" s="361">
        <f>'03 Operational Assumptions'!G252</f>
        <v/>
      </c>
      <c r="M17" s="361">
        <f>'03 Operational Assumptions'!G252</f>
        <v/>
      </c>
      <c r="N17" s="361">
        <f>'03 Operational Assumptions'!G252</f>
        <v/>
      </c>
      <c r="O17" s="361">
        <f>'03 Operational Assumptions'!G252</f>
        <v/>
      </c>
      <c r="P17" s="361">
        <f>'03 Operational Assumptions'!G252</f>
        <v/>
      </c>
      <c r="Q17" s="361">
        <f>'03 Operational Assumptions'!G252</f>
        <v/>
      </c>
      <c r="R17" s="361">
        <f>'03 Operational Assumptions'!G252</f>
        <v/>
      </c>
      <c r="S17" s="361">
        <f>'03 Operational Assumptions'!G252</f>
        <v/>
      </c>
      <c r="T17" s="361">
        <f>'03 Operational Assumptions'!G252</f>
        <v/>
      </c>
      <c r="U17" s="361">
        <f>'03 Operational Assumptions'!G252</f>
        <v/>
      </c>
      <c r="V17" s="361">
        <f>'03 Operational Assumptions'!G252</f>
        <v/>
      </c>
      <c r="W17" s="361">
        <f>'03 Operational Assumptions'!G252</f>
        <v/>
      </c>
      <c r="X17" s="361">
        <f>'03 Operational Assumptions'!G252</f>
        <v/>
      </c>
      <c r="Y17" s="361">
        <f>'03 Operational Assumptions'!G252</f>
        <v/>
      </c>
      <c r="Z17" s="361">
        <f>'03 Operational Assumptions'!G252</f>
        <v/>
      </c>
      <c r="AA17" s="361">
        <f>'03 Operational Assumptions'!G252</f>
        <v/>
      </c>
      <c r="AB17" s="361">
        <f>'03 Operational Assumptions'!G252</f>
        <v/>
      </c>
      <c r="AC17" s="361">
        <f>'03 Operational Assumptions'!G252</f>
        <v/>
      </c>
      <c r="AD17" s="361">
        <f>'03 Operational Assumptions'!G252</f>
        <v/>
      </c>
      <c r="AE17" s="361">
        <f>'03 Operational Assumptions'!G252</f>
        <v/>
      </c>
      <c r="AF17" s="361">
        <f>'03 Operational Assumptions'!G252</f>
        <v/>
      </c>
      <c r="AG17" s="361">
        <f>'03 Operational Assumptions'!G252</f>
        <v/>
      </c>
      <c r="AH17" s="361">
        <f>'03 Operational Assumptions'!G252</f>
        <v/>
      </c>
      <c r="AI17" s="361">
        <f>'03 Operational Assumptions'!G252</f>
        <v/>
      </c>
      <c r="AJ17" s="361">
        <f>'03 Operational Assumptions'!G252</f>
        <v/>
      </c>
      <c r="AK17" s="361">
        <f>'03 Operational Assumptions'!G252</f>
        <v/>
      </c>
      <c r="AL17" s="361">
        <f>'03 Operational Assumptions'!G252</f>
        <v/>
      </c>
      <c r="AM17" s="361">
        <f>'03 Operational Assumptions'!G252</f>
        <v/>
      </c>
      <c r="AN17" s="361">
        <f>'03 Operational Assumptions'!G252</f>
        <v/>
      </c>
      <c r="AO17" s="361">
        <f>'03 Operational Assumptions'!G252</f>
        <v/>
      </c>
      <c r="AP17" s="361">
        <f>'03 Operational Assumptions'!G252</f>
        <v/>
      </c>
      <c r="AQ17" s="361">
        <f>'03 Operational Assumptions'!G252</f>
        <v/>
      </c>
      <c r="AR17" s="361">
        <f>'03 Operational Assumptions'!G252</f>
        <v/>
      </c>
    </row>
    <row r="18" ht="13.5" customHeight="1" s="290">
      <c r="A18" s="345" t="n"/>
      <c r="B18" s="370" t="inlineStr">
        <is>
          <t xml:space="preserve">  Split % at T2 (S2) — Rainmaker</t>
        </is>
      </c>
      <c r="C18" s="371" t="inlineStr">
        <is>
          <t>%</t>
        </is>
      </c>
      <c r="D18" s="394" t="inlineStr">
        <is>
          <t>← Tab 03 row 252 col H</t>
        </is>
      </c>
      <c r="E18" s="361">
        <f>'03 Operational Assumptions'!H252</f>
        <v/>
      </c>
      <c r="F18" s="361">
        <f>'03 Operational Assumptions'!H252</f>
        <v/>
      </c>
      <c r="G18" s="361">
        <f>'03 Operational Assumptions'!H252</f>
        <v/>
      </c>
      <c r="H18" s="361">
        <f>'03 Operational Assumptions'!H252</f>
        <v/>
      </c>
      <c r="I18" s="361">
        <f>'03 Operational Assumptions'!H252</f>
        <v/>
      </c>
      <c r="J18" s="361">
        <f>'03 Operational Assumptions'!H252</f>
        <v/>
      </c>
      <c r="K18" s="361">
        <f>'03 Operational Assumptions'!H252</f>
        <v/>
      </c>
      <c r="L18" s="361">
        <f>'03 Operational Assumptions'!H252</f>
        <v/>
      </c>
      <c r="M18" s="361">
        <f>'03 Operational Assumptions'!H252</f>
        <v/>
      </c>
      <c r="N18" s="361">
        <f>'03 Operational Assumptions'!H252</f>
        <v/>
      </c>
      <c r="O18" s="361">
        <f>'03 Operational Assumptions'!H252</f>
        <v/>
      </c>
      <c r="P18" s="361">
        <f>'03 Operational Assumptions'!H252</f>
        <v/>
      </c>
      <c r="Q18" s="361">
        <f>'03 Operational Assumptions'!H252</f>
        <v/>
      </c>
      <c r="R18" s="361">
        <f>'03 Operational Assumptions'!H252</f>
        <v/>
      </c>
      <c r="S18" s="361">
        <f>'03 Operational Assumptions'!H252</f>
        <v/>
      </c>
      <c r="T18" s="361">
        <f>'03 Operational Assumptions'!H252</f>
        <v/>
      </c>
      <c r="U18" s="361">
        <f>'03 Operational Assumptions'!H252</f>
        <v/>
      </c>
      <c r="V18" s="361">
        <f>'03 Operational Assumptions'!H252</f>
        <v/>
      </c>
      <c r="W18" s="361">
        <f>'03 Operational Assumptions'!H252</f>
        <v/>
      </c>
      <c r="X18" s="361">
        <f>'03 Operational Assumptions'!H252</f>
        <v/>
      </c>
      <c r="Y18" s="361">
        <f>'03 Operational Assumptions'!H252</f>
        <v/>
      </c>
      <c r="Z18" s="361">
        <f>'03 Operational Assumptions'!H252</f>
        <v/>
      </c>
      <c r="AA18" s="361">
        <f>'03 Operational Assumptions'!H252</f>
        <v/>
      </c>
      <c r="AB18" s="361">
        <f>'03 Operational Assumptions'!H252</f>
        <v/>
      </c>
      <c r="AC18" s="361">
        <f>'03 Operational Assumptions'!H252</f>
        <v/>
      </c>
      <c r="AD18" s="361">
        <f>'03 Operational Assumptions'!H252</f>
        <v/>
      </c>
      <c r="AE18" s="361">
        <f>'03 Operational Assumptions'!H252</f>
        <v/>
      </c>
      <c r="AF18" s="361">
        <f>'03 Operational Assumptions'!H252</f>
        <v/>
      </c>
      <c r="AG18" s="361">
        <f>'03 Operational Assumptions'!H252</f>
        <v/>
      </c>
      <c r="AH18" s="361">
        <f>'03 Operational Assumptions'!H252</f>
        <v/>
      </c>
      <c r="AI18" s="361">
        <f>'03 Operational Assumptions'!H252</f>
        <v/>
      </c>
      <c r="AJ18" s="361">
        <f>'03 Operational Assumptions'!H252</f>
        <v/>
      </c>
      <c r="AK18" s="361">
        <f>'03 Operational Assumptions'!H252</f>
        <v/>
      </c>
      <c r="AL18" s="361">
        <f>'03 Operational Assumptions'!H252</f>
        <v/>
      </c>
      <c r="AM18" s="361">
        <f>'03 Operational Assumptions'!H252</f>
        <v/>
      </c>
      <c r="AN18" s="361">
        <f>'03 Operational Assumptions'!H252</f>
        <v/>
      </c>
      <c r="AO18" s="361">
        <f>'03 Operational Assumptions'!H252</f>
        <v/>
      </c>
      <c r="AP18" s="361">
        <f>'03 Operational Assumptions'!H252</f>
        <v/>
      </c>
      <c r="AQ18" s="361">
        <f>'03 Operational Assumptions'!H252</f>
        <v/>
      </c>
      <c r="AR18" s="361">
        <f>'03 Operational Assumptions'!H252</f>
        <v/>
      </c>
    </row>
    <row r="19" ht="13.5" customHeight="1" s="290">
      <c r="A19" s="345" t="n"/>
      <c r="B19" s="370" t="inlineStr">
        <is>
          <t xml:space="preserve">  Split % Above T2 (S3) — Rainmaker</t>
        </is>
      </c>
      <c r="C19" s="371" t="inlineStr">
        <is>
          <t>%</t>
        </is>
      </c>
      <c r="D19" s="394" t="inlineStr">
        <is>
          <t>← Tab 03 row 252 col J</t>
        </is>
      </c>
      <c r="E19" s="361">
        <f>'03 Operational Assumptions'!J252</f>
        <v/>
      </c>
      <c r="F19" s="361">
        <f>'03 Operational Assumptions'!J252</f>
        <v/>
      </c>
      <c r="G19" s="361">
        <f>'03 Operational Assumptions'!J252</f>
        <v/>
      </c>
      <c r="H19" s="361">
        <f>'03 Operational Assumptions'!J252</f>
        <v/>
      </c>
      <c r="I19" s="361">
        <f>'03 Operational Assumptions'!J252</f>
        <v/>
      </c>
      <c r="J19" s="361">
        <f>'03 Operational Assumptions'!J252</f>
        <v/>
      </c>
      <c r="K19" s="361">
        <f>'03 Operational Assumptions'!J252</f>
        <v/>
      </c>
      <c r="L19" s="361">
        <f>'03 Operational Assumptions'!J252</f>
        <v/>
      </c>
      <c r="M19" s="361">
        <f>'03 Operational Assumptions'!J252</f>
        <v/>
      </c>
      <c r="N19" s="361">
        <f>'03 Operational Assumptions'!J252</f>
        <v/>
      </c>
      <c r="O19" s="361">
        <f>'03 Operational Assumptions'!J252</f>
        <v/>
      </c>
      <c r="P19" s="361">
        <f>'03 Operational Assumptions'!J252</f>
        <v/>
      </c>
      <c r="Q19" s="361">
        <f>'03 Operational Assumptions'!J252</f>
        <v/>
      </c>
      <c r="R19" s="361">
        <f>'03 Operational Assumptions'!J252</f>
        <v/>
      </c>
      <c r="S19" s="361">
        <f>'03 Operational Assumptions'!J252</f>
        <v/>
      </c>
      <c r="T19" s="361">
        <f>'03 Operational Assumptions'!J252</f>
        <v/>
      </c>
      <c r="U19" s="361">
        <f>'03 Operational Assumptions'!J252</f>
        <v/>
      </c>
      <c r="V19" s="361">
        <f>'03 Operational Assumptions'!J252</f>
        <v/>
      </c>
      <c r="W19" s="361">
        <f>'03 Operational Assumptions'!J252</f>
        <v/>
      </c>
      <c r="X19" s="361">
        <f>'03 Operational Assumptions'!J252</f>
        <v/>
      </c>
      <c r="Y19" s="361">
        <f>'03 Operational Assumptions'!J252</f>
        <v/>
      </c>
      <c r="Z19" s="361">
        <f>'03 Operational Assumptions'!J252</f>
        <v/>
      </c>
      <c r="AA19" s="361">
        <f>'03 Operational Assumptions'!J252</f>
        <v/>
      </c>
      <c r="AB19" s="361">
        <f>'03 Operational Assumptions'!J252</f>
        <v/>
      </c>
      <c r="AC19" s="361">
        <f>'03 Operational Assumptions'!J252</f>
        <v/>
      </c>
      <c r="AD19" s="361">
        <f>'03 Operational Assumptions'!J252</f>
        <v/>
      </c>
      <c r="AE19" s="361">
        <f>'03 Operational Assumptions'!J252</f>
        <v/>
      </c>
      <c r="AF19" s="361">
        <f>'03 Operational Assumptions'!J252</f>
        <v/>
      </c>
      <c r="AG19" s="361">
        <f>'03 Operational Assumptions'!J252</f>
        <v/>
      </c>
      <c r="AH19" s="361">
        <f>'03 Operational Assumptions'!J252</f>
        <v/>
      </c>
      <c r="AI19" s="361">
        <f>'03 Operational Assumptions'!J252</f>
        <v/>
      </c>
      <c r="AJ19" s="361">
        <f>'03 Operational Assumptions'!J252</f>
        <v/>
      </c>
      <c r="AK19" s="361">
        <f>'03 Operational Assumptions'!J252</f>
        <v/>
      </c>
      <c r="AL19" s="361">
        <f>'03 Operational Assumptions'!J252</f>
        <v/>
      </c>
      <c r="AM19" s="361">
        <f>'03 Operational Assumptions'!J252</f>
        <v/>
      </c>
      <c r="AN19" s="361">
        <f>'03 Operational Assumptions'!J252</f>
        <v/>
      </c>
      <c r="AO19" s="361">
        <f>'03 Operational Assumptions'!J252</f>
        <v/>
      </c>
      <c r="AP19" s="361">
        <f>'03 Operational Assumptions'!J252</f>
        <v/>
      </c>
      <c r="AQ19" s="361">
        <f>'03 Operational Assumptions'!J252</f>
        <v/>
      </c>
      <c r="AR19" s="361">
        <f>'03 Operational Assumptions'!J252</f>
        <v/>
      </c>
    </row>
    <row r="20" ht="13.5" customHeight="1" s="290">
      <c r="A20" s="395" t="n"/>
      <c r="B20" s="373" t="inlineStr">
        <is>
          <t xml:space="preserve">  Applied Split % — Rainmaker</t>
        </is>
      </c>
      <c r="C20" s="374" t="inlineStr">
        <is>
          <t>%</t>
        </is>
      </c>
      <c r="D20" s="396" t="inlineStr">
        <is>
          <t xml:space="preserve"> IF(gci/epe≤T1→S1, IF(≤T2→S2, S3)),TRUE())</t>
        </is>
      </c>
      <c r="E20" s="376">
        <f>IF(E14&lt;=E15,E16,IF(E14&lt;=E17,E18,E19))</f>
        <v/>
      </c>
      <c r="F20" s="376">
        <f>IF(F14&lt;=F15,F16,IF(F14&lt;=F17,F18,F19))</f>
        <v/>
      </c>
      <c r="G20" s="376">
        <f>IF(G14&lt;=G15,G16,IF(G14&lt;=G17,G18,G19))</f>
        <v/>
      </c>
      <c r="H20" s="376">
        <f>IF(H14&lt;=H15,H16,IF(H14&lt;=H17,H18,H19))</f>
        <v/>
      </c>
      <c r="I20" s="344">
        <f>IF(I14&lt;=I15,I16,IF(I14&lt;=I17,I18,I19))</f>
        <v/>
      </c>
      <c r="J20" s="376">
        <f>IF(J14&lt;=J15,J16,IF(J14&lt;=J17,J18,J19))</f>
        <v/>
      </c>
      <c r="K20" s="376">
        <f>IF(K14&lt;=K15,K16,IF(K14&lt;=K17,K18,K19))</f>
        <v/>
      </c>
      <c r="L20" s="376">
        <f>IF(L14&lt;=L15,L16,IF(L14&lt;=L17,L18,L19))</f>
        <v/>
      </c>
      <c r="M20" s="376">
        <f>IF(M14&lt;=M15,M16,IF(M14&lt;=M17,M18,M19))</f>
        <v/>
      </c>
      <c r="N20" s="344">
        <f>IF(N14&lt;=N15,N16,IF(N14&lt;=N17,N18,N19))</f>
        <v/>
      </c>
      <c r="O20" s="376">
        <f>IF(O14&lt;=O15,O16,IF(O14&lt;=O17,O18,O19))</f>
        <v/>
      </c>
      <c r="P20" s="376">
        <f>IF(P14&lt;=P15,P16,IF(P14&lt;=P17,P18,P19))</f>
        <v/>
      </c>
      <c r="Q20" s="376">
        <f>IF(Q14&lt;=Q15,Q16,IF(Q14&lt;=Q17,Q18,Q19))</f>
        <v/>
      </c>
      <c r="R20" s="376">
        <f>IF(R14&lt;=R15,R16,IF(R14&lt;=R17,R18,R19))</f>
        <v/>
      </c>
      <c r="S20" s="344">
        <f>IF(S14&lt;=S15,S16,IF(S14&lt;=S17,S18,S19))</f>
        <v/>
      </c>
      <c r="T20" s="376">
        <f>IF(T14&lt;=T15,T16,IF(T14&lt;=T17,T18,T19))</f>
        <v/>
      </c>
      <c r="U20" s="376">
        <f>IF(U14&lt;=U15,U16,IF(U14&lt;=U17,U18,U19))</f>
        <v/>
      </c>
      <c r="V20" s="376">
        <f>IF(V14&lt;=V15,V16,IF(V14&lt;=V17,V18,V19))</f>
        <v/>
      </c>
      <c r="W20" s="376">
        <f>IF(W14&lt;=W15,W16,IF(W14&lt;=W17,W18,W19))</f>
        <v/>
      </c>
      <c r="X20" s="344">
        <f>IF(X14&lt;=X15,X16,IF(X14&lt;=X17,X18,X19))</f>
        <v/>
      </c>
      <c r="Y20" s="376">
        <f>IF(Y14&lt;=Y15,Y16,IF(Y14&lt;=Y17,Y18,Y19))</f>
        <v/>
      </c>
      <c r="Z20" s="376">
        <f>IF(Z14&lt;=Z15,Z16,IF(Z14&lt;=Z17,Z18,Z19))</f>
        <v/>
      </c>
      <c r="AA20" s="376">
        <f>IF(AA14&lt;=AA15,AA16,IF(AA14&lt;=AA17,AA18,AA19))</f>
        <v/>
      </c>
      <c r="AB20" s="376">
        <f>IF(AB14&lt;=AB15,AB16,IF(AB14&lt;=AB17,AB18,AB19))</f>
        <v/>
      </c>
      <c r="AC20" s="344">
        <f>IF(AC14&lt;=AC15,AC16,IF(AC14&lt;=AC17,AC18,AC19))</f>
        <v/>
      </c>
      <c r="AD20" s="376">
        <f>IF(AD14&lt;=AD15,AD16,IF(AD14&lt;=AD17,AD18,AD19))</f>
        <v/>
      </c>
      <c r="AE20" s="376">
        <f>IF(AE14&lt;=AE15,AE16,IF(AE14&lt;=AE17,AE18,AE19))</f>
        <v/>
      </c>
      <c r="AF20" s="376">
        <f>IF(AF14&lt;=AF15,AF16,IF(AF14&lt;=AF17,AF18,AF19))</f>
        <v/>
      </c>
      <c r="AG20" s="376">
        <f>IF(AG14&lt;=AG15,AG16,IF(AG14&lt;=AG17,AG18,AG19))</f>
        <v/>
      </c>
      <c r="AH20" s="344">
        <f>IF(AH14&lt;=AH15,AH16,IF(AH14&lt;=AH17,AH18,AH19))</f>
        <v/>
      </c>
      <c r="AI20" s="376">
        <f>IF(AI14&lt;=AI15,AI16,IF(AI14&lt;=AI17,AI18,AI19))</f>
        <v/>
      </c>
      <c r="AJ20" s="376">
        <f>IF(AJ14&lt;=AJ15,AJ16,IF(AJ14&lt;=AJ17,AJ18,AJ19))</f>
        <v/>
      </c>
      <c r="AK20" s="376">
        <f>IF(AK14&lt;=AK15,AK16,IF(AK14&lt;=AK17,AK18,AK19))</f>
        <v/>
      </c>
      <c r="AL20" s="376">
        <f>IF(AL14&lt;=AL15,AL16,IF(AL14&lt;=AL17,AL18,AL19))</f>
        <v/>
      </c>
      <c r="AM20" s="344">
        <f>IF(AM14&lt;=AM15,AM16,IF(AM14&lt;=AM17,AM18,AM19))</f>
        <v/>
      </c>
      <c r="AN20" s="376">
        <f>IF(AN14&lt;=AN15,AN16,IF(AN14&lt;=AN17,AN18,AN19))</f>
        <v/>
      </c>
      <c r="AO20" s="376">
        <f>IF(AO14&lt;=AO15,AO16,IF(AO14&lt;=AO17,AO18,AO19))</f>
        <v/>
      </c>
      <c r="AP20" s="376">
        <f>IF(AP14&lt;=AP15,AP16,IF(AP14&lt;=AP17,AP18,AP19))</f>
        <v/>
      </c>
      <c r="AQ20" s="376">
        <f>IF(AQ14&lt;=AQ15,AQ16,IF(AQ14&lt;=AQ17,AQ18,AQ19))</f>
        <v/>
      </c>
      <c r="AR20" s="344">
        <f>IF(AR14&lt;=AR15,AR16,IF(AR14&lt;=AR17,AR18,AR19))</f>
        <v/>
      </c>
    </row>
    <row r="21" ht="13.5" customHeight="1" s="290">
      <c r="A21" s="395" t="n"/>
      <c r="B21" s="402" t="inlineStr">
        <is>
          <t xml:space="preserve">  ★ Producer Payout — Rainmaker</t>
        </is>
      </c>
      <c r="C21" s="374" t="inlineStr">
        <is>
          <t>$K</t>
        </is>
      </c>
      <c r="D21" s="396" t="inlineStr">
        <is>
          <t xml:space="preserve"> tier gci × Applied Split %</t>
        </is>
      </c>
      <c r="E21" s="403">
        <f>E12*E20</f>
        <v/>
      </c>
      <c r="F21" s="403">
        <f>F12*F20</f>
        <v/>
      </c>
      <c r="G21" s="403">
        <f>G12*G20</f>
        <v/>
      </c>
      <c r="H21" s="403">
        <f>H12*H20</f>
        <v/>
      </c>
      <c r="I21" s="387">
        <f>SUM(E21:H21)</f>
        <v/>
      </c>
      <c r="J21" s="403">
        <f>J12*J20</f>
        <v/>
      </c>
      <c r="K21" s="403">
        <f>K12*K20</f>
        <v/>
      </c>
      <c r="L21" s="403">
        <f>L12*L20</f>
        <v/>
      </c>
      <c r="M21" s="403">
        <f>M12*M20</f>
        <v/>
      </c>
      <c r="N21" s="387">
        <f>SUM(J21:M21)</f>
        <v/>
      </c>
      <c r="O21" s="403">
        <f>O12*O20</f>
        <v/>
      </c>
      <c r="P21" s="403">
        <f>P12*P20</f>
        <v/>
      </c>
      <c r="Q21" s="403">
        <f>Q12*Q20</f>
        <v/>
      </c>
      <c r="R21" s="403">
        <f>R12*R20</f>
        <v/>
      </c>
      <c r="S21" s="387">
        <f>SUM(O21:R21)</f>
        <v/>
      </c>
      <c r="T21" s="403">
        <f>T12*T20</f>
        <v/>
      </c>
      <c r="U21" s="403">
        <f>U12*U20</f>
        <v/>
      </c>
      <c r="V21" s="403">
        <f>V12*V20</f>
        <v/>
      </c>
      <c r="W21" s="403">
        <f>W12*W20</f>
        <v/>
      </c>
      <c r="X21" s="387">
        <f>SUM(T21:W21)</f>
        <v/>
      </c>
      <c r="Y21" s="403">
        <f>Y12*Y20</f>
        <v/>
      </c>
      <c r="Z21" s="403">
        <f>Z12*Z20</f>
        <v/>
      </c>
      <c r="AA21" s="403">
        <f>AA12*AA20</f>
        <v/>
      </c>
      <c r="AB21" s="403">
        <f>AB12*AB20</f>
        <v/>
      </c>
      <c r="AC21" s="387">
        <f>SUM(Y21:AB21)</f>
        <v/>
      </c>
      <c r="AD21" s="403">
        <f>AD12*AD20</f>
        <v/>
      </c>
      <c r="AE21" s="403">
        <f>AE12*AE20</f>
        <v/>
      </c>
      <c r="AF21" s="403">
        <f>AF12*AF20</f>
        <v/>
      </c>
      <c r="AG21" s="403">
        <f>AG12*AG20</f>
        <v/>
      </c>
      <c r="AH21" s="387">
        <f>SUM(AD21:AG21)</f>
        <v/>
      </c>
      <c r="AI21" s="403">
        <f>AI12*AI20</f>
        <v/>
      </c>
      <c r="AJ21" s="403">
        <f>AJ12*AJ20</f>
        <v/>
      </c>
      <c r="AK21" s="403">
        <f>AK12*AK20</f>
        <v/>
      </c>
      <c r="AL21" s="403">
        <f>AL12*AL20</f>
        <v/>
      </c>
      <c r="AM21" s="387">
        <f>SUM(AI21:AL21)</f>
        <v/>
      </c>
      <c r="AN21" s="403">
        <f>AN12*AN20</f>
        <v/>
      </c>
      <c r="AO21" s="403">
        <f>AO12*AO20</f>
        <v/>
      </c>
      <c r="AP21" s="403">
        <f>AP12*AP20</f>
        <v/>
      </c>
      <c r="AQ21" s="403">
        <f>AQ12*AQ20</f>
        <v/>
      </c>
      <c r="AR21" s="387">
        <f>SUM(AN21:AQ21)</f>
        <v/>
      </c>
    </row>
    <row r="22" ht="3.75" customHeight="1" s="290"/>
    <row r="23" ht="13.5" customHeight="1" s="290">
      <c r="A23" s="369" t="inlineStr">
        <is>
          <t xml:space="preserve">    ── Core ──</t>
        </is>
      </c>
    </row>
    <row r="24" ht="13.5" customHeight="1" s="290">
      <c r="A24" s="395" t="n"/>
      <c r="B24" s="373" t="inlineStr">
        <is>
          <t xml:space="preserve">  Tier GCI — Core</t>
        </is>
      </c>
      <c r="C24" s="374" t="inlineStr">
        <is>
          <t>$K</t>
        </is>
      </c>
      <c r="D24" s="396" t="inlineStr">
        <is>
          <t xml:space="preserve"> (tier share) × Net Leasing GCI</t>
        </is>
      </c>
      <c r="E24" s="376">
        <f>IFERROR('05 Revenue Engine'!E26/'05 Revenue Engine'!E28*'05 Revenue Engine'!E41,0)</f>
        <v/>
      </c>
      <c r="F24" s="376">
        <f>IFERROR('05 Revenue Engine'!F26/'05 Revenue Engine'!F28*'05 Revenue Engine'!F41,0)</f>
        <v/>
      </c>
      <c r="G24" s="376">
        <f>IFERROR('05 Revenue Engine'!G26/'05 Revenue Engine'!G28*'05 Revenue Engine'!G41,0)</f>
        <v/>
      </c>
      <c r="H24" s="376">
        <f>IFERROR('05 Revenue Engine'!H26/'05 Revenue Engine'!H28*'05 Revenue Engine'!H41,0)</f>
        <v/>
      </c>
      <c r="I24" s="344">
        <f>SUM(E24:H24)</f>
        <v/>
      </c>
      <c r="J24" s="376">
        <f>IFERROR('05 Revenue Engine'!J26/'05 Revenue Engine'!J28*'05 Revenue Engine'!J41,0)</f>
        <v/>
      </c>
      <c r="K24" s="376">
        <f>IFERROR('05 Revenue Engine'!K26/'05 Revenue Engine'!K28*'05 Revenue Engine'!K41,0)</f>
        <v/>
      </c>
      <c r="L24" s="376">
        <f>IFERROR('05 Revenue Engine'!L26/'05 Revenue Engine'!L28*'05 Revenue Engine'!L41,0)</f>
        <v/>
      </c>
      <c r="M24" s="376">
        <f>IFERROR('05 Revenue Engine'!M26/'05 Revenue Engine'!M28*'05 Revenue Engine'!M41,0)</f>
        <v/>
      </c>
      <c r="N24" s="344">
        <f>SUM(J24:M24)</f>
        <v/>
      </c>
      <c r="O24" s="376">
        <f>IFERROR('05 Revenue Engine'!O26/'05 Revenue Engine'!O28*'05 Revenue Engine'!O41,0)</f>
        <v/>
      </c>
      <c r="P24" s="376">
        <f>IFERROR('05 Revenue Engine'!P26/'05 Revenue Engine'!P28*'05 Revenue Engine'!P41,0)</f>
        <v/>
      </c>
      <c r="Q24" s="376">
        <f>IFERROR('05 Revenue Engine'!Q26/'05 Revenue Engine'!Q28*'05 Revenue Engine'!Q41,0)</f>
        <v/>
      </c>
      <c r="R24" s="376">
        <f>IFERROR('05 Revenue Engine'!R26/'05 Revenue Engine'!R28*'05 Revenue Engine'!R41,0)</f>
        <v/>
      </c>
      <c r="S24" s="344">
        <f>SUM(O24:R24)</f>
        <v/>
      </c>
      <c r="T24" s="376">
        <f>IFERROR('05 Revenue Engine'!T26/'05 Revenue Engine'!T28*'05 Revenue Engine'!T41,0)</f>
        <v/>
      </c>
      <c r="U24" s="376">
        <f>IFERROR('05 Revenue Engine'!U26/'05 Revenue Engine'!U28*'05 Revenue Engine'!U41,0)</f>
        <v/>
      </c>
      <c r="V24" s="376">
        <f>IFERROR('05 Revenue Engine'!V26/'05 Revenue Engine'!V28*'05 Revenue Engine'!V41,0)</f>
        <v/>
      </c>
      <c r="W24" s="376">
        <f>IFERROR('05 Revenue Engine'!W26/'05 Revenue Engine'!W28*'05 Revenue Engine'!W41,0)</f>
        <v/>
      </c>
      <c r="X24" s="344">
        <f>SUM(T24:W24)</f>
        <v/>
      </c>
      <c r="Y24" s="376">
        <f>IFERROR('05 Revenue Engine'!Y26/'05 Revenue Engine'!Y28*'05 Revenue Engine'!Y41,0)</f>
        <v/>
      </c>
      <c r="Z24" s="376">
        <f>IFERROR('05 Revenue Engine'!Z26/'05 Revenue Engine'!Z28*'05 Revenue Engine'!Z41,0)</f>
        <v/>
      </c>
      <c r="AA24" s="376">
        <f>IFERROR('05 Revenue Engine'!AA26/'05 Revenue Engine'!AA28*'05 Revenue Engine'!AA41,0)</f>
        <v/>
      </c>
      <c r="AB24" s="376">
        <f>IFERROR('05 Revenue Engine'!AB26/'05 Revenue Engine'!AB28*'05 Revenue Engine'!AB41,0)</f>
        <v/>
      </c>
      <c r="AC24" s="344">
        <f>SUM(Y24:AB24)</f>
        <v/>
      </c>
      <c r="AD24" s="376">
        <f>IFERROR('05 Revenue Engine'!AD26/'05 Revenue Engine'!AD28*'05 Revenue Engine'!AD41,0)</f>
        <v/>
      </c>
      <c r="AE24" s="376">
        <f>IFERROR('05 Revenue Engine'!AE26/'05 Revenue Engine'!AE28*'05 Revenue Engine'!AE41,0)</f>
        <v/>
      </c>
      <c r="AF24" s="376">
        <f>IFERROR('05 Revenue Engine'!AF26/'05 Revenue Engine'!AF28*'05 Revenue Engine'!AF41,0)</f>
        <v/>
      </c>
      <c r="AG24" s="376">
        <f>IFERROR('05 Revenue Engine'!AG26/'05 Revenue Engine'!AG28*'05 Revenue Engine'!AG41,0)</f>
        <v/>
      </c>
      <c r="AH24" s="344">
        <f>SUM(AD24:AG24)</f>
        <v/>
      </c>
      <c r="AI24" s="376">
        <f>IFERROR('05 Revenue Engine'!AI26/'05 Revenue Engine'!AI28*'05 Revenue Engine'!AI41,0)</f>
        <v/>
      </c>
      <c r="AJ24" s="376">
        <f>IFERROR('05 Revenue Engine'!AJ26/'05 Revenue Engine'!AJ28*'05 Revenue Engine'!AJ41,0)</f>
        <v/>
      </c>
      <c r="AK24" s="376">
        <f>IFERROR('05 Revenue Engine'!AK26/'05 Revenue Engine'!AK28*'05 Revenue Engine'!AK41,0)</f>
        <v/>
      </c>
      <c r="AL24" s="376">
        <f>IFERROR('05 Revenue Engine'!AL26/'05 Revenue Engine'!AL28*'05 Revenue Engine'!AL41,0)</f>
        <v/>
      </c>
      <c r="AM24" s="344">
        <f>SUM(AI24:AL24)</f>
        <v/>
      </c>
      <c r="AN24" s="376">
        <f>IFERROR('05 Revenue Engine'!AN26/'05 Revenue Engine'!AN28*'05 Revenue Engine'!AN41,0)</f>
        <v/>
      </c>
      <c r="AO24" s="376">
        <f>IFERROR('05 Revenue Engine'!AO26/'05 Revenue Engine'!AO28*'05 Revenue Engine'!AO41,0)</f>
        <v/>
      </c>
      <c r="AP24" s="376">
        <f>IFERROR('05 Revenue Engine'!AP26/'05 Revenue Engine'!AP28*'05 Revenue Engine'!AP41,0)</f>
        <v/>
      </c>
      <c r="AQ24" s="376">
        <f>IFERROR('05 Revenue Engine'!AQ26/'05 Revenue Engine'!AQ28*'05 Revenue Engine'!AQ41,0)</f>
        <v/>
      </c>
      <c r="AR24" s="344">
        <f>SUM(AN24:AQ24)</f>
        <v/>
      </c>
    </row>
    <row r="25" ht="13.5" customHeight="1" s="290">
      <c r="A25" s="345" t="n"/>
      <c r="B25" s="370" t="inlineStr">
        <is>
          <t xml:space="preserve">  EPE — Core</t>
        </is>
      </c>
      <c r="C25" s="371" t="inlineStr">
        <is>
          <t>EPE</t>
        </is>
      </c>
      <c r="D25" s="394" t="inlineStr">
        <is>
          <t>← Tab 04 row 28</t>
        </is>
      </c>
      <c r="E25" s="361">
        <f>'04 Producer Engine'!E28</f>
        <v/>
      </c>
      <c r="F25" s="361">
        <f>'04 Producer Engine'!F28</f>
        <v/>
      </c>
      <c r="G25" s="361">
        <f>'04 Producer Engine'!G28</f>
        <v/>
      </c>
      <c r="H25" s="361">
        <f>'04 Producer Engine'!H28</f>
        <v/>
      </c>
      <c r="I25" s="361">
        <f>AVERAGE(E25:H25)</f>
        <v/>
      </c>
      <c r="J25" s="361">
        <f>'04 Producer Engine'!J28</f>
        <v/>
      </c>
      <c r="K25" s="361">
        <f>'04 Producer Engine'!K28</f>
        <v/>
      </c>
      <c r="L25" s="361">
        <f>'04 Producer Engine'!L28</f>
        <v/>
      </c>
      <c r="M25" s="361">
        <f>'04 Producer Engine'!M28</f>
        <v/>
      </c>
      <c r="N25" s="361">
        <f>AVERAGE(J25:M25)</f>
        <v/>
      </c>
      <c r="O25" s="361">
        <f>'04 Producer Engine'!O28</f>
        <v/>
      </c>
      <c r="P25" s="361">
        <f>'04 Producer Engine'!P28</f>
        <v/>
      </c>
      <c r="Q25" s="361">
        <f>'04 Producer Engine'!Q28</f>
        <v/>
      </c>
      <c r="R25" s="361">
        <f>'04 Producer Engine'!R28</f>
        <v/>
      </c>
      <c r="S25" s="361">
        <f>AVERAGE(O25:R25)</f>
        <v/>
      </c>
      <c r="T25" s="361">
        <f>'04 Producer Engine'!T28</f>
        <v/>
      </c>
      <c r="U25" s="361">
        <f>'04 Producer Engine'!U28</f>
        <v/>
      </c>
      <c r="V25" s="361">
        <f>'04 Producer Engine'!V28</f>
        <v/>
      </c>
      <c r="W25" s="361">
        <f>'04 Producer Engine'!W28</f>
        <v/>
      </c>
      <c r="X25" s="361">
        <f>AVERAGE(T25:W25)</f>
        <v/>
      </c>
      <c r="Y25" s="361">
        <f>'04 Producer Engine'!Y28</f>
        <v/>
      </c>
      <c r="Z25" s="361">
        <f>'04 Producer Engine'!Z28</f>
        <v/>
      </c>
      <c r="AA25" s="361">
        <f>'04 Producer Engine'!AA28</f>
        <v/>
      </c>
      <c r="AB25" s="361">
        <f>'04 Producer Engine'!AB28</f>
        <v/>
      </c>
      <c r="AC25" s="361">
        <f>AVERAGE(Y25:AB25)</f>
        <v/>
      </c>
      <c r="AD25" s="361">
        <f>'04 Producer Engine'!AD28</f>
        <v/>
      </c>
      <c r="AE25" s="361">
        <f>'04 Producer Engine'!AE28</f>
        <v/>
      </c>
      <c r="AF25" s="361">
        <f>'04 Producer Engine'!AF28</f>
        <v/>
      </c>
      <c r="AG25" s="361">
        <f>'04 Producer Engine'!AG28</f>
        <v/>
      </c>
      <c r="AH25" s="361">
        <f>AVERAGE(AD25:AG25)</f>
        <v/>
      </c>
      <c r="AI25" s="361">
        <f>'04 Producer Engine'!AI28</f>
        <v/>
      </c>
      <c r="AJ25" s="361">
        <f>'04 Producer Engine'!AJ28</f>
        <v/>
      </c>
      <c r="AK25" s="361">
        <f>'04 Producer Engine'!AK28</f>
        <v/>
      </c>
      <c r="AL25" s="361">
        <f>'04 Producer Engine'!AL28</f>
        <v/>
      </c>
      <c r="AM25" s="361">
        <f>AVERAGE(AI25:AL25)</f>
        <v/>
      </c>
      <c r="AN25" s="361">
        <f>'04 Producer Engine'!AN28</f>
        <v/>
      </c>
      <c r="AO25" s="361">
        <f>'04 Producer Engine'!AO28</f>
        <v/>
      </c>
      <c r="AP25" s="361">
        <f>'04 Producer Engine'!AP28</f>
        <v/>
      </c>
      <c r="AQ25" s="361">
        <f>'04 Producer Engine'!AQ28</f>
        <v/>
      </c>
      <c r="AR25" s="361">
        <f>AVERAGE(AN25:AQ25)</f>
        <v/>
      </c>
    </row>
    <row r="26" ht="13.5" customHeight="1" s="290">
      <c r="A26" s="395" t="n"/>
      <c r="B26" s="373" t="inlineStr">
        <is>
          <t xml:space="preserve">  GCI per EPE Annualized — Core</t>
        </is>
      </c>
      <c r="C26" s="374" t="inlineStr">
        <is>
          <t>$K/EPE/yr</t>
        </is>
      </c>
      <c r="D26" s="396" t="inlineStr">
        <is>
          <t xml:space="preserve"> (tier gci ÷ Tier EPE) × 4  [annualized for threshold comparison])</t>
        </is>
      </c>
      <c r="E26" s="376">
        <f>IFERROR(E24/E25*4,0)</f>
        <v/>
      </c>
      <c r="F26" s="376">
        <f>IFERROR(F24/F25*4,0)</f>
        <v/>
      </c>
      <c r="G26" s="376">
        <f>IFERROR(G24/G25*4,0)</f>
        <v/>
      </c>
      <c r="H26" s="376">
        <f>IFERROR(H24/H25*4,0)</f>
        <v/>
      </c>
      <c r="I26" s="344">
        <f>IFERROR(I24/I25,0)</f>
        <v/>
      </c>
      <c r="J26" s="376">
        <f>IFERROR(J24/J25*4,0)</f>
        <v/>
      </c>
      <c r="K26" s="376">
        <f>IFERROR(K24/K25*4,0)</f>
        <v/>
      </c>
      <c r="L26" s="376">
        <f>IFERROR(L24/L25*4,0)</f>
        <v/>
      </c>
      <c r="M26" s="376">
        <f>IFERROR(M24/M25*4,0)</f>
        <v/>
      </c>
      <c r="N26" s="344">
        <f>IFERROR(N24/N25,0)</f>
        <v/>
      </c>
      <c r="O26" s="376">
        <f>IFERROR(O24/O25*4,0)</f>
        <v/>
      </c>
      <c r="P26" s="376">
        <f>IFERROR(P24/P25*4,0)</f>
        <v/>
      </c>
      <c r="Q26" s="376">
        <f>IFERROR(Q24/Q25*4,0)</f>
        <v/>
      </c>
      <c r="R26" s="376">
        <f>IFERROR(R24/R25*4,0)</f>
        <v/>
      </c>
      <c r="S26" s="344">
        <f>IFERROR(S24/S25,0)</f>
        <v/>
      </c>
      <c r="T26" s="376">
        <f>IFERROR(T24/T25*4,0)</f>
        <v/>
      </c>
      <c r="U26" s="376">
        <f>IFERROR(U24/U25*4,0)</f>
        <v/>
      </c>
      <c r="V26" s="376">
        <f>IFERROR(V24/V25*4,0)</f>
        <v/>
      </c>
      <c r="W26" s="376">
        <f>IFERROR(W24/W25*4,0)</f>
        <v/>
      </c>
      <c r="X26" s="344">
        <f>IFERROR(X24/X25,0)</f>
        <v/>
      </c>
      <c r="Y26" s="376">
        <f>IFERROR(Y24/Y25*4,0)</f>
        <v/>
      </c>
      <c r="Z26" s="376">
        <f>IFERROR(Z24/Z25*4,0)</f>
        <v/>
      </c>
      <c r="AA26" s="376">
        <f>IFERROR(AA24/AA25*4,0)</f>
        <v/>
      </c>
      <c r="AB26" s="376">
        <f>IFERROR(AB24/AB25*4,0)</f>
        <v/>
      </c>
      <c r="AC26" s="344">
        <f>IFERROR(AC24/AC25,0)</f>
        <v/>
      </c>
      <c r="AD26" s="376">
        <f>IFERROR(AD24/AD25*4,0)</f>
        <v/>
      </c>
      <c r="AE26" s="376">
        <f>IFERROR(AE24/AE25*4,0)</f>
        <v/>
      </c>
      <c r="AF26" s="376">
        <f>IFERROR(AF24/AF25*4,0)</f>
        <v/>
      </c>
      <c r="AG26" s="376">
        <f>IFERROR(AG24/AG25*4,0)</f>
        <v/>
      </c>
      <c r="AH26" s="344">
        <f>IFERROR(AH24/AH25,0)</f>
        <v/>
      </c>
      <c r="AI26" s="376">
        <f>IFERROR(AI24/AI25*4,0)</f>
        <v/>
      </c>
      <c r="AJ26" s="376">
        <f>IFERROR(AJ24/AJ25*4,0)</f>
        <v/>
      </c>
      <c r="AK26" s="376">
        <f>IFERROR(AK24/AK25*4,0)</f>
        <v/>
      </c>
      <c r="AL26" s="376">
        <f>IFERROR(AL24/AL25*4,0)</f>
        <v/>
      </c>
      <c r="AM26" s="344">
        <f>IFERROR(AM24/AM25,0)</f>
        <v/>
      </c>
      <c r="AN26" s="376">
        <f>IFERROR(AN24/AN25*4,0)</f>
        <v/>
      </c>
      <c r="AO26" s="376">
        <f>IFERROR(AO24/AO25*4,0)</f>
        <v/>
      </c>
      <c r="AP26" s="376">
        <f>IFERROR(AP24/AP25*4,0)</f>
        <v/>
      </c>
      <c r="AQ26" s="376">
        <f>IFERROR(AQ24/AQ25*4,0)</f>
        <v/>
      </c>
      <c r="AR26" s="344">
        <f>IFERROR(AR24/AR25,0)</f>
        <v/>
      </c>
    </row>
    <row r="27" ht="13.5" customHeight="1" s="290">
      <c r="A27" s="345" t="n"/>
      <c r="B27" s="370" t="inlineStr">
        <is>
          <t xml:space="preserve">  Split Threshold 1 — Core</t>
        </is>
      </c>
      <c r="C27" s="371" t="inlineStr">
        <is>
          <t>$K GCI/yr</t>
        </is>
      </c>
      <c r="D27" s="394" t="inlineStr">
        <is>
          <t>← Tab 03 row 253 col E</t>
        </is>
      </c>
      <c r="E27" s="361">
        <f>'03 Operational Assumptions'!E253</f>
        <v/>
      </c>
      <c r="F27" s="361">
        <f>'03 Operational Assumptions'!E253</f>
        <v/>
      </c>
      <c r="G27" s="361">
        <f>'03 Operational Assumptions'!E253</f>
        <v/>
      </c>
      <c r="H27" s="361">
        <f>'03 Operational Assumptions'!E253</f>
        <v/>
      </c>
      <c r="I27" s="361">
        <f>'03 Operational Assumptions'!E253</f>
        <v/>
      </c>
      <c r="J27" s="361">
        <f>'03 Operational Assumptions'!E253</f>
        <v/>
      </c>
      <c r="K27" s="361">
        <f>'03 Operational Assumptions'!E253</f>
        <v/>
      </c>
      <c r="L27" s="361">
        <f>'03 Operational Assumptions'!E253</f>
        <v/>
      </c>
      <c r="M27" s="361">
        <f>'03 Operational Assumptions'!E253</f>
        <v/>
      </c>
      <c r="N27" s="361">
        <f>'03 Operational Assumptions'!E253</f>
        <v/>
      </c>
      <c r="O27" s="361">
        <f>'03 Operational Assumptions'!E253</f>
        <v/>
      </c>
      <c r="P27" s="361">
        <f>'03 Operational Assumptions'!E253</f>
        <v/>
      </c>
      <c r="Q27" s="361">
        <f>'03 Operational Assumptions'!E253</f>
        <v/>
      </c>
      <c r="R27" s="361">
        <f>'03 Operational Assumptions'!E253</f>
        <v/>
      </c>
      <c r="S27" s="361">
        <f>'03 Operational Assumptions'!E253</f>
        <v/>
      </c>
      <c r="T27" s="361">
        <f>'03 Operational Assumptions'!E253</f>
        <v/>
      </c>
      <c r="U27" s="361">
        <f>'03 Operational Assumptions'!E253</f>
        <v/>
      </c>
      <c r="V27" s="361">
        <f>'03 Operational Assumptions'!E253</f>
        <v/>
      </c>
      <c r="W27" s="361">
        <f>'03 Operational Assumptions'!E253</f>
        <v/>
      </c>
      <c r="X27" s="361">
        <f>'03 Operational Assumptions'!E253</f>
        <v/>
      </c>
      <c r="Y27" s="361">
        <f>'03 Operational Assumptions'!E253</f>
        <v/>
      </c>
      <c r="Z27" s="361">
        <f>'03 Operational Assumptions'!E253</f>
        <v/>
      </c>
      <c r="AA27" s="361">
        <f>'03 Operational Assumptions'!E253</f>
        <v/>
      </c>
      <c r="AB27" s="361">
        <f>'03 Operational Assumptions'!E253</f>
        <v/>
      </c>
      <c r="AC27" s="361">
        <f>'03 Operational Assumptions'!E253</f>
        <v/>
      </c>
      <c r="AD27" s="361">
        <f>'03 Operational Assumptions'!E253</f>
        <v/>
      </c>
      <c r="AE27" s="361">
        <f>'03 Operational Assumptions'!E253</f>
        <v/>
      </c>
      <c r="AF27" s="361">
        <f>'03 Operational Assumptions'!E253</f>
        <v/>
      </c>
      <c r="AG27" s="361">
        <f>'03 Operational Assumptions'!E253</f>
        <v/>
      </c>
      <c r="AH27" s="361">
        <f>'03 Operational Assumptions'!E253</f>
        <v/>
      </c>
      <c r="AI27" s="361">
        <f>'03 Operational Assumptions'!E253</f>
        <v/>
      </c>
      <c r="AJ27" s="361">
        <f>'03 Operational Assumptions'!E253</f>
        <v/>
      </c>
      <c r="AK27" s="361">
        <f>'03 Operational Assumptions'!E253</f>
        <v/>
      </c>
      <c r="AL27" s="361">
        <f>'03 Operational Assumptions'!E253</f>
        <v/>
      </c>
      <c r="AM27" s="361">
        <f>'03 Operational Assumptions'!E253</f>
        <v/>
      </c>
      <c r="AN27" s="361">
        <f>'03 Operational Assumptions'!E253</f>
        <v/>
      </c>
      <c r="AO27" s="361">
        <f>'03 Operational Assumptions'!E253</f>
        <v/>
      </c>
      <c r="AP27" s="361">
        <f>'03 Operational Assumptions'!E253</f>
        <v/>
      </c>
      <c r="AQ27" s="361">
        <f>'03 Operational Assumptions'!E253</f>
        <v/>
      </c>
      <c r="AR27" s="361">
        <f>'03 Operational Assumptions'!E253</f>
        <v/>
      </c>
    </row>
    <row r="28" ht="13.5" customHeight="1" s="290">
      <c r="A28" s="345" t="n"/>
      <c r="B28" s="370" t="inlineStr">
        <is>
          <t xml:space="preserve">  Split % at T1 (S1) — Core</t>
        </is>
      </c>
      <c r="C28" s="371" t="inlineStr">
        <is>
          <t>%</t>
        </is>
      </c>
      <c r="D28" s="394" t="inlineStr">
        <is>
          <t>← Tab 03 row 253 col F</t>
        </is>
      </c>
      <c r="E28" s="361">
        <f>'03 Operational Assumptions'!F253</f>
        <v/>
      </c>
      <c r="F28" s="361">
        <f>'03 Operational Assumptions'!F253</f>
        <v/>
      </c>
      <c r="G28" s="361">
        <f>'03 Operational Assumptions'!F253</f>
        <v/>
      </c>
      <c r="H28" s="361">
        <f>'03 Operational Assumptions'!F253</f>
        <v/>
      </c>
      <c r="I28" s="361">
        <f>'03 Operational Assumptions'!F253</f>
        <v/>
      </c>
      <c r="J28" s="361">
        <f>'03 Operational Assumptions'!F253</f>
        <v/>
      </c>
      <c r="K28" s="361">
        <f>'03 Operational Assumptions'!F253</f>
        <v/>
      </c>
      <c r="L28" s="361">
        <f>'03 Operational Assumptions'!F253</f>
        <v/>
      </c>
      <c r="M28" s="361">
        <f>'03 Operational Assumptions'!F253</f>
        <v/>
      </c>
      <c r="N28" s="361">
        <f>'03 Operational Assumptions'!F253</f>
        <v/>
      </c>
      <c r="O28" s="361">
        <f>'03 Operational Assumptions'!F253</f>
        <v/>
      </c>
      <c r="P28" s="361">
        <f>'03 Operational Assumptions'!F253</f>
        <v/>
      </c>
      <c r="Q28" s="361">
        <f>'03 Operational Assumptions'!F253</f>
        <v/>
      </c>
      <c r="R28" s="361">
        <f>'03 Operational Assumptions'!F253</f>
        <v/>
      </c>
      <c r="S28" s="361">
        <f>'03 Operational Assumptions'!F253</f>
        <v/>
      </c>
      <c r="T28" s="361">
        <f>'03 Operational Assumptions'!F253</f>
        <v/>
      </c>
      <c r="U28" s="361">
        <f>'03 Operational Assumptions'!F253</f>
        <v/>
      </c>
      <c r="V28" s="361">
        <f>'03 Operational Assumptions'!F253</f>
        <v/>
      </c>
      <c r="W28" s="361">
        <f>'03 Operational Assumptions'!F253</f>
        <v/>
      </c>
      <c r="X28" s="361">
        <f>'03 Operational Assumptions'!F253</f>
        <v/>
      </c>
      <c r="Y28" s="361">
        <f>'03 Operational Assumptions'!F253</f>
        <v/>
      </c>
      <c r="Z28" s="361">
        <f>'03 Operational Assumptions'!F253</f>
        <v/>
      </c>
      <c r="AA28" s="361">
        <f>'03 Operational Assumptions'!F253</f>
        <v/>
      </c>
      <c r="AB28" s="361">
        <f>'03 Operational Assumptions'!F253</f>
        <v/>
      </c>
      <c r="AC28" s="361">
        <f>'03 Operational Assumptions'!F253</f>
        <v/>
      </c>
      <c r="AD28" s="361">
        <f>'03 Operational Assumptions'!F253</f>
        <v/>
      </c>
      <c r="AE28" s="361">
        <f>'03 Operational Assumptions'!F253</f>
        <v/>
      </c>
      <c r="AF28" s="361">
        <f>'03 Operational Assumptions'!F253</f>
        <v/>
      </c>
      <c r="AG28" s="361">
        <f>'03 Operational Assumptions'!F253</f>
        <v/>
      </c>
      <c r="AH28" s="361">
        <f>'03 Operational Assumptions'!F253</f>
        <v/>
      </c>
      <c r="AI28" s="361">
        <f>'03 Operational Assumptions'!F253</f>
        <v/>
      </c>
      <c r="AJ28" s="361">
        <f>'03 Operational Assumptions'!F253</f>
        <v/>
      </c>
      <c r="AK28" s="361">
        <f>'03 Operational Assumptions'!F253</f>
        <v/>
      </c>
      <c r="AL28" s="361">
        <f>'03 Operational Assumptions'!F253</f>
        <v/>
      </c>
      <c r="AM28" s="361">
        <f>'03 Operational Assumptions'!F253</f>
        <v/>
      </c>
      <c r="AN28" s="361">
        <f>'03 Operational Assumptions'!F253</f>
        <v/>
      </c>
      <c r="AO28" s="361">
        <f>'03 Operational Assumptions'!F253</f>
        <v/>
      </c>
      <c r="AP28" s="361">
        <f>'03 Operational Assumptions'!F253</f>
        <v/>
      </c>
      <c r="AQ28" s="361">
        <f>'03 Operational Assumptions'!F253</f>
        <v/>
      </c>
      <c r="AR28" s="361">
        <f>'03 Operational Assumptions'!F253</f>
        <v/>
      </c>
    </row>
    <row r="29" ht="13.5" customHeight="1" s="290">
      <c r="A29" s="345" t="n"/>
      <c r="B29" s="370" t="inlineStr">
        <is>
          <t xml:space="preserve">  Split Threshold 2 — Core</t>
        </is>
      </c>
      <c r="C29" s="371" t="inlineStr">
        <is>
          <t>$K GCI/yr</t>
        </is>
      </c>
      <c r="D29" s="394" t="inlineStr">
        <is>
          <t>← Tab 03 row 253 col G</t>
        </is>
      </c>
      <c r="E29" s="361">
        <f>'03 Operational Assumptions'!G253</f>
        <v/>
      </c>
      <c r="F29" s="361">
        <f>'03 Operational Assumptions'!G253</f>
        <v/>
      </c>
      <c r="G29" s="361">
        <f>'03 Operational Assumptions'!G253</f>
        <v/>
      </c>
      <c r="H29" s="361">
        <f>'03 Operational Assumptions'!G253</f>
        <v/>
      </c>
      <c r="I29" s="361">
        <f>'03 Operational Assumptions'!G253</f>
        <v/>
      </c>
      <c r="J29" s="361">
        <f>'03 Operational Assumptions'!G253</f>
        <v/>
      </c>
      <c r="K29" s="361">
        <f>'03 Operational Assumptions'!G253</f>
        <v/>
      </c>
      <c r="L29" s="361">
        <f>'03 Operational Assumptions'!G253</f>
        <v/>
      </c>
      <c r="M29" s="361">
        <f>'03 Operational Assumptions'!G253</f>
        <v/>
      </c>
      <c r="N29" s="361">
        <f>'03 Operational Assumptions'!G253</f>
        <v/>
      </c>
      <c r="O29" s="361">
        <f>'03 Operational Assumptions'!G253</f>
        <v/>
      </c>
      <c r="P29" s="361">
        <f>'03 Operational Assumptions'!G253</f>
        <v/>
      </c>
      <c r="Q29" s="361">
        <f>'03 Operational Assumptions'!G253</f>
        <v/>
      </c>
      <c r="R29" s="361">
        <f>'03 Operational Assumptions'!G253</f>
        <v/>
      </c>
      <c r="S29" s="361">
        <f>'03 Operational Assumptions'!G253</f>
        <v/>
      </c>
      <c r="T29" s="361">
        <f>'03 Operational Assumptions'!G253</f>
        <v/>
      </c>
      <c r="U29" s="361">
        <f>'03 Operational Assumptions'!G253</f>
        <v/>
      </c>
      <c r="V29" s="361">
        <f>'03 Operational Assumptions'!G253</f>
        <v/>
      </c>
      <c r="W29" s="361">
        <f>'03 Operational Assumptions'!G253</f>
        <v/>
      </c>
      <c r="X29" s="361">
        <f>'03 Operational Assumptions'!G253</f>
        <v/>
      </c>
      <c r="Y29" s="361">
        <f>'03 Operational Assumptions'!G253</f>
        <v/>
      </c>
      <c r="Z29" s="361">
        <f>'03 Operational Assumptions'!G253</f>
        <v/>
      </c>
      <c r="AA29" s="361">
        <f>'03 Operational Assumptions'!G253</f>
        <v/>
      </c>
      <c r="AB29" s="361">
        <f>'03 Operational Assumptions'!G253</f>
        <v/>
      </c>
      <c r="AC29" s="361">
        <f>'03 Operational Assumptions'!G253</f>
        <v/>
      </c>
      <c r="AD29" s="361">
        <f>'03 Operational Assumptions'!G253</f>
        <v/>
      </c>
      <c r="AE29" s="361">
        <f>'03 Operational Assumptions'!G253</f>
        <v/>
      </c>
      <c r="AF29" s="361">
        <f>'03 Operational Assumptions'!G253</f>
        <v/>
      </c>
      <c r="AG29" s="361">
        <f>'03 Operational Assumptions'!G253</f>
        <v/>
      </c>
      <c r="AH29" s="361">
        <f>'03 Operational Assumptions'!G253</f>
        <v/>
      </c>
      <c r="AI29" s="361">
        <f>'03 Operational Assumptions'!G253</f>
        <v/>
      </c>
      <c r="AJ29" s="361">
        <f>'03 Operational Assumptions'!G253</f>
        <v/>
      </c>
      <c r="AK29" s="361">
        <f>'03 Operational Assumptions'!G253</f>
        <v/>
      </c>
      <c r="AL29" s="361">
        <f>'03 Operational Assumptions'!G253</f>
        <v/>
      </c>
      <c r="AM29" s="361">
        <f>'03 Operational Assumptions'!G253</f>
        <v/>
      </c>
      <c r="AN29" s="361">
        <f>'03 Operational Assumptions'!G253</f>
        <v/>
      </c>
      <c r="AO29" s="361">
        <f>'03 Operational Assumptions'!G253</f>
        <v/>
      </c>
      <c r="AP29" s="361">
        <f>'03 Operational Assumptions'!G253</f>
        <v/>
      </c>
      <c r="AQ29" s="361">
        <f>'03 Operational Assumptions'!G253</f>
        <v/>
      </c>
      <c r="AR29" s="361">
        <f>'03 Operational Assumptions'!G253</f>
        <v/>
      </c>
    </row>
    <row r="30" ht="13.5" customHeight="1" s="290">
      <c r="A30" s="345" t="n"/>
      <c r="B30" s="370" t="inlineStr">
        <is>
          <t xml:space="preserve">  Split % at T2 (S2) — Core</t>
        </is>
      </c>
      <c r="C30" s="371" t="inlineStr">
        <is>
          <t>%</t>
        </is>
      </c>
      <c r="D30" s="394" t="inlineStr">
        <is>
          <t>← Tab 03 row 253 col H</t>
        </is>
      </c>
      <c r="E30" s="361">
        <f>'03 Operational Assumptions'!H253</f>
        <v/>
      </c>
      <c r="F30" s="361">
        <f>'03 Operational Assumptions'!H253</f>
        <v/>
      </c>
      <c r="G30" s="361">
        <f>'03 Operational Assumptions'!H253</f>
        <v/>
      </c>
      <c r="H30" s="361">
        <f>'03 Operational Assumptions'!H253</f>
        <v/>
      </c>
      <c r="I30" s="361">
        <f>'03 Operational Assumptions'!H253</f>
        <v/>
      </c>
      <c r="J30" s="361">
        <f>'03 Operational Assumptions'!H253</f>
        <v/>
      </c>
      <c r="K30" s="361">
        <f>'03 Operational Assumptions'!H253</f>
        <v/>
      </c>
      <c r="L30" s="361">
        <f>'03 Operational Assumptions'!H253</f>
        <v/>
      </c>
      <c r="M30" s="361">
        <f>'03 Operational Assumptions'!H253</f>
        <v/>
      </c>
      <c r="N30" s="361">
        <f>'03 Operational Assumptions'!H253</f>
        <v/>
      </c>
      <c r="O30" s="361">
        <f>'03 Operational Assumptions'!H253</f>
        <v/>
      </c>
      <c r="P30" s="361">
        <f>'03 Operational Assumptions'!H253</f>
        <v/>
      </c>
      <c r="Q30" s="361">
        <f>'03 Operational Assumptions'!H253</f>
        <v/>
      </c>
      <c r="R30" s="361">
        <f>'03 Operational Assumptions'!H253</f>
        <v/>
      </c>
      <c r="S30" s="361">
        <f>'03 Operational Assumptions'!H253</f>
        <v/>
      </c>
      <c r="T30" s="361">
        <f>'03 Operational Assumptions'!H253</f>
        <v/>
      </c>
      <c r="U30" s="361">
        <f>'03 Operational Assumptions'!H253</f>
        <v/>
      </c>
      <c r="V30" s="361">
        <f>'03 Operational Assumptions'!H253</f>
        <v/>
      </c>
      <c r="W30" s="361">
        <f>'03 Operational Assumptions'!H253</f>
        <v/>
      </c>
      <c r="X30" s="361">
        <f>'03 Operational Assumptions'!H253</f>
        <v/>
      </c>
      <c r="Y30" s="361">
        <f>'03 Operational Assumptions'!H253</f>
        <v/>
      </c>
      <c r="Z30" s="361">
        <f>'03 Operational Assumptions'!H253</f>
        <v/>
      </c>
      <c r="AA30" s="361">
        <f>'03 Operational Assumptions'!H253</f>
        <v/>
      </c>
      <c r="AB30" s="361">
        <f>'03 Operational Assumptions'!H253</f>
        <v/>
      </c>
      <c r="AC30" s="361">
        <f>'03 Operational Assumptions'!H253</f>
        <v/>
      </c>
      <c r="AD30" s="361">
        <f>'03 Operational Assumptions'!H253</f>
        <v/>
      </c>
      <c r="AE30" s="361">
        <f>'03 Operational Assumptions'!H253</f>
        <v/>
      </c>
      <c r="AF30" s="361">
        <f>'03 Operational Assumptions'!H253</f>
        <v/>
      </c>
      <c r="AG30" s="361">
        <f>'03 Operational Assumptions'!H253</f>
        <v/>
      </c>
      <c r="AH30" s="361">
        <f>'03 Operational Assumptions'!H253</f>
        <v/>
      </c>
      <c r="AI30" s="361">
        <f>'03 Operational Assumptions'!H253</f>
        <v/>
      </c>
      <c r="AJ30" s="361">
        <f>'03 Operational Assumptions'!H253</f>
        <v/>
      </c>
      <c r="AK30" s="361">
        <f>'03 Operational Assumptions'!H253</f>
        <v/>
      </c>
      <c r="AL30" s="361">
        <f>'03 Operational Assumptions'!H253</f>
        <v/>
      </c>
      <c r="AM30" s="361">
        <f>'03 Operational Assumptions'!H253</f>
        <v/>
      </c>
      <c r="AN30" s="361">
        <f>'03 Operational Assumptions'!H253</f>
        <v/>
      </c>
      <c r="AO30" s="361">
        <f>'03 Operational Assumptions'!H253</f>
        <v/>
      </c>
      <c r="AP30" s="361">
        <f>'03 Operational Assumptions'!H253</f>
        <v/>
      </c>
      <c r="AQ30" s="361">
        <f>'03 Operational Assumptions'!H253</f>
        <v/>
      </c>
      <c r="AR30" s="361">
        <f>'03 Operational Assumptions'!H253</f>
        <v/>
      </c>
    </row>
    <row r="31" ht="13.5" customHeight="1" s="290">
      <c r="A31" s="345" t="n"/>
      <c r="B31" s="370" t="inlineStr">
        <is>
          <t xml:space="preserve">  Split % Above T2 (S3) — Core</t>
        </is>
      </c>
      <c r="C31" s="371" t="inlineStr">
        <is>
          <t>%</t>
        </is>
      </c>
      <c r="D31" s="394" t="inlineStr">
        <is>
          <t>← Tab 03 row 253 col J</t>
        </is>
      </c>
      <c r="E31" s="361">
        <f>'03 Operational Assumptions'!J253</f>
        <v/>
      </c>
      <c r="F31" s="361">
        <f>'03 Operational Assumptions'!J253</f>
        <v/>
      </c>
      <c r="G31" s="361">
        <f>'03 Operational Assumptions'!J253</f>
        <v/>
      </c>
      <c r="H31" s="361">
        <f>'03 Operational Assumptions'!J253</f>
        <v/>
      </c>
      <c r="I31" s="361">
        <f>'03 Operational Assumptions'!J253</f>
        <v/>
      </c>
      <c r="J31" s="361">
        <f>'03 Operational Assumptions'!J253</f>
        <v/>
      </c>
      <c r="K31" s="361">
        <f>'03 Operational Assumptions'!J253</f>
        <v/>
      </c>
      <c r="L31" s="361">
        <f>'03 Operational Assumptions'!J253</f>
        <v/>
      </c>
      <c r="M31" s="361">
        <f>'03 Operational Assumptions'!J253</f>
        <v/>
      </c>
      <c r="N31" s="361">
        <f>'03 Operational Assumptions'!J253</f>
        <v/>
      </c>
      <c r="O31" s="361">
        <f>'03 Operational Assumptions'!J253</f>
        <v/>
      </c>
      <c r="P31" s="361">
        <f>'03 Operational Assumptions'!J253</f>
        <v/>
      </c>
      <c r="Q31" s="361">
        <f>'03 Operational Assumptions'!J253</f>
        <v/>
      </c>
      <c r="R31" s="361">
        <f>'03 Operational Assumptions'!J253</f>
        <v/>
      </c>
      <c r="S31" s="361">
        <f>'03 Operational Assumptions'!J253</f>
        <v/>
      </c>
      <c r="T31" s="361">
        <f>'03 Operational Assumptions'!J253</f>
        <v/>
      </c>
      <c r="U31" s="361">
        <f>'03 Operational Assumptions'!J253</f>
        <v/>
      </c>
      <c r="V31" s="361">
        <f>'03 Operational Assumptions'!J253</f>
        <v/>
      </c>
      <c r="W31" s="361">
        <f>'03 Operational Assumptions'!J253</f>
        <v/>
      </c>
      <c r="X31" s="361">
        <f>'03 Operational Assumptions'!J253</f>
        <v/>
      </c>
      <c r="Y31" s="361">
        <f>'03 Operational Assumptions'!J253</f>
        <v/>
      </c>
      <c r="Z31" s="361">
        <f>'03 Operational Assumptions'!J253</f>
        <v/>
      </c>
      <c r="AA31" s="361">
        <f>'03 Operational Assumptions'!J253</f>
        <v/>
      </c>
      <c r="AB31" s="361">
        <f>'03 Operational Assumptions'!J253</f>
        <v/>
      </c>
      <c r="AC31" s="361">
        <f>'03 Operational Assumptions'!J253</f>
        <v/>
      </c>
      <c r="AD31" s="361">
        <f>'03 Operational Assumptions'!J253</f>
        <v/>
      </c>
      <c r="AE31" s="361">
        <f>'03 Operational Assumptions'!J253</f>
        <v/>
      </c>
      <c r="AF31" s="361">
        <f>'03 Operational Assumptions'!J253</f>
        <v/>
      </c>
      <c r="AG31" s="361">
        <f>'03 Operational Assumptions'!J253</f>
        <v/>
      </c>
      <c r="AH31" s="361">
        <f>'03 Operational Assumptions'!J253</f>
        <v/>
      </c>
      <c r="AI31" s="361">
        <f>'03 Operational Assumptions'!J253</f>
        <v/>
      </c>
      <c r="AJ31" s="361">
        <f>'03 Operational Assumptions'!J253</f>
        <v/>
      </c>
      <c r="AK31" s="361">
        <f>'03 Operational Assumptions'!J253</f>
        <v/>
      </c>
      <c r="AL31" s="361">
        <f>'03 Operational Assumptions'!J253</f>
        <v/>
      </c>
      <c r="AM31" s="361">
        <f>'03 Operational Assumptions'!J253</f>
        <v/>
      </c>
      <c r="AN31" s="361">
        <f>'03 Operational Assumptions'!J253</f>
        <v/>
      </c>
      <c r="AO31" s="361">
        <f>'03 Operational Assumptions'!J253</f>
        <v/>
      </c>
      <c r="AP31" s="361">
        <f>'03 Operational Assumptions'!J253</f>
        <v/>
      </c>
      <c r="AQ31" s="361">
        <f>'03 Operational Assumptions'!J253</f>
        <v/>
      </c>
      <c r="AR31" s="361">
        <f>'03 Operational Assumptions'!J253</f>
        <v/>
      </c>
    </row>
    <row r="32" ht="13.5" customHeight="1" s="290">
      <c r="A32" s="395" t="n"/>
      <c r="B32" s="373" t="inlineStr">
        <is>
          <t xml:space="preserve">  Applied Split % — Core</t>
        </is>
      </c>
      <c r="C32" s="374" t="inlineStr">
        <is>
          <t>%</t>
        </is>
      </c>
      <c r="D32" s="396" t="inlineStr">
        <is>
          <t xml:space="preserve"> IF(gci/epe≤T1→S1, IF(≤T2→S2, S3)),TRUE())</t>
        </is>
      </c>
      <c r="E32" s="376">
        <f>IF(E26&lt;=E27,E28,IF(E26&lt;=E29,E30,E31))</f>
        <v/>
      </c>
      <c r="F32" s="376">
        <f>IF(F26&lt;=F27,F28,IF(F26&lt;=F29,F30,F31))</f>
        <v/>
      </c>
      <c r="G32" s="376">
        <f>IF(G26&lt;=G27,G28,IF(G26&lt;=G29,G30,G31))</f>
        <v/>
      </c>
      <c r="H32" s="376">
        <f>IF(H26&lt;=H27,H28,IF(H26&lt;=H29,H30,H31))</f>
        <v/>
      </c>
      <c r="I32" s="344">
        <f>IF(I26&lt;=I27,I28,IF(I26&lt;=I29,I30,I31))</f>
        <v/>
      </c>
      <c r="J32" s="376">
        <f>IF(J26&lt;=J27,J28,IF(J26&lt;=J29,J30,J31))</f>
        <v/>
      </c>
      <c r="K32" s="376">
        <f>IF(K26&lt;=K27,K28,IF(K26&lt;=K29,K30,K31))</f>
        <v/>
      </c>
      <c r="L32" s="376">
        <f>IF(L26&lt;=L27,L28,IF(L26&lt;=L29,L30,L31))</f>
        <v/>
      </c>
      <c r="M32" s="376">
        <f>IF(M26&lt;=M27,M28,IF(M26&lt;=M29,M30,M31))</f>
        <v/>
      </c>
      <c r="N32" s="344">
        <f>IF(N26&lt;=N27,N28,IF(N26&lt;=N29,N30,N31))</f>
        <v/>
      </c>
      <c r="O32" s="376">
        <f>IF(O26&lt;=O27,O28,IF(O26&lt;=O29,O30,O31))</f>
        <v/>
      </c>
      <c r="P32" s="376">
        <f>IF(P26&lt;=P27,P28,IF(P26&lt;=P29,P30,P31))</f>
        <v/>
      </c>
      <c r="Q32" s="376">
        <f>IF(Q26&lt;=Q27,Q28,IF(Q26&lt;=Q29,Q30,Q31))</f>
        <v/>
      </c>
      <c r="R32" s="376">
        <f>IF(R26&lt;=R27,R28,IF(R26&lt;=R29,R30,R31))</f>
        <v/>
      </c>
      <c r="S32" s="344">
        <f>IF(S26&lt;=S27,S28,IF(S26&lt;=S29,S30,S31))</f>
        <v/>
      </c>
      <c r="T32" s="376">
        <f>IF(T26&lt;=T27,T28,IF(T26&lt;=T29,T30,T31))</f>
        <v/>
      </c>
      <c r="U32" s="376">
        <f>IF(U26&lt;=U27,U28,IF(U26&lt;=U29,U30,U31))</f>
        <v/>
      </c>
      <c r="V32" s="376">
        <f>IF(V26&lt;=V27,V28,IF(V26&lt;=V29,V30,V31))</f>
        <v/>
      </c>
      <c r="W32" s="376">
        <f>IF(W26&lt;=W27,W28,IF(W26&lt;=W29,W30,W31))</f>
        <v/>
      </c>
      <c r="X32" s="344">
        <f>IF(X26&lt;=X27,X28,IF(X26&lt;=X29,X30,X31))</f>
        <v/>
      </c>
      <c r="Y32" s="376">
        <f>IF(Y26&lt;=Y27,Y28,IF(Y26&lt;=Y29,Y30,Y31))</f>
        <v/>
      </c>
      <c r="Z32" s="376">
        <f>IF(Z26&lt;=Z27,Z28,IF(Z26&lt;=Z29,Z30,Z31))</f>
        <v/>
      </c>
      <c r="AA32" s="376">
        <f>IF(AA26&lt;=AA27,AA28,IF(AA26&lt;=AA29,AA30,AA31))</f>
        <v/>
      </c>
      <c r="AB32" s="376">
        <f>IF(AB26&lt;=AB27,AB28,IF(AB26&lt;=AB29,AB30,AB31))</f>
        <v/>
      </c>
      <c r="AC32" s="344">
        <f>IF(AC26&lt;=AC27,AC28,IF(AC26&lt;=AC29,AC30,AC31))</f>
        <v/>
      </c>
      <c r="AD32" s="376">
        <f>IF(AD26&lt;=AD27,AD28,IF(AD26&lt;=AD29,AD30,AD31))</f>
        <v/>
      </c>
      <c r="AE32" s="376">
        <f>IF(AE26&lt;=AE27,AE28,IF(AE26&lt;=AE29,AE30,AE31))</f>
        <v/>
      </c>
      <c r="AF32" s="376">
        <f>IF(AF26&lt;=AF27,AF28,IF(AF26&lt;=AF29,AF30,AF31))</f>
        <v/>
      </c>
      <c r="AG32" s="376">
        <f>IF(AG26&lt;=AG27,AG28,IF(AG26&lt;=AG29,AG30,AG31))</f>
        <v/>
      </c>
      <c r="AH32" s="344">
        <f>IF(AH26&lt;=AH27,AH28,IF(AH26&lt;=AH29,AH30,AH31))</f>
        <v/>
      </c>
      <c r="AI32" s="376">
        <f>IF(AI26&lt;=AI27,AI28,IF(AI26&lt;=AI29,AI30,AI31))</f>
        <v/>
      </c>
      <c r="AJ32" s="376">
        <f>IF(AJ26&lt;=AJ27,AJ28,IF(AJ26&lt;=AJ29,AJ30,AJ31))</f>
        <v/>
      </c>
      <c r="AK32" s="376">
        <f>IF(AK26&lt;=AK27,AK28,IF(AK26&lt;=AK29,AK30,AK31))</f>
        <v/>
      </c>
      <c r="AL32" s="376">
        <f>IF(AL26&lt;=AL27,AL28,IF(AL26&lt;=AL29,AL30,AL31))</f>
        <v/>
      </c>
      <c r="AM32" s="344">
        <f>IF(AM26&lt;=AM27,AM28,IF(AM26&lt;=AM29,AM30,AM31))</f>
        <v/>
      </c>
      <c r="AN32" s="376">
        <f>IF(AN26&lt;=AN27,AN28,IF(AN26&lt;=AN29,AN30,AN31))</f>
        <v/>
      </c>
      <c r="AO32" s="376">
        <f>IF(AO26&lt;=AO27,AO28,IF(AO26&lt;=AO29,AO30,AO31))</f>
        <v/>
      </c>
      <c r="AP32" s="376">
        <f>IF(AP26&lt;=AP27,AP28,IF(AP26&lt;=AP29,AP30,AP31))</f>
        <v/>
      </c>
      <c r="AQ32" s="376">
        <f>IF(AQ26&lt;=AQ27,AQ28,IF(AQ26&lt;=AQ29,AQ30,AQ31))</f>
        <v/>
      </c>
      <c r="AR32" s="344">
        <f>IF(AR26&lt;=AR27,AR28,IF(AR26&lt;=AR29,AR30,AR31))</f>
        <v/>
      </c>
    </row>
    <row r="33" ht="13.5" customHeight="1" s="290">
      <c r="A33" s="395" t="n"/>
      <c r="B33" s="402" t="inlineStr">
        <is>
          <t xml:space="preserve">  ★ Producer Payout — Core</t>
        </is>
      </c>
      <c r="C33" s="374" t="inlineStr">
        <is>
          <t>$K</t>
        </is>
      </c>
      <c r="D33" s="396" t="inlineStr">
        <is>
          <t xml:space="preserve"> tier gci × Applied Split %</t>
        </is>
      </c>
      <c r="E33" s="403">
        <f>E24*E32</f>
        <v/>
      </c>
      <c r="F33" s="403">
        <f>F24*F32</f>
        <v/>
      </c>
      <c r="G33" s="403">
        <f>G24*G32</f>
        <v/>
      </c>
      <c r="H33" s="403">
        <f>H24*H32</f>
        <v/>
      </c>
      <c r="I33" s="387">
        <f>SUM(E33:H33)</f>
        <v/>
      </c>
      <c r="J33" s="403">
        <f>J24*J32</f>
        <v/>
      </c>
      <c r="K33" s="403">
        <f>K24*K32</f>
        <v/>
      </c>
      <c r="L33" s="403">
        <f>L24*L32</f>
        <v/>
      </c>
      <c r="M33" s="403">
        <f>M24*M32</f>
        <v/>
      </c>
      <c r="N33" s="387">
        <f>SUM(J33:M33)</f>
        <v/>
      </c>
      <c r="O33" s="403">
        <f>O24*O32</f>
        <v/>
      </c>
      <c r="P33" s="403">
        <f>P24*P32</f>
        <v/>
      </c>
      <c r="Q33" s="403">
        <f>Q24*Q32</f>
        <v/>
      </c>
      <c r="R33" s="403">
        <f>R24*R32</f>
        <v/>
      </c>
      <c r="S33" s="387">
        <f>SUM(O33:R33)</f>
        <v/>
      </c>
      <c r="T33" s="403">
        <f>T24*T32</f>
        <v/>
      </c>
      <c r="U33" s="403">
        <f>U24*U32</f>
        <v/>
      </c>
      <c r="V33" s="403">
        <f>V24*V32</f>
        <v/>
      </c>
      <c r="W33" s="403">
        <f>W24*W32</f>
        <v/>
      </c>
      <c r="X33" s="387">
        <f>SUM(T33:W33)</f>
        <v/>
      </c>
      <c r="Y33" s="403">
        <f>Y24*Y32</f>
        <v/>
      </c>
      <c r="Z33" s="403">
        <f>Z24*Z32</f>
        <v/>
      </c>
      <c r="AA33" s="403">
        <f>AA24*AA32</f>
        <v/>
      </c>
      <c r="AB33" s="403">
        <f>AB24*AB32</f>
        <v/>
      </c>
      <c r="AC33" s="387">
        <f>SUM(Y33:AB33)</f>
        <v/>
      </c>
      <c r="AD33" s="403">
        <f>AD24*AD32</f>
        <v/>
      </c>
      <c r="AE33" s="403">
        <f>AE24*AE32</f>
        <v/>
      </c>
      <c r="AF33" s="403">
        <f>AF24*AF32</f>
        <v/>
      </c>
      <c r="AG33" s="403">
        <f>AG24*AG32</f>
        <v/>
      </c>
      <c r="AH33" s="387">
        <f>SUM(AD33:AG33)</f>
        <v/>
      </c>
      <c r="AI33" s="403">
        <f>AI24*AI32</f>
        <v/>
      </c>
      <c r="AJ33" s="403">
        <f>AJ24*AJ32</f>
        <v/>
      </c>
      <c r="AK33" s="403">
        <f>AK24*AK32</f>
        <v/>
      </c>
      <c r="AL33" s="403">
        <f>AL24*AL32</f>
        <v/>
      </c>
      <c r="AM33" s="387">
        <f>SUM(AI33:AL33)</f>
        <v/>
      </c>
      <c r="AN33" s="403">
        <f>AN24*AN32</f>
        <v/>
      </c>
      <c r="AO33" s="403">
        <f>AO24*AO32</f>
        <v/>
      </c>
      <c r="AP33" s="403">
        <f>AP24*AP32</f>
        <v/>
      </c>
      <c r="AQ33" s="403">
        <f>AQ24*AQ32</f>
        <v/>
      </c>
      <c r="AR33" s="387">
        <f>SUM(AN33:AQ33)</f>
        <v/>
      </c>
    </row>
    <row r="34" ht="3.75" customHeight="1" s="290"/>
    <row r="35" ht="13.5" customHeight="1" s="290">
      <c r="A35" s="369" t="inlineStr">
        <is>
          <t xml:space="preserve">    ── Junior ──</t>
        </is>
      </c>
    </row>
    <row r="36" ht="13.5" customHeight="1" s="290">
      <c r="A36" s="395" t="n"/>
      <c r="B36" s="373" t="inlineStr">
        <is>
          <t xml:space="preserve">  Tier GCI — Junior</t>
        </is>
      </c>
      <c r="C36" s="374" t="inlineStr">
        <is>
          <t>$K</t>
        </is>
      </c>
      <c r="D36" s="396" t="inlineStr">
        <is>
          <t xml:space="preserve"> (tier share) × Net Leasing GCI</t>
        </is>
      </c>
      <c r="E36" s="376">
        <f>IFERROR('05 Revenue Engine'!E27/'05 Revenue Engine'!E28*'05 Revenue Engine'!E41,0)</f>
        <v/>
      </c>
      <c r="F36" s="376">
        <f>IFERROR('05 Revenue Engine'!F27/'05 Revenue Engine'!F28*'05 Revenue Engine'!F41,0)</f>
        <v/>
      </c>
      <c r="G36" s="376">
        <f>IFERROR('05 Revenue Engine'!G27/'05 Revenue Engine'!G28*'05 Revenue Engine'!G41,0)</f>
        <v/>
      </c>
      <c r="H36" s="376">
        <f>IFERROR('05 Revenue Engine'!H27/'05 Revenue Engine'!H28*'05 Revenue Engine'!H41,0)</f>
        <v/>
      </c>
      <c r="I36" s="344">
        <f>SUM(E36:H36)</f>
        <v/>
      </c>
      <c r="J36" s="376">
        <f>IFERROR('05 Revenue Engine'!J27/'05 Revenue Engine'!J28*'05 Revenue Engine'!J41,0)</f>
        <v/>
      </c>
      <c r="K36" s="376">
        <f>IFERROR('05 Revenue Engine'!K27/'05 Revenue Engine'!K28*'05 Revenue Engine'!K41,0)</f>
        <v/>
      </c>
      <c r="L36" s="376">
        <f>IFERROR('05 Revenue Engine'!L27/'05 Revenue Engine'!L28*'05 Revenue Engine'!L41,0)</f>
        <v/>
      </c>
      <c r="M36" s="376">
        <f>IFERROR('05 Revenue Engine'!M27/'05 Revenue Engine'!M28*'05 Revenue Engine'!M41,0)</f>
        <v/>
      </c>
      <c r="N36" s="344">
        <f>SUM(J36:M36)</f>
        <v/>
      </c>
      <c r="O36" s="376">
        <f>IFERROR('05 Revenue Engine'!O27/'05 Revenue Engine'!O28*'05 Revenue Engine'!O41,0)</f>
        <v/>
      </c>
      <c r="P36" s="376">
        <f>IFERROR('05 Revenue Engine'!P27/'05 Revenue Engine'!P28*'05 Revenue Engine'!P41,0)</f>
        <v/>
      </c>
      <c r="Q36" s="376">
        <f>IFERROR('05 Revenue Engine'!Q27/'05 Revenue Engine'!Q28*'05 Revenue Engine'!Q41,0)</f>
        <v/>
      </c>
      <c r="R36" s="376">
        <f>IFERROR('05 Revenue Engine'!R27/'05 Revenue Engine'!R28*'05 Revenue Engine'!R41,0)</f>
        <v/>
      </c>
      <c r="S36" s="344">
        <f>SUM(O36:R36)</f>
        <v/>
      </c>
      <c r="T36" s="376">
        <f>IFERROR('05 Revenue Engine'!T27/'05 Revenue Engine'!T28*'05 Revenue Engine'!T41,0)</f>
        <v/>
      </c>
      <c r="U36" s="376">
        <f>IFERROR('05 Revenue Engine'!U27/'05 Revenue Engine'!U28*'05 Revenue Engine'!U41,0)</f>
        <v/>
      </c>
      <c r="V36" s="376">
        <f>IFERROR('05 Revenue Engine'!V27/'05 Revenue Engine'!V28*'05 Revenue Engine'!V41,0)</f>
        <v/>
      </c>
      <c r="W36" s="376">
        <f>IFERROR('05 Revenue Engine'!W27/'05 Revenue Engine'!W28*'05 Revenue Engine'!W41,0)</f>
        <v/>
      </c>
      <c r="X36" s="344">
        <f>SUM(T36:W36)</f>
        <v/>
      </c>
      <c r="Y36" s="376">
        <f>IFERROR('05 Revenue Engine'!Y27/'05 Revenue Engine'!Y28*'05 Revenue Engine'!Y41,0)</f>
        <v/>
      </c>
      <c r="Z36" s="376">
        <f>IFERROR('05 Revenue Engine'!Z27/'05 Revenue Engine'!Z28*'05 Revenue Engine'!Z41,0)</f>
        <v/>
      </c>
      <c r="AA36" s="376">
        <f>IFERROR('05 Revenue Engine'!AA27/'05 Revenue Engine'!AA28*'05 Revenue Engine'!AA41,0)</f>
        <v/>
      </c>
      <c r="AB36" s="376">
        <f>IFERROR('05 Revenue Engine'!AB27/'05 Revenue Engine'!AB28*'05 Revenue Engine'!AB41,0)</f>
        <v/>
      </c>
      <c r="AC36" s="344">
        <f>SUM(Y36:AB36)</f>
        <v/>
      </c>
      <c r="AD36" s="376">
        <f>IFERROR('05 Revenue Engine'!AD27/'05 Revenue Engine'!AD28*'05 Revenue Engine'!AD41,0)</f>
        <v/>
      </c>
      <c r="AE36" s="376">
        <f>IFERROR('05 Revenue Engine'!AE27/'05 Revenue Engine'!AE28*'05 Revenue Engine'!AE41,0)</f>
        <v/>
      </c>
      <c r="AF36" s="376">
        <f>IFERROR('05 Revenue Engine'!AF27/'05 Revenue Engine'!AF28*'05 Revenue Engine'!AF41,0)</f>
        <v/>
      </c>
      <c r="AG36" s="376">
        <f>IFERROR('05 Revenue Engine'!AG27/'05 Revenue Engine'!AG28*'05 Revenue Engine'!AG41,0)</f>
        <v/>
      </c>
      <c r="AH36" s="344">
        <f>SUM(AD36:AG36)</f>
        <v/>
      </c>
      <c r="AI36" s="376">
        <f>IFERROR('05 Revenue Engine'!AI27/'05 Revenue Engine'!AI28*'05 Revenue Engine'!AI41,0)</f>
        <v/>
      </c>
      <c r="AJ36" s="376">
        <f>IFERROR('05 Revenue Engine'!AJ27/'05 Revenue Engine'!AJ28*'05 Revenue Engine'!AJ41,0)</f>
        <v/>
      </c>
      <c r="AK36" s="376">
        <f>IFERROR('05 Revenue Engine'!AK27/'05 Revenue Engine'!AK28*'05 Revenue Engine'!AK41,0)</f>
        <v/>
      </c>
      <c r="AL36" s="376">
        <f>IFERROR('05 Revenue Engine'!AL27/'05 Revenue Engine'!AL28*'05 Revenue Engine'!AL41,0)</f>
        <v/>
      </c>
      <c r="AM36" s="344">
        <f>SUM(AI36:AL36)</f>
        <v/>
      </c>
      <c r="AN36" s="376">
        <f>IFERROR('05 Revenue Engine'!AN27/'05 Revenue Engine'!AN28*'05 Revenue Engine'!AN41,0)</f>
        <v/>
      </c>
      <c r="AO36" s="376">
        <f>IFERROR('05 Revenue Engine'!AO27/'05 Revenue Engine'!AO28*'05 Revenue Engine'!AO41,0)</f>
        <v/>
      </c>
      <c r="AP36" s="376">
        <f>IFERROR('05 Revenue Engine'!AP27/'05 Revenue Engine'!AP28*'05 Revenue Engine'!AP41,0)</f>
        <v/>
      </c>
      <c r="AQ36" s="376">
        <f>IFERROR('05 Revenue Engine'!AQ27/'05 Revenue Engine'!AQ28*'05 Revenue Engine'!AQ41,0)</f>
        <v/>
      </c>
      <c r="AR36" s="344">
        <f>SUM(AN36:AQ36)</f>
        <v/>
      </c>
    </row>
    <row r="37" ht="13.5" customHeight="1" s="290">
      <c r="A37" s="345" t="n"/>
      <c r="B37" s="370" t="inlineStr">
        <is>
          <t xml:space="preserve">  EPE — Junior</t>
        </is>
      </c>
      <c r="C37" s="371" t="inlineStr">
        <is>
          <t>EPE</t>
        </is>
      </c>
      <c r="D37" s="394" t="inlineStr">
        <is>
          <t>← Tab 04 row 41</t>
        </is>
      </c>
      <c r="E37" s="361">
        <f>'04 Producer Engine'!E41</f>
        <v/>
      </c>
      <c r="F37" s="361">
        <f>'04 Producer Engine'!F41</f>
        <v/>
      </c>
      <c r="G37" s="361">
        <f>'04 Producer Engine'!G41</f>
        <v/>
      </c>
      <c r="H37" s="361">
        <f>'04 Producer Engine'!H41</f>
        <v/>
      </c>
      <c r="I37" s="361">
        <f>AVERAGE(E37:H37)</f>
        <v/>
      </c>
      <c r="J37" s="361">
        <f>'04 Producer Engine'!J41</f>
        <v/>
      </c>
      <c r="K37" s="361">
        <f>'04 Producer Engine'!K41</f>
        <v/>
      </c>
      <c r="L37" s="361">
        <f>'04 Producer Engine'!L41</f>
        <v/>
      </c>
      <c r="M37" s="361">
        <f>'04 Producer Engine'!M41</f>
        <v/>
      </c>
      <c r="N37" s="361">
        <f>AVERAGE(J37:M37)</f>
        <v/>
      </c>
      <c r="O37" s="361">
        <f>'04 Producer Engine'!O41</f>
        <v/>
      </c>
      <c r="P37" s="361">
        <f>'04 Producer Engine'!P41</f>
        <v/>
      </c>
      <c r="Q37" s="361">
        <f>'04 Producer Engine'!Q41</f>
        <v/>
      </c>
      <c r="R37" s="361">
        <f>'04 Producer Engine'!R41</f>
        <v/>
      </c>
      <c r="S37" s="361">
        <f>AVERAGE(O37:R37)</f>
        <v/>
      </c>
      <c r="T37" s="361">
        <f>'04 Producer Engine'!T41</f>
        <v/>
      </c>
      <c r="U37" s="361">
        <f>'04 Producer Engine'!U41</f>
        <v/>
      </c>
      <c r="V37" s="361">
        <f>'04 Producer Engine'!V41</f>
        <v/>
      </c>
      <c r="W37" s="361">
        <f>'04 Producer Engine'!W41</f>
        <v/>
      </c>
      <c r="X37" s="361">
        <f>AVERAGE(T37:W37)</f>
        <v/>
      </c>
      <c r="Y37" s="361">
        <f>'04 Producer Engine'!Y41</f>
        <v/>
      </c>
      <c r="Z37" s="361">
        <f>'04 Producer Engine'!Z41</f>
        <v/>
      </c>
      <c r="AA37" s="361">
        <f>'04 Producer Engine'!AA41</f>
        <v/>
      </c>
      <c r="AB37" s="361">
        <f>'04 Producer Engine'!AB41</f>
        <v/>
      </c>
      <c r="AC37" s="361">
        <f>AVERAGE(Y37:AB37)</f>
        <v/>
      </c>
      <c r="AD37" s="361">
        <f>'04 Producer Engine'!AD41</f>
        <v/>
      </c>
      <c r="AE37" s="361">
        <f>'04 Producer Engine'!AE41</f>
        <v/>
      </c>
      <c r="AF37" s="361">
        <f>'04 Producer Engine'!AF41</f>
        <v/>
      </c>
      <c r="AG37" s="361">
        <f>'04 Producer Engine'!AG41</f>
        <v/>
      </c>
      <c r="AH37" s="361">
        <f>AVERAGE(AD37:AG37)</f>
        <v/>
      </c>
      <c r="AI37" s="361">
        <f>'04 Producer Engine'!AI41</f>
        <v/>
      </c>
      <c r="AJ37" s="361">
        <f>'04 Producer Engine'!AJ41</f>
        <v/>
      </c>
      <c r="AK37" s="361">
        <f>'04 Producer Engine'!AK41</f>
        <v/>
      </c>
      <c r="AL37" s="361">
        <f>'04 Producer Engine'!AL41</f>
        <v/>
      </c>
      <c r="AM37" s="361">
        <f>AVERAGE(AI37:AL37)</f>
        <v/>
      </c>
      <c r="AN37" s="361">
        <f>'04 Producer Engine'!AN41</f>
        <v/>
      </c>
      <c r="AO37" s="361">
        <f>'04 Producer Engine'!AO41</f>
        <v/>
      </c>
      <c r="AP37" s="361">
        <f>'04 Producer Engine'!AP41</f>
        <v/>
      </c>
      <c r="AQ37" s="361">
        <f>'04 Producer Engine'!AQ41</f>
        <v/>
      </c>
      <c r="AR37" s="361">
        <f>AVERAGE(AN37:AQ37)</f>
        <v/>
      </c>
    </row>
    <row r="38" ht="13.5" customHeight="1" s="290">
      <c r="A38" s="395" t="n"/>
      <c r="B38" s="373" t="inlineStr">
        <is>
          <t xml:space="preserve">  GCI per EPE Annualized — Junior</t>
        </is>
      </c>
      <c r="C38" s="374" t="inlineStr">
        <is>
          <t>$K/EPE/yr</t>
        </is>
      </c>
      <c r="D38" s="396" t="inlineStr">
        <is>
          <t xml:space="preserve"> (tier gci ÷ Tier EPE) × 4  [annualized for threshold comparison])</t>
        </is>
      </c>
      <c r="E38" s="376">
        <f>IFERROR(E36/E37*4,0)</f>
        <v/>
      </c>
      <c r="F38" s="376">
        <f>IFERROR(F36/F37*4,0)</f>
        <v/>
      </c>
      <c r="G38" s="376">
        <f>IFERROR(G36/G37*4,0)</f>
        <v/>
      </c>
      <c r="H38" s="376">
        <f>IFERROR(H36/H37*4,0)</f>
        <v/>
      </c>
      <c r="I38" s="344">
        <f>IFERROR(I36/I37,0)</f>
        <v/>
      </c>
      <c r="J38" s="376">
        <f>IFERROR(J36/J37*4,0)</f>
        <v/>
      </c>
      <c r="K38" s="376">
        <f>IFERROR(K36/K37*4,0)</f>
        <v/>
      </c>
      <c r="L38" s="376">
        <f>IFERROR(L36/L37*4,0)</f>
        <v/>
      </c>
      <c r="M38" s="376">
        <f>IFERROR(M36/M37*4,0)</f>
        <v/>
      </c>
      <c r="N38" s="344">
        <f>IFERROR(N36/N37,0)</f>
        <v/>
      </c>
      <c r="O38" s="376">
        <f>IFERROR(O36/O37*4,0)</f>
        <v/>
      </c>
      <c r="P38" s="376">
        <f>IFERROR(P36/P37*4,0)</f>
        <v/>
      </c>
      <c r="Q38" s="376">
        <f>IFERROR(Q36/Q37*4,0)</f>
        <v/>
      </c>
      <c r="R38" s="376">
        <f>IFERROR(R36/R37*4,0)</f>
        <v/>
      </c>
      <c r="S38" s="344">
        <f>IFERROR(S36/S37,0)</f>
        <v/>
      </c>
      <c r="T38" s="376">
        <f>IFERROR(T36/T37*4,0)</f>
        <v/>
      </c>
      <c r="U38" s="376">
        <f>IFERROR(U36/U37*4,0)</f>
        <v/>
      </c>
      <c r="V38" s="376">
        <f>IFERROR(V36/V37*4,0)</f>
        <v/>
      </c>
      <c r="W38" s="376">
        <f>IFERROR(W36/W37*4,0)</f>
        <v/>
      </c>
      <c r="X38" s="344">
        <f>IFERROR(X36/X37,0)</f>
        <v/>
      </c>
      <c r="Y38" s="376">
        <f>IFERROR(Y36/Y37*4,0)</f>
        <v/>
      </c>
      <c r="Z38" s="376">
        <f>IFERROR(Z36/Z37*4,0)</f>
        <v/>
      </c>
      <c r="AA38" s="376">
        <f>IFERROR(AA36/AA37*4,0)</f>
        <v/>
      </c>
      <c r="AB38" s="376">
        <f>IFERROR(AB36/AB37*4,0)</f>
        <v/>
      </c>
      <c r="AC38" s="344">
        <f>IFERROR(AC36/AC37,0)</f>
        <v/>
      </c>
      <c r="AD38" s="376">
        <f>IFERROR(AD36/AD37*4,0)</f>
        <v/>
      </c>
      <c r="AE38" s="376">
        <f>IFERROR(AE36/AE37*4,0)</f>
        <v/>
      </c>
      <c r="AF38" s="376">
        <f>IFERROR(AF36/AF37*4,0)</f>
        <v/>
      </c>
      <c r="AG38" s="376">
        <f>IFERROR(AG36/AG37*4,0)</f>
        <v/>
      </c>
      <c r="AH38" s="344">
        <f>IFERROR(AH36/AH37,0)</f>
        <v/>
      </c>
      <c r="AI38" s="376">
        <f>IFERROR(AI36/AI37*4,0)</f>
        <v/>
      </c>
      <c r="AJ38" s="376">
        <f>IFERROR(AJ36/AJ37*4,0)</f>
        <v/>
      </c>
      <c r="AK38" s="376">
        <f>IFERROR(AK36/AK37*4,0)</f>
        <v/>
      </c>
      <c r="AL38" s="376">
        <f>IFERROR(AL36/AL37*4,0)</f>
        <v/>
      </c>
      <c r="AM38" s="344">
        <f>IFERROR(AM36/AM37,0)</f>
        <v/>
      </c>
      <c r="AN38" s="376">
        <f>IFERROR(AN36/AN37*4,0)</f>
        <v/>
      </c>
      <c r="AO38" s="376">
        <f>IFERROR(AO36/AO37*4,0)</f>
        <v/>
      </c>
      <c r="AP38" s="376">
        <f>IFERROR(AP36/AP37*4,0)</f>
        <v/>
      </c>
      <c r="AQ38" s="376">
        <f>IFERROR(AQ36/AQ37*4,0)</f>
        <v/>
      </c>
      <c r="AR38" s="344">
        <f>IFERROR(AR36/AR37,0)</f>
        <v/>
      </c>
    </row>
    <row r="39" ht="13.5" customHeight="1" s="290">
      <c r="A39" s="345" t="n"/>
      <c r="B39" s="370" t="inlineStr">
        <is>
          <t xml:space="preserve">  Split Threshold 1 — Junior</t>
        </is>
      </c>
      <c r="C39" s="371" t="inlineStr">
        <is>
          <t>$K GCI/yr</t>
        </is>
      </c>
      <c r="D39" s="394" t="inlineStr">
        <is>
          <t>← Tab 03 row 254 col E</t>
        </is>
      </c>
      <c r="E39" s="361">
        <f>'03 Operational Assumptions'!E254</f>
        <v/>
      </c>
      <c r="F39" s="361">
        <f>'03 Operational Assumptions'!E254</f>
        <v/>
      </c>
      <c r="G39" s="361">
        <f>'03 Operational Assumptions'!E254</f>
        <v/>
      </c>
      <c r="H39" s="361">
        <f>'03 Operational Assumptions'!E254</f>
        <v/>
      </c>
      <c r="I39" s="361">
        <f>'03 Operational Assumptions'!E254</f>
        <v/>
      </c>
      <c r="J39" s="361">
        <f>'03 Operational Assumptions'!E254</f>
        <v/>
      </c>
      <c r="K39" s="361">
        <f>'03 Operational Assumptions'!E254</f>
        <v/>
      </c>
      <c r="L39" s="361">
        <f>'03 Operational Assumptions'!E254</f>
        <v/>
      </c>
      <c r="M39" s="361">
        <f>'03 Operational Assumptions'!E254</f>
        <v/>
      </c>
      <c r="N39" s="361">
        <f>'03 Operational Assumptions'!E254</f>
        <v/>
      </c>
      <c r="O39" s="361">
        <f>'03 Operational Assumptions'!E254</f>
        <v/>
      </c>
      <c r="P39" s="361">
        <f>'03 Operational Assumptions'!E254</f>
        <v/>
      </c>
      <c r="Q39" s="361">
        <f>'03 Operational Assumptions'!E254</f>
        <v/>
      </c>
      <c r="R39" s="361">
        <f>'03 Operational Assumptions'!E254</f>
        <v/>
      </c>
      <c r="S39" s="361">
        <f>'03 Operational Assumptions'!E254</f>
        <v/>
      </c>
      <c r="T39" s="361">
        <f>'03 Operational Assumptions'!E254</f>
        <v/>
      </c>
      <c r="U39" s="361">
        <f>'03 Operational Assumptions'!E254</f>
        <v/>
      </c>
      <c r="V39" s="361">
        <f>'03 Operational Assumptions'!E254</f>
        <v/>
      </c>
      <c r="W39" s="361">
        <f>'03 Operational Assumptions'!E254</f>
        <v/>
      </c>
      <c r="X39" s="361">
        <f>'03 Operational Assumptions'!E254</f>
        <v/>
      </c>
      <c r="Y39" s="361">
        <f>'03 Operational Assumptions'!E254</f>
        <v/>
      </c>
      <c r="Z39" s="361">
        <f>'03 Operational Assumptions'!E254</f>
        <v/>
      </c>
      <c r="AA39" s="361">
        <f>'03 Operational Assumptions'!E254</f>
        <v/>
      </c>
      <c r="AB39" s="361">
        <f>'03 Operational Assumptions'!E254</f>
        <v/>
      </c>
      <c r="AC39" s="361">
        <f>'03 Operational Assumptions'!E254</f>
        <v/>
      </c>
      <c r="AD39" s="361">
        <f>'03 Operational Assumptions'!E254</f>
        <v/>
      </c>
      <c r="AE39" s="361">
        <f>'03 Operational Assumptions'!E254</f>
        <v/>
      </c>
      <c r="AF39" s="361">
        <f>'03 Operational Assumptions'!E254</f>
        <v/>
      </c>
      <c r="AG39" s="361">
        <f>'03 Operational Assumptions'!E254</f>
        <v/>
      </c>
      <c r="AH39" s="361">
        <f>'03 Operational Assumptions'!E254</f>
        <v/>
      </c>
      <c r="AI39" s="361">
        <f>'03 Operational Assumptions'!E254</f>
        <v/>
      </c>
      <c r="AJ39" s="361">
        <f>'03 Operational Assumptions'!E254</f>
        <v/>
      </c>
      <c r="AK39" s="361">
        <f>'03 Operational Assumptions'!E254</f>
        <v/>
      </c>
      <c r="AL39" s="361">
        <f>'03 Operational Assumptions'!E254</f>
        <v/>
      </c>
      <c r="AM39" s="361">
        <f>'03 Operational Assumptions'!E254</f>
        <v/>
      </c>
      <c r="AN39" s="361">
        <f>'03 Operational Assumptions'!E254</f>
        <v/>
      </c>
      <c r="AO39" s="361">
        <f>'03 Operational Assumptions'!E254</f>
        <v/>
      </c>
      <c r="AP39" s="361">
        <f>'03 Operational Assumptions'!E254</f>
        <v/>
      </c>
      <c r="AQ39" s="361">
        <f>'03 Operational Assumptions'!E254</f>
        <v/>
      </c>
      <c r="AR39" s="361">
        <f>'03 Operational Assumptions'!E254</f>
        <v/>
      </c>
    </row>
    <row r="40" ht="13.5" customHeight="1" s="290">
      <c r="A40" s="345" t="n"/>
      <c r="B40" s="370" t="inlineStr">
        <is>
          <t xml:space="preserve">  Split % at T1 (S1) — Junior</t>
        </is>
      </c>
      <c r="C40" s="371" t="inlineStr">
        <is>
          <t>%</t>
        </is>
      </c>
      <c r="D40" s="394" t="inlineStr">
        <is>
          <t>← Tab 03 row 254 col F</t>
        </is>
      </c>
      <c r="E40" s="361">
        <f>'03 Operational Assumptions'!F254</f>
        <v/>
      </c>
      <c r="F40" s="361">
        <f>'03 Operational Assumptions'!F254</f>
        <v/>
      </c>
      <c r="G40" s="361">
        <f>'03 Operational Assumptions'!F254</f>
        <v/>
      </c>
      <c r="H40" s="361">
        <f>'03 Operational Assumptions'!F254</f>
        <v/>
      </c>
      <c r="I40" s="361">
        <f>'03 Operational Assumptions'!F254</f>
        <v/>
      </c>
      <c r="J40" s="361">
        <f>'03 Operational Assumptions'!F254</f>
        <v/>
      </c>
      <c r="K40" s="361">
        <f>'03 Operational Assumptions'!F254</f>
        <v/>
      </c>
      <c r="L40" s="361">
        <f>'03 Operational Assumptions'!F254</f>
        <v/>
      </c>
      <c r="M40" s="361">
        <f>'03 Operational Assumptions'!F254</f>
        <v/>
      </c>
      <c r="N40" s="361">
        <f>'03 Operational Assumptions'!F254</f>
        <v/>
      </c>
      <c r="O40" s="361">
        <f>'03 Operational Assumptions'!F254</f>
        <v/>
      </c>
      <c r="P40" s="361">
        <f>'03 Operational Assumptions'!F254</f>
        <v/>
      </c>
      <c r="Q40" s="361">
        <f>'03 Operational Assumptions'!F254</f>
        <v/>
      </c>
      <c r="R40" s="361">
        <f>'03 Operational Assumptions'!F254</f>
        <v/>
      </c>
      <c r="S40" s="361">
        <f>'03 Operational Assumptions'!F254</f>
        <v/>
      </c>
      <c r="T40" s="361">
        <f>'03 Operational Assumptions'!F254</f>
        <v/>
      </c>
      <c r="U40" s="361">
        <f>'03 Operational Assumptions'!F254</f>
        <v/>
      </c>
      <c r="V40" s="361">
        <f>'03 Operational Assumptions'!F254</f>
        <v/>
      </c>
      <c r="W40" s="361">
        <f>'03 Operational Assumptions'!F254</f>
        <v/>
      </c>
      <c r="X40" s="361">
        <f>'03 Operational Assumptions'!F254</f>
        <v/>
      </c>
      <c r="Y40" s="361">
        <f>'03 Operational Assumptions'!F254</f>
        <v/>
      </c>
      <c r="Z40" s="361">
        <f>'03 Operational Assumptions'!F254</f>
        <v/>
      </c>
      <c r="AA40" s="361">
        <f>'03 Operational Assumptions'!F254</f>
        <v/>
      </c>
      <c r="AB40" s="361">
        <f>'03 Operational Assumptions'!F254</f>
        <v/>
      </c>
      <c r="AC40" s="361">
        <f>'03 Operational Assumptions'!F254</f>
        <v/>
      </c>
      <c r="AD40" s="361">
        <f>'03 Operational Assumptions'!F254</f>
        <v/>
      </c>
      <c r="AE40" s="361">
        <f>'03 Operational Assumptions'!F254</f>
        <v/>
      </c>
      <c r="AF40" s="361">
        <f>'03 Operational Assumptions'!F254</f>
        <v/>
      </c>
      <c r="AG40" s="361">
        <f>'03 Operational Assumptions'!F254</f>
        <v/>
      </c>
      <c r="AH40" s="361">
        <f>'03 Operational Assumptions'!F254</f>
        <v/>
      </c>
      <c r="AI40" s="361">
        <f>'03 Operational Assumptions'!F254</f>
        <v/>
      </c>
      <c r="AJ40" s="361">
        <f>'03 Operational Assumptions'!F254</f>
        <v/>
      </c>
      <c r="AK40" s="361">
        <f>'03 Operational Assumptions'!F254</f>
        <v/>
      </c>
      <c r="AL40" s="361">
        <f>'03 Operational Assumptions'!F254</f>
        <v/>
      </c>
      <c r="AM40" s="361">
        <f>'03 Operational Assumptions'!F254</f>
        <v/>
      </c>
      <c r="AN40" s="361">
        <f>'03 Operational Assumptions'!F254</f>
        <v/>
      </c>
      <c r="AO40" s="361">
        <f>'03 Operational Assumptions'!F254</f>
        <v/>
      </c>
      <c r="AP40" s="361">
        <f>'03 Operational Assumptions'!F254</f>
        <v/>
      </c>
      <c r="AQ40" s="361">
        <f>'03 Operational Assumptions'!F254</f>
        <v/>
      </c>
      <c r="AR40" s="361">
        <f>'03 Operational Assumptions'!F254</f>
        <v/>
      </c>
    </row>
    <row r="41" ht="13.5" customHeight="1" s="290">
      <c r="A41" s="345" t="n"/>
      <c r="B41" s="370" t="inlineStr">
        <is>
          <t xml:space="preserve">  Split Threshold 2 — Junior</t>
        </is>
      </c>
      <c r="C41" s="371" t="inlineStr">
        <is>
          <t>$K GCI/yr</t>
        </is>
      </c>
      <c r="D41" s="394" t="inlineStr">
        <is>
          <t>← Tab 03 row 254 col G</t>
        </is>
      </c>
      <c r="E41" s="361">
        <f>'03 Operational Assumptions'!G254</f>
        <v/>
      </c>
      <c r="F41" s="361">
        <f>'03 Operational Assumptions'!G254</f>
        <v/>
      </c>
      <c r="G41" s="361">
        <f>'03 Operational Assumptions'!G254</f>
        <v/>
      </c>
      <c r="H41" s="361">
        <f>'03 Operational Assumptions'!G254</f>
        <v/>
      </c>
      <c r="I41" s="361">
        <f>'03 Operational Assumptions'!G254</f>
        <v/>
      </c>
      <c r="J41" s="361">
        <f>'03 Operational Assumptions'!G254</f>
        <v/>
      </c>
      <c r="K41" s="361">
        <f>'03 Operational Assumptions'!G254</f>
        <v/>
      </c>
      <c r="L41" s="361">
        <f>'03 Operational Assumptions'!G254</f>
        <v/>
      </c>
      <c r="M41" s="361">
        <f>'03 Operational Assumptions'!G254</f>
        <v/>
      </c>
      <c r="N41" s="361">
        <f>'03 Operational Assumptions'!G254</f>
        <v/>
      </c>
      <c r="O41" s="361">
        <f>'03 Operational Assumptions'!G254</f>
        <v/>
      </c>
      <c r="P41" s="361">
        <f>'03 Operational Assumptions'!G254</f>
        <v/>
      </c>
      <c r="Q41" s="361">
        <f>'03 Operational Assumptions'!G254</f>
        <v/>
      </c>
      <c r="R41" s="361">
        <f>'03 Operational Assumptions'!G254</f>
        <v/>
      </c>
      <c r="S41" s="361">
        <f>'03 Operational Assumptions'!G254</f>
        <v/>
      </c>
      <c r="T41" s="361">
        <f>'03 Operational Assumptions'!G254</f>
        <v/>
      </c>
      <c r="U41" s="361">
        <f>'03 Operational Assumptions'!G254</f>
        <v/>
      </c>
      <c r="V41" s="361">
        <f>'03 Operational Assumptions'!G254</f>
        <v/>
      </c>
      <c r="W41" s="361">
        <f>'03 Operational Assumptions'!G254</f>
        <v/>
      </c>
      <c r="X41" s="361">
        <f>'03 Operational Assumptions'!G254</f>
        <v/>
      </c>
      <c r="Y41" s="361">
        <f>'03 Operational Assumptions'!G254</f>
        <v/>
      </c>
      <c r="Z41" s="361">
        <f>'03 Operational Assumptions'!G254</f>
        <v/>
      </c>
      <c r="AA41" s="361">
        <f>'03 Operational Assumptions'!G254</f>
        <v/>
      </c>
      <c r="AB41" s="361">
        <f>'03 Operational Assumptions'!G254</f>
        <v/>
      </c>
      <c r="AC41" s="361">
        <f>'03 Operational Assumptions'!G254</f>
        <v/>
      </c>
      <c r="AD41" s="361">
        <f>'03 Operational Assumptions'!G254</f>
        <v/>
      </c>
      <c r="AE41" s="361">
        <f>'03 Operational Assumptions'!G254</f>
        <v/>
      </c>
      <c r="AF41" s="361">
        <f>'03 Operational Assumptions'!G254</f>
        <v/>
      </c>
      <c r="AG41" s="361">
        <f>'03 Operational Assumptions'!G254</f>
        <v/>
      </c>
      <c r="AH41" s="361">
        <f>'03 Operational Assumptions'!G254</f>
        <v/>
      </c>
      <c r="AI41" s="361">
        <f>'03 Operational Assumptions'!G254</f>
        <v/>
      </c>
      <c r="AJ41" s="361">
        <f>'03 Operational Assumptions'!G254</f>
        <v/>
      </c>
      <c r="AK41" s="361">
        <f>'03 Operational Assumptions'!G254</f>
        <v/>
      </c>
      <c r="AL41" s="361">
        <f>'03 Operational Assumptions'!G254</f>
        <v/>
      </c>
      <c r="AM41" s="361">
        <f>'03 Operational Assumptions'!G254</f>
        <v/>
      </c>
      <c r="AN41" s="361">
        <f>'03 Operational Assumptions'!G254</f>
        <v/>
      </c>
      <c r="AO41" s="361">
        <f>'03 Operational Assumptions'!G254</f>
        <v/>
      </c>
      <c r="AP41" s="361">
        <f>'03 Operational Assumptions'!G254</f>
        <v/>
      </c>
      <c r="AQ41" s="361">
        <f>'03 Operational Assumptions'!G254</f>
        <v/>
      </c>
      <c r="AR41" s="361">
        <f>'03 Operational Assumptions'!G254</f>
        <v/>
      </c>
    </row>
    <row r="42" ht="13.5" customHeight="1" s="290">
      <c r="A42" s="345" t="n"/>
      <c r="B42" s="370" t="inlineStr">
        <is>
          <t xml:space="preserve">  Split % at T2 (S2) — Junior</t>
        </is>
      </c>
      <c r="C42" s="371" t="inlineStr">
        <is>
          <t>%</t>
        </is>
      </c>
      <c r="D42" s="394" t="inlineStr">
        <is>
          <t>← Tab 03 row 254 col H</t>
        </is>
      </c>
      <c r="E42" s="361">
        <f>'03 Operational Assumptions'!H254</f>
        <v/>
      </c>
      <c r="F42" s="361">
        <f>'03 Operational Assumptions'!H254</f>
        <v/>
      </c>
      <c r="G42" s="361">
        <f>'03 Operational Assumptions'!H254</f>
        <v/>
      </c>
      <c r="H42" s="361">
        <f>'03 Operational Assumptions'!H254</f>
        <v/>
      </c>
      <c r="I42" s="361">
        <f>'03 Operational Assumptions'!H254</f>
        <v/>
      </c>
      <c r="J42" s="361">
        <f>'03 Operational Assumptions'!H254</f>
        <v/>
      </c>
      <c r="K42" s="361">
        <f>'03 Operational Assumptions'!H254</f>
        <v/>
      </c>
      <c r="L42" s="361">
        <f>'03 Operational Assumptions'!H254</f>
        <v/>
      </c>
      <c r="M42" s="361">
        <f>'03 Operational Assumptions'!H254</f>
        <v/>
      </c>
      <c r="N42" s="361">
        <f>'03 Operational Assumptions'!H254</f>
        <v/>
      </c>
      <c r="O42" s="361">
        <f>'03 Operational Assumptions'!H254</f>
        <v/>
      </c>
      <c r="P42" s="361">
        <f>'03 Operational Assumptions'!H254</f>
        <v/>
      </c>
      <c r="Q42" s="361">
        <f>'03 Operational Assumptions'!H254</f>
        <v/>
      </c>
      <c r="R42" s="361">
        <f>'03 Operational Assumptions'!H254</f>
        <v/>
      </c>
      <c r="S42" s="361">
        <f>'03 Operational Assumptions'!H254</f>
        <v/>
      </c>
      <c r="T42" s="361">
        <f>'03 Operational Assumptions'!H254</f>
        <v/>
      </c>
      <c r="U42" s="361">
        <f>'03 Operational Assumptions'!H254</f>
        <v/>
      </c>
      <c r="V42" s="361">
        <f>'03 Operational Assumptions'!H254</f>
        <v/>
      </c>
      <c r="W42" s="361">
        <f>'03 Operational Assumptions'!H254</f>
        <v/>
      </c>
      <c r="X42" s="361">
        <f>'03 Operational Assumptions'!H254</f>
        <v/>
      </c>
      <c r="Y42" s="361">
        <f>'03 Operational Assumptions'!H254</f>
        <v/>
      </c>
      <c r="Z42" s="361">
        <f>'03 Operational Assumptions'!H254</f>
        <v/>
      </c>
      <c r="AA42" s="361">
        <f>'03 Operational Assumptions'!H254</f>
        <v/>
      </c>
      <c r="AB42" s="361">
        <f>'03 Operational Assumptions'!H254</f>
        <v/>
      </c>
      <c r="AC42" s="361">
        <f>'03 Operational Assumptions'!H254</f>
        <v/>
      </c>
      <c r="AD42" s="361">
        <f>'03 Operational Assumptions'!H254</f>
        <v/>
      </c>
      <c r="AE42" s="361">
        <f>'03 Operational Assumptions'!H254</f>
        <v/>
      </c>
      <c r="AF42" s="361">
        <f>'03 Operational Assumptions'!H254</f>
        <v/>
      </c>
      <c r="AG42" s="361">
        <f>'03 Operational Assumptions'!H254</f>
        <v/>
      </c>
      <c r="AH42" s="361">
        <f>'03 Operational Assumptions'!H254</f>
        <v/>
      </c>
      <c r="AI42" s="361">
        <f>'03 Operational Assumptions'!H254</f>
        <v/>
      </c>
      <c r="AJ42" s="361">
        <f>'03 Operational Assumptions'!H254</f>
        <v/>
      </c>
      <c r="AK42" s="361">
        <f>'03 Operational Assumptions'!H254</f>
        <v/>
      </c>
      <c r="AL42" s="361">
        <f>'03 Operational Assumptions'!H254</f>
        <v/>
      </c>
      <c r="AM42" s="361">
        <f>'03 Operational Assumptions'!H254</f>
        <v/>
      </c>
      <c r="AN42" s="361">
        <f>'03 Operational Assumptions'!H254</f>
        <v/>
      </c>
      <c r="AO42" s="361">
        <f>'03 Operational Assumptions'!H254</f>
        <v/>
      </c>
      <c r="AP42" s="361">
        <f>'03 Operational Assumptions'!H254</f>
        <v/>
      </c>
      <c r="AQ42" s="361">
        <f>'03 Operational Assumptions'!H254</f>
        <v/>
      </c>
      <c r="AR42" s="361">
        <f>'03 Operational Assumptions'!H254</f>
        <v/>
      </c>
    </row>
    <row r="43" ht="13.5" customHeight="1" s="290">
      <c r="A43" s="345" t="n"/>
      <c r="B43" s="370" t="inlineStr">
        <is>
          <t xml:space="preserve">  Split % Above T2 (S3) — Junior</t>
        </is>
      </c>
      <c r="C43" s="371" t="inlineStr">
        <is>
          <t>%</t>
        </is>
      </c>
      <c r="D43" s="394" t="inlineStr">
        <is>
          <t>← Tab 03 row 254 col J</t>
        </is>
      </c>
      <c r="E43" s="361">
        <f>'03 Operational Assumptions'!J254</f>
        <v/>
      </c>
      <c r="F43" s="361">
        <f>'03 Operational Assumptions'!J254</f>
        <v/>
      </c>
      <c r="G43" s="361">
        <f>'03 Operational Assumptions'!J254</f>
        <v/>
      </c>
      <c r="H43" s="361">
        <f>'03 Operational Assumptions'!J254</f>
        <v/>
      </c>
      <c r="I43" s="361">
        <f>'03 Operational Assumptions'!J254</f>
        <v/>
      </c>
      <c r="J43" s="361">
        <f>'03 Operational Assumptions'!J254</f>
        <v/>
      </c>
      <c r="K43" s="361">
        <f>'03 Operational Assumptions'!J254</f>
        <v/>
      </c>
      <c r="L43" s="361">
        <f>'03 Operational Assumptions'!J254</f>
        <v/>
      </c>
      <c r="M43" s="361">
        <f>'03 Operational Assumptions'!J254</f>
        <v/>
      </c>
      <c r="N43" s="361">
        <f>'03 Operational Assumptions'!J254</f>
        <v/>
      </c>
      <c r="O43" s="361">
        <f>'03 Operational Assumptions'!J254</f>
        <v/>
      </c>
      <c r="P43" s="361">
        <f>'03 Operational Assumptions'!J254</f>
        <v/>
      </c>
      <c r="Q43" s="361">
        <f>'03 Operational Assumptions'!J254</f>
        <v/>
      </c>
      <c r="R43" s="361">
        <f>'03 Operational Assumptions'!J254</f>
        <v/>
      </c>
      <c r="S43" s="361">
        <f>'03 Operational Assumptions'!J254</f>
        <v/>
      </c>
      <c r="T43" s="361">
        <f>'03 Operational Assumptions'!J254</f>
        <v/>
      </c>
      <c r="U43" s="361">
        <f>'03 Operational Assumptions'!J254</f>
        <v/>
      </c>
      <c r="V43" s="361">
        <f>'03 Operational Assumptions'!J254</f>
        <v/>
      </c>
      <c r="W43" s="361">
        <f>'03 Operational Assumptions'!J254</f>
        <v/>
      </c>
      <c r="X43" s="361">
        <f>'03 Operational Assumptions'!J254</f>
        <v/>
      </c>
      <c r="Y43" s="361">
        <f>'03 Operational Assumptions'!J254</f>
        <v/>
      </c>
      <c r="Z43" s="361">
        <f>'03 Operational Assumptions'!J254</f>
        <v/>
      </c>
      <c r="AA43" s="361">
        <f>'03 Operational Assumptions'!J254</f>
        <v/>
      </c>
      <c r="AB43" s="361">
        <f>'03 Operational Assumptions'!J254</f>
        <v/>
      </c>
      <c r="AC43" s="361">
        <f>'03 Operational Assumptions'!J254</f>
        <v/>
      </c>
      <c r="AD43" s="361">
        <f>'03 Operational Assumptions'!J254</f>
        <v/>
      </c>
      <c r="AE43" s="361">
        <f>'03 Operational Assumptions'!J254</f>
        <v/>
      </c>
      <c r="AF43" s="361">
        <f>'03 Operational Assumptions'!J254</f>
        <v/>
      </c>
      <c r="AG43" s="361">
        <f>'03 Operational Assumptions'!J254</f>
        <v/>
      </c>
      <c r="AH43" s="361">
        <f>'03 Operational Assumptions'!J254</f>
        <v/>
      </c>
      <c r="AI43" s="361">
        <f>'03 Operational Assumptions'!J254</f>
        <v/>
      </c>
      <c r="AJ43" s="361">
        <f>'03 Operational Assumptions'!J254</f>
        <v/>
      </c>
      <c r="AK43" s="361">
        <f>'03 Operational Assumptions'!J254</f>
        <v/>
      </c>
      <c r="AL43" s="361">
        <f>'03 Operational Assumptions'!J254</f>
        <v/>
      </c>
      <c r="AM43" s="361">
        <f>'03 Operational Assumptions'!J254</f>
        <v/>
      </c>
      <c r="AN43" s="361">
        <f>'03 Operational Assumptions'!J254</f>
        <v/>
      </c>
      <c r="AO43" s="361">
        <f>'03 Operational Assumptions'!J254</f>
        <v/>
      </c>
      <c r="AP43" s="361">
        <f>'03 Operational Assumptions'!J254</f>
        <v/>
      </c>
      <c r="AQ43" s="361">
        <f>'03 Operational Assumptions'!J254</f>
        <v/>
      </c>
      <c r="AR43" s="361">
        <f>'03 Operational Assumptions'!J254</f>
        <v/>
      </c>
    </row>
    <row r="44" ht="13.5" customHeight="1" s="290">
      <c r="A44" s="395" t="n"/>
      <c r="B44" s="373" t="inlineStr">
        <is>
          <t xml:space="preserve">  Applied Split % — Junior</t>
        </is>
      </c>
      <c r="C44" s="374" t="inlineStr">
        <is>
          <t>%</t>
        </is>
      </c>
      <c r="D44" s="396" t="inlineStr">
        <is>
          <t xml:space="preserve"> IF(gci/epe≤T1→S1, IF(≤T2→S2, S3)),TRUE())</t>
        </is>
      </c>
      <c r="E44" s="376">
        <f>IF(E38&lt;=E39,E40,IF(E38&lt;=E41,E42,E43))</f>
        <v/>
      </c>
      <c r="F44" s="376">
        <f>IF(F38&lt;=F39,F40,IF(F38&lt;=F41,F42,F43))</f>
        <v/>
      </c>
      <c r="G44" s="376">
        <f>IF(G38&lt;=G39,G40,IF(G38&lt;=G41,G42,G43))</f>
        <v/>
      </c>
      <c r="H44" s="376">
        <f>IF(H38&lt;=H39,H40,IF(H38&lt;=H41,H42,H43))</f>
        <v/>
      </c>
      <c r="I44" s="344">
        <f>IF(I38&lt;=I39,I40,IF(I38&lt;=I41,I42,I43))</f>
        <v/>
      </c>
      <c r="J44" s="376">
        <f>IF(J38&lt;=J39,J40,IF(J38&lt;=J41,J42,J43))</f>
        <v/>
      </c>
      <c r="K44" s="376">
        <f>IF(K38&lt;=K39,K40,IF(K38&lt;=K41,K42,K43))</f>
        <v/>
      </c>
      <c r="L44" s="376">
        <f>IF(L38&lt;=L39,L40,IF(L38&lt;=L41,L42,L43))</f>
        <v/>
      </c>
      <c r="M44" s="376">
        <f>IF(M38&lt;=M39,M40,IF(M38&lt;=M41,M42,M43))</f>
        <v/>
      </c>
      <c r="N44" s="344">
        <f>IF(N38&lt;=N39,N40,IF(N38&lt;=N41,N42,N43))</f>
        <v/>
      </c>
      <c r="O44" s="376">
        <f>IF(O38&lt;=O39,O40,IF(O38&lt;=O41,O42,O43))</f>
        <v/>
      </c>
      <c r="P44" s="376">
        <f>IF(P38&lt;=P39,P40,IF(P38&lt;=P41,P42,P43))</f>
        <v/>
      </c>
      <c r="Q44" s="376">
        <f>IF(Q38&lt;=Q39,Q40,IF(Q38&lt;=Q41,Q42,Q43))</f>
        <v/>
      </c>
      <c r="R44" s="376">
        <f>IF(R38&lt;=R39,R40,IF(R38&lt;=R41,R42,R43))</f>
        <v/>
      </c>
      <c r="S44" s="344">
        <f>IF(S38&lt;=S39,S40,IF(S38&lt;=S41,S42,S43))</f>
        <v/>
      </c>
      <c r="T44" s="376">
        <f>IF(T38&lt;=T39,T40,IF(T38&lt;=T41,T42,T43))</f>
        <v/>
      </c>
      <c r="U44" s="376">
        <f>IF(U38&lt;=U39,U40,IF(U38&lt;=U41,U42,U43))</f>
        <v/>
      </c>
      <c r="V44" s="376">
        <f>IF(V38&lt;=V39,V40,IF(V38&lt;=V41,V42,V43))</f>
        <v/>
      </c>
      <c r="W44" s="376">
        <f>IF(W38&lt;=W39,W40,IF(W38&lt;=W41,W42,W43))</f>
        <v/>
      </c>
      <c r="X44" s="344">
        <f>IF(X38&lt;=X39,X40,IF(X38&lt;=X41,X42,X43))</f>
        <v/>
      </c>
      <c r="Y44" s="376">
        <f>IF(Y38&lt;=Y39,Y40,IF(Y38&lt;=Y41,Y42,Y43))</f>
        <v/>
      </c>
      <c r="Z44" s="376">
        <f>IF(Z38&lt;=Z39,Z40,IF(Z38&lt;=Z41,Z42,Z43))</f>
        <v/>
      </c>
      <c r="AA44" s="376">
        <f>IF(AA38&lt;=AA39,AA40,IF(AA38&lt;=AA41,AA42,AA43))</f>
        <v/>
      </c>
      <c r="AB44" s="376">
        <f>IF(AB38&lt;=AB39,AB40,IF(AB38&lt;=AB41,AB42,AB43))</f>
        <v/>
      </c>
      <c r="AC44" s="344">
        <f>IF(AC38&lt;=AC39,AC40,IF(AC38&lt;=AC41,AC42,AC43))</f>
        <v/>
      </c>
      <c r="AD44" s="376">
        <f>IF(AD38&lt;=AD39,AD40,IF(AD38&lt;=AD41,AD42,AD43))</f>
        <v/>
      </c>
      <c r="AE44" s="376">
        <f>IF(AE38&lt;=AE39,AE40,IF(AE38&lt;=AE41,AE42,AE43))</f>
        <v/>
      </c>
      <c r="AF44" s="376">
        <f>IF(AF38&lt;=AF39,AF40,IF(AF38&lt;=AF41,AF42,AF43))</f>
        <v/>
      </c>
      <c r="AG44" s="376">
        <f>IF(AG38&lt;=AG39,AG40,IF(AG38&lt;=AG41,AG42,AG43))</f>
        <v/>
      </c>
      <c r="AH44" s="344">
        <f>IF(AH38&lt;=AH39,AH40,IF(AH38&lt;=AH41,AH42,AH43))</f>
        <v/>
      </c>
      <c r="AI44" s="376">
        <f>IF(AI38&lt;=AI39,AI40,IF(AI38&lt;=AI41,AI42,AI43))</f>
        <v/>
      </c>
      <c r="AJ44" s="376">
        <f>IF(AJ38&lt;=AJ39,AJ40,IF(AJ38&lt;=AJ41,AJ42,AJ43))</f>
        <v/>
      </c>
      <c r="AK44" s="376">
        <f>IF(AK38&lt;=AK39,AK40,IF(AK38&lt;=AK41,AK42,AK43))</f>
        <v/>
      </c>
      <c r="AL44" s="376">
        <f>IF(AL38&lt;=AL39,AL40,IF(AL38&lt;=AL41,AL42,AL43))</f>
        <v/>
      </c>
      <c r="AM44" s="344">
        <f>IF(AM38&lt;=AM39,AM40,IF(AM38&lt;=AM41,AM42,AM43))</f>
        <v/>
      </c>
      <c r="AN44" s="376">
        <f>IF(AN38&lt;=AN39,AN40,IF(AN38&lt;=AN41,AN42,AN43))</f>
        <v/>
      </c>
      <c r="AO44" s="376">
        <f>IF(AO38&lt;=AO39,AO40,IF(AO38&lt;=AO41,AO42,AO43))</f>
        <v/>
      </c>
      <c r="AP44" s="376">
        <f>IF(AP38&lt;=AP39,AP40,IF(AP38&lt;=AP41,AP42,AP43))</f>
        <v/>
      </c>
      <c r="AQ44" s="376">
        <f>IF(AQ38&lt;=AQ39,AQ40,IF(AQ38&lt;=AQ41,AQ42,AQ43))</f>
        <v/>
      </c>
      <c r="AR44" s="344">
        <f>IF(AR38&lt;=AR39,AR40,IF(AR38&lt;=AR41,AR42,AR43))</f>
        <v/>
      </c>
    </row>
    <row r="45" ht="13.5" customHeight="1" s="290">
      <c r="A45" s="395" t="n"/>
      <c r="B45" s="402" t="inlineStr">
        <is>
          <t xml:space="preserve">  ★ Producer Payout — Junior</t>
        </is>
      </c>
      <c r="C45" s="374" t="inlineStr">
        <is>
          <t>$K</t>
        </is>
      </c>
      <c r="D45" s="396" t="inlineStr">
        <is>
          <t xml:space="preserve"> tier gci × Applied Split %</t>
        </is>
      </c>
      <c r="E45" s="403">
        <f>E36*E44</f>
        <v/>
      </c>
      <c r="F45" s="403">
        <f>F36*F44</f>
        <v/>
      </c>
      <c r="G45" s="403">
        <f>G36*G44</f>
        <v/>
      </c>
      <c r="H45" s="403">
        <f>H36*H44</f>
        <v/>
      </c>
      <c r="I45" s="387">
        <f>SUM(E45:H45)</f>
        <v/>
      </c>
      <c r="J45" s="403">
        <f>J36*J44</f>
        <v/>
      </c>
      <c r="K45" s="403">
        <f>K36*K44</f>
        <v/>
      </c>
      <c r="L45" s="403">
        <f>L36*L44</f>
        <v/>
      </c>
      <c r="M45" s="403">
        <f>M36*M44</f>
        <v/>
      </c>
      <c r="N45" s="387">
        <f>SUM(J45:M45)</f>
        <v/>
      </c>
      <c r="O45" s="403">
        <f>O36*O44</f>
        <v/>
      </c>
      <c r="P45" s="403">
        <f>P36*P44</f>
        <v/>
      </c>
      <c r="Q45" s="403">
        <f>Q36*Q44</f>
        <v/>
      </c>
      <c r="R45" s="403">
        <f>R36*R44</f>
        <v/>
      </c>
      <c r="S45" s="387">
        <f>SUM(O45:R45)</f>
        <v/>
      </c>
      <c r="T45" s="403">
        <f>T36*T44</f>
        <v/>
      </c>
      <c r="U45" s="403">
        <f>U36*U44</f>
        <v/>
      </c>
      <c r="V45" s="403">
        <f>V36*V44</f>
        <v/>
      </c>
      <c r="W45" s="403">
        <f>W36*W44</f>
        <v/>
      </c>
      <c r="X45" s="387">
        <f>SUM(T45:W45)</f>
        <v/>
      </c>
      <c r="Y45" s="403">
        <f>Y36*Y44</f>
        <v/>
      </c>
      <c r="Z45" s="403">
        <f>Z36*Z44</f>
        <v/>
      </c>
      <c r="AA45" s="403">
        <f>AA36*AA44</f>
        <v/>
      </c>
      <c r="AB45" s="403">
        <f>AB36*AB44</f>
        <v/>
      </c>
      <c r="AC45" s="387">
        <f>SUM(Y45:AB45)</f>
        <v/>
      </c>
      <c r="AD45" s="403">
        <f>AD36*AD44</f>
        <v/>
      </c>
      <c r="AE45" s="403">
        <f>AE36*AE44</f>
        <v/>
      </c>
      <c r="AF45" s="403">
        <f>AF36*AF44</f>
        <v/>
      </c>
      <c r="AG45" s="403">
        <f>AG36*AG44</f>
        <v/>
      </c>
      <c r="AH45" s="387">
        <f>SUM(AD45:AG45)</f>
        <v/>
      </c>
      <c r="AI45" s="403">
        <f>AI36*AI44</f>
        <v/>
      </c>
      <c r="AJ45" s="403">
        <f>AJ36*AJ44</f>
        <v/>
      </c>
      <c r="AK45" s="403">
        <f>AK36*AK44</f>
        <v/>
      </c>
      <c r="AL45" s="403">
        <f>AL36*AL44</f>
        <v/>
      </c>
      <c r="AM45" s="387">
        <f>SUM(AI45:AL45)</f>
        <v/>
      </c>
      <c r="AN45" s="403">
        <f>AN36*AN44</f>
        <v/>
      </c>
      <c r="AO45" s="403">
        <f>AO36*AO44</f>
        <v/>
      </c>
      <c r="AP45" s="403">
        <f>AP36*AP44</f>
        <v/>
      </c>
      <c r="AQ45" s="403">
        <f>AQ36*AQ44</f>
        <v/>
      </c>
      <c r="AR45" s="387">
        <f>SUM(AN45:AQ45)</f>
        <v/>
      </c>
    </row>
    <row r="46" ht="3.75" customHeight="1" s="290"/>
    <row r="47" ht="15" customHeight="1" s="290">
      <c r="A47" s="418" t="inlineStr">
        <is>
          <t xml:space="preserve">    Leasing — LINE TOTALS</t>
        </is>
      </c>
    </row>
    <row r="48" ht="13.5" customHeight="1" s="290">
      <c r="A48" s="397" t="n"/>
      <c r="B48" s="398" t="inlineStr">
        <is>
          <t xml:space="preserve">  Total Producer Payout — Leasing</t>
        </is>
      </c>
      <c r="C48" s="399" t="inlineStr">
        <is>
          <t>$K</t>
        </is>
      </c>
      <c r="D48" s="397" t="n"/>
      <c r="E48" s="401">
        <f>SUM(E21,E33,E45)</f>
        <v/>
      </c>
      <c r="F48" s="401">
        <f>SUM(F21,F33,F45)</f>
        <v/>
      </c>
      <c r="G48" s="401">
        <f>SUM(G21,G33,G45)</f>
        <v/>
      </c>
      <c r="H48" s="401">
        <f>SUM(H21,H33,H45)</f>
        <v/>
      </c>
      <c r="I48" s="387">
        <f>SUM(E48:H48)</f>
        <v/>
      </c>
      <c r="J48" s="401">
        <f>SUM(J21,J33,J45)</f>
        <v/>
      </c>
      <c r="K48" s="401">
        <f>SUM(K21,K33,K45)</f>
        <v/>
      </c>
      <c r="L48" s="401">
        <f>SUM(L21,L33,L45)</f>
        <v/>
      </c>
      <c r="M48" s="401">
        <f>SUM(M21,M33,M45)</f>
        <v/>
      </c>
      <c r="N48" s="387">
        <f>SUM(J48:M48)</f>
        <v/>
      </c>
      <c r="O48" s="401">
        <f>SUM(O21,O33,O45)</f>
        <v/>
      </c>
      <c r="P48" s="401">
        <f>SUM(P21,P33,P45)</f>
        <v/>
      </c>
      <c r="Q48" s="401">
        <f>SUM(Q21,Q33,Q45)</f>
        <v/>
      </c>
      <c r="R48" s="401">
        <f>SUM(R21,R33,R45)</f>
        <v/>
      </c>
      <c r="S48" s="387">
        <f>SUM(O48:R48)</f>
        <v/>
      </c>
      <c r="T48" s="401">
        <f>SUM(T21,T33,T45)</f>
        <v/>
      </c>
      <c r="U48" s="401">
        <f>SUM(U21,U33,U45)</f>
        <v/>
      </c>
      <c r="V48" s="401">
        <f>SUM(V21,V33,V45)</f>
        <v/>
      </c>
      <c r="W48" s="401">
        <f>SUM(W21,W33,W45)</f>
        <v/>
      </c>
      <c r="X48" s="387">
        <f>SUM(T48:W48)</f>
        <v/>
      </c>
      <c r="Y48" s="401">
        <f>SUM(Y21,Y33,Y45)</f>
        <v/>
      </c>
      <c r="Z48" s="401">
        <f>SUM(Z21,Z33,Z45)</f>
        <v/>
      </c>
      <c r="AA48" s="401">
        <f>SUM(AA21,AA33,AA45)</f>
        <v/>
      </c>
      <c r="AB48" s="401">
        <f>SUM(AB21,AB33,AB45)</f>
        <v/>
      </c>
      <c r="AC48" s="387">
        <f>SUM(Y48:AB48)</f>
        <v/>
      </c>
      <c r="AD48" s="401">
        <f>SUM(AD21,AD33,AD45)</f>
        <v/>
      </c>
      <c r="AE48" s="401">
        <f>SUM(AE21,AE33,AE45)</f>
        <v/>
      </c>
      <c r="AF48" s="401">
        <f>SUM(AF21,AF33,AF45)</f>
        <v/>
      </c>
      <c r="AG48" s="401">
        <f>SUM(AG21,AG33,AG45)</f>
        <v/>
      </c>
      <c r="AH48" s="387">
        <f>SUM(AD48:AG48)</f>
        <v/>
      </c>
      <c r="AI48" s="401">
        <f>SUM(AI21,AI33,AI45)</f>
        <v/>
      </c>
      <c r="AJ48" s="401">
        <f>SUM(AJ21,AJ33,AJ45)</f>
        <v/>
      </c>
      <c r="AK48" s="401">
        <f>SUM(AK21,AK33,AK45)</f>
        <v/>
      </c>
      <c r="AL48" s="401">
        <f>SUM(AL21,AL33,AL45)</f>
        <v/>
      </c>
      <c r="AM48" s="387">
        <f>SUM(AI48:AL48)</f>
        <v/>
      </c>
      <c r="AN48" s="401">
        <f>SUM(AN21,AN33,AN45)</f>
        <v/>
      </c>
      <c r="AO48" s="401">
        <f>SUM(AO21,AO33,AO45)</f>
        <v/>
      </c>
      <c r="AP48" s="401">
        <f>SUM(AP21,AP33,AP45)</f>
        <v/>
      </c>
      <c r="AQ48" s="401">
        <f>SUM(AQ21,AQ33,AQ45)</f>
        <v/>
      </c>
      <c r="AR48" s="387">
        <f>SUM(AN48:AQ48)</f>
        <v/>
      </c>
    </row>
    <row r="49" ht="13.5" customHeight="1" s="290">
      <c r="A49" s="345" t="n"/>
      <c r="B49" s="370" t="inlineStr">
        <is>
          <t xml:space="preserve">  Line GCI — Leasing</t>
        </is>
      </c>
      <c r="C49" s="371" t="inlineStr">
        <is>
          <t>$K</t>
        </is>
      </c>
      <c r="D49" s="394" t="inlineStr">
        <is>
          <t>← Tab 05 row 41  (Net Leasing GCI)</t>
        </is>
      </c>
      <c r="E49" s="361">
        <f>'05 Revenue Engine'!E41</f>
        <v/>
      </c>
      <c r="F49" s="361">
        <f>'05 Revenue Engine'!F41</f>
        <v/>
      </c>
      <c r="G49" s="361">
        <f>'05 Revenue Engine'!G41</f>
        <v/>
      </c>
      <c r="H49" s="361">
        <f>'05 Revenue Engine'!H41</f>
        <v/>
      </c>
      <c r="I49" s="361">
        <f>SUM(E49:H49)</f>
        <v/>
      </c>
      <c r="J49" s="361">
        <f>'05 Revenue Engine'!J41</f>
        <v/>
      </c>
      <c r="K49" s="361">
        <f>'05 Revenue Engine'!K41</f>
        <v/>
      </c>
      <c r="L49" s="361">
        <f>'05 Revenue Engine'!L41</f>
        <v/>
      </c>
      <c r="M49" s="361">
        <f>'05 Revenue Engine'!M41</f>
        <v/>
      </c>
      <c r="N49" s="361">
        <f>SUM(J49:M49)</f>
        <v/>
      </c>
      <c r="O49" s="361">
        <f>'05 Revenue Engine'!O41</f>
        <v/>
      </c>
      <c r="P49" s="361">
        <f>'05 Revenue Engine'!P41</f>
        <v/>
      </c>
      <c r="Q49" s="361">
        <f>'05 Revenue Engine'!Q41</f>
        <v/>
      </c>
      <c r="R49" s="361">
        <f>'05 Revenue Engine'!R41</f>
        <v/>
      </c>
      <c r="S49" s="361">
        <f>SUM(O49:R49)</f>
        <v/>
      </c>
      <c r="T49" s="361">
        <f>'05 Revenue Engine'!T41</f>
        <v/>
      </c>
      <c r="U49" s="361">
        <f>'05 Revenue Engine'!U41</f>
        <v/>
      </c>
      <c r="V49" s="361">
        <f>'05 Revenue Engine'!V41</f>
        <v/>
      </c>
      <c r="W49" s="361">
        <f>'05 Revenue Engine'!W41</f>
        <v/>
      </c>
      <c r="X49" s="361">
        <f>SUM(T49:W49)</f>
        <v/>
      </c>
      <c r="Y49" s="361">
        <f>'05 Revenue Engine'!Y41</f>
        <v/>
      </c>
      <c r="Z49" s="361">
        <f>'05 Revenue Engine'!Z41</f>
        <v/>
      </c>
      <c r="AA49" s="361">
        <f>'05 Revenue Engine'!AA41</f>
        <v/>
      </c>
      <c r="AB49" s="361">
        <f>'05 Revenue Engine'!AB41</f>
        <v/>
      </c>
      <c r="AC49" s="361">
        <f>SUM(Y49:AB49)</f>
        <v/>
      </c>
      <c r="AD49" s="361">
        <f>'05 Revenue Engine'!AD41</f>
        <v/>
      </c>
      <c r="AE49" s="361">
        <f>'05 Revenue Engine'!AE41</f>
        <v/>
      </c>
      <c r="AF49" s="361">
        <f>'05 Revenue Engine'!AF41</f>
        <v/>
      </c>
      <c r="AG49" s="361">
        <f>'05 Revenue Engine'!AG41</f>
        <v/>
      </c>
      <c r="AH49" s="361">
        <f>SUM(AD49:AG49)</f>
        <v/>
      </c>
      <c r="AI49" s="361">
        <f>'05 Revenue Engine'!AI41</f>
        <v/>
      </c>
      <c r="AJ49" s="361">
        <f>'05 Revenue Engine'!AJ41</f>
        <v/>
      </c>
      <c r="AK49" s="361">
        <f>'05 Revenue Engine'!AK41</f>
        <v/>
      </c>
      <c r="AL49" s="361">
        <f>'05 Revenue Engine'!AL41</f>
        <v/>
      </c>
      <c r="AM49" s="361">
        <f>SUM(AI49:AL49)</f>
        <v/>
      </c>
      <c r="AN49" s="361">
        <f>'05 Revenue Engine'!AN41</f>
        <v/>
      </c>
      <c r="AO49" s="361">
        <f>'05 Revenue Engine'!AO41</f>
        <v/>
      </c>
      <c r="AP49" s="361">
        <f>'05 Revenue Engine'!AP41</f>
        <v/>
      </c>
      <c r="AQ49" s="361">
        <f>'05 Revenue Engine'!AQ41</f>
        <v/>
      </c>
      <c r="AR49" s="361">
        <f>SUM(AN49:AQ49)</f>
        <v/>
      </c>
    </row>
    <row r="50" ht="15" customHeight="1" s="290">
      <c r="A50" s="397" t="n"/>
      <c r="B50" s="398" t="inlineStr">
        <is>
          <t xml:space="preserve">  Line Company Dollar — Leasing</t>
        </is>
      </c>
      <c r="C50" s="399" t="inlineStr">
        <is>
          <t>$K</t>
        </is>
      </c>
      <c r="D50" s="400" t="inlineStr">
        <is>
          <t xml:space="preserve"> line gci − Total Payout</t>
        </is>
      </c>
      <c r="E50" s="401">
        <f>E49-E48</f>
        <v/>
      </c>
      <c r="F50" s="401">
        <f>F49-F48</f>
        <v/>
      </c>
      <c r="G50" s="401">
        <f>G49-G48</f>
        <v/>
      </c>
      <c r="H50" s="401">
        <f>H49-H48</f>
        <v/>
      </c>
      <c r="I50" s="387">
        <f>SUM(E50:H50)</f>
        <v/>
      </c>
      <c r="J50" s="401">
        <f>J49-J48</f>
        <v/>
      </c>
      <c r="K50" s="401">
        <f>K49-K48</f>
        <v/>
      </c>
      <c r="L50" s="401">
        <f>L49-L48</f>
        <v/>
      </c>
      <c r="M50" s="401">
        <f>M49-M48</f>
        <v/>
      </c>
      <c r="N50" s="387">
        <f>SUM(J50:M50)</f>
        <v/>
      </c>
      <c r="O50" s="401">
        <f>O49-O48</f>
        <v/>
      </c>
      <c r="P50" s="401">
        <f>P49-P48</f>
        <v/>
      </c>
      <c r="Q50" s="401">
        <f>Q49-Q48</f>
        <v/>
      </c>
      <c r="R50" s="401">
        <f>R49-R48</f>
        <v/>
      </c>
      <c r="S50" s="387">
        <f>SUM(O50:R50)</f>
        <v/>
      </c>
      <c r="T50" s="401">
        <f>T49-T48</f>
        <v/>
      </c>
      <c r="U50" s="401">
        <f>U49-U48</f>
        <v/>
      </c>
      <c r="V50" s="401">
        <f>V49-V48</f>
        <v/>
      </c>
      <c r="W50" s="401">
        <f>W49-W48</f>
        <v/>
      </c>
      <c r="X50" s="387">
        <f>SUM(T50:W50)</f>
        <v/>
      </c>
      <c r="Y50" s="401">
        <f>Y49-Y48</f>
        <v/>
      </c>
      <c r="Z50" s="401">
        <f>Z49-Z48</f>
        <v/>
      </c>
      <c r="AA50" s="401">
        <f>AA49-AA48</f>
        <v/>
      </c>
      <c r="AB50" s="401">
        <f>AB49-AB48</f>
        <v/>
      </c>
      <c r="AC50" s="387">
        <f>SUM(Y50:AB50)</f>
        <v/>
      </c>
      <c r="AD50" s="401">
        <f>AD49-AD48</f>
        <v/>
      </c>
      <c r="AE50" s="401">
        <f>AE49-AE48</f>
        <v/>
      </c>
      <c r="AF50" s="401">
        <f>AF49-AF48</f>
        <v/>
      </c>
      <c r="AG50" s="401">
        <f>AG49-AG48</f>
        <v/>
      </c>
      <c r="AH50" s="387">
        <f>SUM(AD50:AG50)</f>
        <v/>
      </c>
      <c r="AI50" s="401">
        <f>AI49-AI48</f>
        <v/>
      </c>
      <c r="AJ50" s="401">
        <f>AJ49-AJ48</f>
        <v/>
      </c>
      <c r="AK50" s="401">
        <f>AK49-AK48</f>
        <v/>
      </c>
      <c r="AL50" s="401">
        <f>AL49-AL48</f>
        <v/>
      </c>
      <c r="AM50" s="387">
        <f>SUM(AI50:AL50)</f>
        <v/>
      </c>
      <c r="AN50" s="401">
        <f>AN49-AN48</f>
        <v/>
      </c>
      <c r="AO50" s="401">
        <f>AO49-AO48</f>
        <v/>
      </c>
      <c r="AP50" s="401">
        <f>AP49-AP48</f>
        <v/>
      </c>
      <c r="AQ50" s="401">
        <f>AQ49-AQ48</f>
        <v/>
      </c>
      <c r="AR50" s="387">
        <f>SUM(AN50:AQ50)</f>
        <v/>
      </c>
    </row>
    <row r="51" ht="13.5" customHeight="1" s="290">
      <c r="A51" s="395" t="n"/>
      <c r="B51" s="373" t="inlineStr">
        <is>
          <t xml:space="preserve">  Effective Payout Ratio — Leasing</t>
        </is>
      </c>
      <c r="C51" s="374" t="inlineStr">
        <is>
          <t>%</t>
        </is>
      </c>
      <c r="D51" s="396" t="inlineStr">
        <is>
          <t xml:space="preserve"> payout ÷ Line GCI</t>
        </is>
      </c>
      <c r="E51" s="376">
        <f>IFERROR(E48/E49,0)</f>
        <v/>
      </c>
      <c r="F51" s="376">
        <f>IFERROR(F48/F49,0)</f>
        <v/>
      </c>
      <c r="G51" s="376">
        <f>IFERROR(G48/G49,0)</f>
        <v/>
      </c>
      <c r="H51" s="376">
        <f>IFERROR(H48/H49,0)</f>
        <v/>
      </c>
      <c r="I51" s="344">
        <f>IFERROR(I48/I49,0)</f>
        <v/>
      </c>
      <c r="J51" s="376">
        <f>IFERROR(J48/J49,0)</f>
        <v/>
      </c>
      <c r="K51" s="376">
        <f>IFERROR(K48/K49,0)</f>
        <v/>
      </c>
      <c r="L51" s="376">
        <f>IFERROR(L48/L49,0)</f>
        <v/>
      </c>
      <c r="M51" s="376">
        <f>IFERROR(M48/M49,0)</f>
        <v/>
      </c>
      <c r="N51" s="344">
        <f>IFERROR(N48/N49,0)</f>
        <v/>
      </c>
      <c r="O51" s="376">
        <f>IFERROR(O48/O49,0)</f>
        <v/>
      </c>
      <c r="P51" s="376">
        <f>IFERROR(P48/P49,0)</f>
        <v/>
      </c>
      <c r="Q51" s="376">
        <f>IFERROR(Q48/Q49,0)</f>
        <v/>
      </c>
      <c r="R51" s="376">
        <f>IFERROR(R48/R49,0)</f>
        <v/>
      </c>
      <c r="S51" s="344">
        <f>IFERROR(S48/S49,0)</f>
        <v/>
      </c>
      <c r="T51" s="376">
        <f>IFERROR(T48/T49,0)</f>
        <v/>
      </c>
      <c r="U51" s="376">
        <f>IFERROR(U48/U49,0)</f>
        <v/>
      </c>
      <c r="V51" s="376">
        <f>IFERROR(V48/V49,0)</f>
        <v/>
      </c>
      <c r="W51" s="376">
        <f>IFERROR(W48/W49,0)</f>
        <v/>
      </c>
      <c r="X51" s="344">
        <f>IFERROR(X48/X49,0)</f>
        <v/>
      </c>
      <c r="Y51" s="376">
        <f>IFERROR(Y48/Y49,0)</f>
        <v/>
      </c>
      <c r="Z51" s="376">
        <f>IFERROR(Z48/Z49,0)</f>
        <v/>
      </c>
      <c r="AA51" s="376">
        <f>IFERROR(AA48/AA49,0)</f>
        <v/>
      </c>
      <c r="AB51" s="376">
        <f>IFERROR(AB48/AB49,0)</f>
        <v/>
      </c>
      <c r="AC51" s="344">
        <f>IFERROR(AC48/AC49,0)</f>
        <v/>
      </c>
      <c r="AD51" s="376">
        <f>IFERROR(AD48/AD49,0)</f>
        <v/>
      </c>
      <c r="AE51" s="376">
        <f>IFERROR(AE48/AE49,0)</f>
        <v/>
      </c>
      <c r="AF51" s="376">
        <f>IFERROR(AF48/AF49,0)</f>
        <v/>
      </c>
      <c r="AG51" s="376">
        <f>IFERROR(AG48/AG49,0)</f>
        <v/>
      </c>
      <c r="AH51" s="344">
        <f>IFERROR(AH48/AH49,0)</f>
        <v/>
      </c>
      <c r="AI51" s="376">
        <f>IFERROR(AI48/AI49,0)</f>
        <v/>
      </c>
      <c r="AJ51" s="376">
        <f>IFERROR(AJ48/AJ49,0)</f>
        <v/>
      </c>
      <c r="AK51" s="376">
        <f>IFERROR(AK48/AK49,0)</f>
        <v/>
      </c>
      <c r="AL51" s="376">
        <f>IFERROR(AL48/AL49,0)</f>
        <v/>
      </c>
      <c r="AM51" s="344">
        <f>IFERROR(AM48/AM49,0)</f>
        <v/>
      </c>
      <c r="AN51" s="376">
        <f>IFERROR(AN48/AN49,0)</f>
        <v/>
      </c>
      <c r="AO51" s="376">
        <f>IFERROR(AO48/AO49,0)</f>
        <v/>
      </c>
      <c r="AP51" s="376">
        <f>IFERROR(AP48/AP49,0)</f>
        <v/>
      </c>
      <c r="AQ51" s="376">
        <f>IFERROR(AQ48/AQ49,0)</f>
        <v/>
      </c>
      <c r="AR51" s="344">
        <f>IFERROR(AR48/AR49,0)</f>
        <v/>
      </c>
    </row>
    <row r="52" ht="4.5" customHeight="1" s="290"/>
    <row r="53" ht="3" customHeight="1" s="290">
      <c r="A53" s="293" t="n"/>
    </row>
    <row r="54" ht="4.5" customHeight="1" s="290"/>
    <row r="55" ht="15" customHeight="1" s="290">
      <c r="A55" s="307" t="inlineStr">
        <is>
          <t xml:space="preserve">    INVESTMENT SALES — PRODUCER PAYOUT</t>
        </is>
      </c>
    </row>
    <row r="56" ht="3" customHeight="1" s="290"/>
    <row r="57" ht="13.5" customHeight="1" s="290">
      <c r="A57" s="369" t="inlineStr">
        <is>
          <t xml:space="preserve">    ── Rainmaker ──</t>
        </is>
      </c>
    </row>
    <row r="58" ht="13.5" customHeight="1" s="290">
      <c r="A58" s="395" t="n"/>
      <c r="B58" s="373" t="inlineStr">
        <is>
          <t xml:space="preserve">  Tier GCI — Rainmaker</t>
        </is>
      </c>
      <c r="C58" s="374" t="inlineStr">
        <is>
          <t>$K</t>
        </is>
      </c>
      <c r="D58" s="396" t="inlineStr">
        <is>
          <t xml:space="preserve"> (tier share) × Net Investment Sales GCI</t>
        </is>
      </c>
      <c r="E58" s="376">
        <f>IFERROR('05 Revenue Engine'!E77/'05 Revenue Engine'!E80*'05 Revenue Engine'!E88,0)</f>
        <v/>
      </c>
      <c r="F58" s="376">
        <f>IFERROR('05 Revenue Engine'!F77/'05 Revenue Engine'!F80*'05 Revenue Engine'!F88,0)</f>
        <v/>
      </c>
      <c r="G58" s="376">
        <f>IFERROR('05 Revenue Engine'!G77/'05 Revenue Engine'!G80*'05 Revenue Engine'!G88,0)</f>
        <v/>
      </c>
      <c r="H58" s="376">
        <f>IFERROR('05 Revenue Engine'!H77/'05 Revenue Engine'!H80*'05 Revenue Engine'!H88,0)</f>
        <v/>
      </c>
      <c r="I58" s="344">
        <f>SUM(E58:H58)</f>
        <v/>
      </c>
      <c r="J58" s="376">
        <f>IFERROR('05 Revenue Engine'!J77/'05 Revenue Engine'!J80*'05 Revenue Engine'!J88,0)</f>
        <v/>
      </c>
      <c r="K58" s="376">
        <f>IFERROR('05 Revenue Engine'!K77/'05 Revenue Engine'!K80*'05 Revenue Engine'!K88,0)</f>
        <v/>
      </c>
      <c r="L58" s="376">
        <f>IFERROR('05 Revenue Engine'!L77/'05 Revenue Engine'!L80*'05 Revenue Engine'!L88,0)</f>
        <v/>
      </c>
      <c r="M58" s="376">
        <f>IFERROR('05 Revenue Engine'!M77/'05 Revenue Engine'!M80*'05 Revenue Engine'!M88,0)</f>
        <v/>
      </c>
      <c r="N58" s="344">
        <f>SUM(J58:M58)</f>
        <v/>
      </c>
      <c r="O58" s="376">
        <f>IFERROR('05 Revenue Engine'!O77/'05 Revenue Engine'!O80*'05 Revenue Engine'!O88,0)</f>
        <v/>
      </c>
      <c r="P58" s="376">
        <f>IFERROR('05 Revenue Engine'!P77/'05 Revenue Engine'!P80*'05 Revenue Engine'!P88,0)</f>
        <v/>
      </c>
      <c r="Q58" s="376">
        <f>IFERROR('05 Revenue Engine'!Q77/'05 Revenue Engine'!Q80*'05 Revenue Engine'!Q88,0)</f>
        <v/>
      </c>
      <c r="R58" s="376">
        <f>IFERROR('05 Revenue Engine'!R77/'05 Revenue Engine'!R80*'05 Revenue Engine'!R88,0)</f>
        <v/>
      </c>
      <c r="S58" s="344">
        <f>SUM(O58:R58)</f>
        <v/>
      </c>
      <c r="T58" s="376">
        <f>IFERROR('05 Revenue Engine'!T77/'05 Revenue Engine'!T80*'05 Revenue Engine'!T88,0)</f>
        <v/>
      </c>
      <c r="U58" s="376">
        <f>IFERROR('05 Revenue Engine'!U77/'05 Revenue Engine'!U80*'05 Revenue Engine'!U88,0)</f>
        <v/>
      </c>
      <c r="V58" s="376">
        <f>IFERROR('05 Revenue Engine'!V77/'05 Revenue Engine'!V80*'05 Revenue Engine'!V88,0)</f>
        <v/>
      </c>
      <c r="W58" s="376">
        <f>IFERROR('05 Revenue Engine'!W77/'05 Revenue Engine'!W80*'05 Revenue Engine'!W88,0)</f>
        <v/>
      </c>
      <c r="X58" s="344">
        <f>SUM(T58:W58)</f>
        <v/>
      </c>
      <c r="Y58" s="376">
        <f>IFERROR('05 Revenue Engine'!Y77/'05 Revenue Engine'!Y80*'05 Revenue Engine'!Y88,0)</f>
        <v/>
      </c>
      <c r="Z58" s="376">
        <f>IFERROR('05 Revenue Engine'!Z77/'05 Revenue Engine'!Z80*'05 Revenue Engine'!Z88,0)</f>
        <v/>
      </c>
      <c r="AA58" s="376">
        <f>IFERROR('05 Revenue Engine'!AA77/'05 Revenue Engine'!AA80*'05 Revenue Engine'!AA88,0)</f>
        <v/>
      </c>
      <c r="AB58" s="376">
        <f>IFERROR('05 Revenue Engine'!AB77/'05 Revenue Engine'!AB80*'05 Revenue Engine'!AB88,0)</f>
        <v/>
      </c>
      <c r="AC58" s="344">
        <f>SUM(Y58:AB58)</f>
        <v/>
      </c>
      <c r="AD58" s="376">
        <f>IFERROR('05 Revenue Engine'!AD77/'05 Revenue Engine'!AD80*'05 Revenue Engine'!AD88,0)</f>
        <v/>
      </c>
      <c r="AE58" s="376">
        <f>IFERROR('05 Revenue Engine'!AE77/'05 Revenue Engine'!AE80*'05 Revenue Engine'!AE88,0)</f>
        <v/>
      </c>
      <c r="AF58" s="376">
        <f>IFERROR('05 Revenue Engine'!AF77/'05 Revenue Engine'!AF80*'05 Revenue Engine'!AF88,0)</f>
        <v/>
      </c>
      <c r="AG58" s="376">
        <f>IFERROR('05 Revenue Engine'!AG77/'05 Revenue Engine'!AG80*'05 Revenue Engine'!AG88,0)</f>
        <v/>
      </c>
      <c r="AH58" s="344">
        <f>SUM(AD58:AG58)</f>
        <v/>
      </c>
      <c r="AI58" s="376">
        <f>IFERROR('05 Revenue Engine'!AI77/'05 Revenue Engine'!AI80*'05 Revenue Engine'!AI88,0)</f>
        <v/>
      </c>
      <c r="AJ58" s="376">
        <f>IFERROR('05 Revenue Engine'!AJ77/'05 Revenue Engine'!AJ80*'05 Revenue Engine'!AJ88,0)</f>
        <v/>
      </c>
      <c r="AK58" s="376">
        <f>IFERROR('05 Revenue Engine'!AK77/'05 Revenue Engine'!AK80*'05 Revenue Engine'!AK88,0)</f>
        <v/>
      </c>
      <c r="AL58" s="376">
        <f>IFERROR('05 Revenue Engine'!AL77/'05 Revenue Engine'!AL80*'05 Revenue Engine'!AL88,0)</f>
        <v/>
      </c>
      <c r="AM58" s="344">
        <f>SUM(AI58:AL58)</f>
        <v/>
      </c>
      <c r="AN58" s="376">
        <f>IFERROR('05 Revenue Engine'!AN77/'05 Revenue Engine'!AN80*'05 Revenue Engine'!AN88,0)</f>
        <v/>
      </c>
      <c r="AO58" s="376">
        <f>IFERROR('05 Revenue Engine'!AO77/'05 Revenue Engine'!AO80*'05 Revenue Engine'!AO88,0)</f>
        <v/>
      </c>
      <c r="AP58" s="376">
        <f>IFERROR('05 Revenue Engine'!AP77/'05 Revenue Engine'!AP80*'05 Revenue Engine'!AP88,0)</f>
        <v/>
      </c>
      <c r="AQ58" s="376">
        <f>IFERROR('05 Revenue Engine'!AQ77/'05 Revenue Engine'!AQ80*'05 Revenue Engine'!AQ88,0)</f>
        <v/>
      </c>
      <c r="AR58" s="344">
        <f>SUM(AN58:AQ58)</f>
        <v/>
      </c>
    </row>
    <row r="59" ht="13.5" customHeight="1" s="290">
      <c r="A59" s="345" t="n"/>
      <c r="B59" s="370" t="inlineStr">
        <is>
          <t xml:space="preserve">  EPE — Rainmaker</t>
        </is>
      </c>
      <c r="C59" s="371" t="inlineStr">
        <is>
          <t>EPE</t>
        </is>
      </c>
      <c r="D59" s="394" t="inlineStr">
        <is>
          <t>← Tab 04 row 67</t>
        </is>
      </c>
      <c r="E59" s="361">
        <f>'04 Producer Engine'!E67</f>
        <v/>
      </c>
      <c r="F59" s="361">
        <f>'04 Producer Engine'!F67</f>
        <v/>
      </c>
      <c r="G59" s="361">
        <f>'04 Producer Engine'!G67</f>
        <v/>
      </c>
      <c r="H59" s="361">
        <f>'04 Producer Engine'!H67</f>
        <v/>
      </c>
      <c r="I59" s="361">
        <f>AVERAGE(E59:H59)</f>
        <v/>
      </c>
      <c r="J59" s="361">
        <f>'04 Producer Engine'!J67</f>
        <v/>
      </c>
      <c r="K59" s="361">
        <f>'04 Producer Engine'!K67</f>
        <v/>
      </c>
      <c r="L59" s="361">
        <f>'04 Producer Engine'!L67</f>
        <v/>
      </c>
      <c r="M59" s="361">
        <f>'04 Producer Engine'!M67</f>
        <v/>
      </c>
      <c r="N59" s="361">
        <f>AVERAGE(J59:M59)</f>
        <v/>
      </c>
      <c r="O59" s="361">
        <f>'04 Producer Engine'!O67</f>
        <v/>
      </c>
      <c r="P59" s="361">
        <f>'04 Producer Engine'!P67</f>
        <v/>
      </c>
      <c r="Q59" s="361">
        <f>'04 Producer Engine'!Q67</f>
        <v/>
      </c>
      <c r="R59" s="361">
        <f>'04 Producer Engine'!R67</f>
        <v/>
      </c>
      <c r="S59" s="361">
        <f>AVERAGE(O59:R59)</f>
        <v/>
      </c>
      <c r="T59" s="361">
        <f>'04 Producer Engine'!T67</f>
        <v/>
      </c>
      <c r="U59" s="361">
        <f>'04 Producer Engine'!U67</f>
        <v/>
      </c>
      <c r="V59" s="361">
        <f>'04 Producer Engine'!V67</f>
        <v/>
      </c>
      <c r="W59" s="361">
        <f>'04 Producer Engine'!W67</f>
        <v/>
      </c>
      <c r="X59" s="361">
        <f>AVERAGE(T59:W59)</f>
        <v/>
      </c>
      <c r="Y59" s="361">
        <f>'04 Producer Engine'!Y67</f>
        <v/>
      </c>
      <c r="Z59" s="361">
        <f>'04 Producer Engine'!Z67</f>
        <v/>
      </c>
      <c r="AA59" s="361">
        <f>'04 Producer Engine'!AA67</f>
        <v/>
      </c>
      <c r="AB59" s="361">
        <f>'04 Producer Engine'!AB67</f>
        <v/>
      </c>
      <c r="AC59" s="361">
        <f>AVERAGE(Y59:AB59)</f>
        <v/>
      </c>
      <c r="AD59" s="361">
        <f>'04 Producer Engine'!AD67</f>
        <v/>
      </c>
      <c r="AE59" s="361">
        <f>'04 Producer Engine'!AE67</f>
        <v/>
      </c>
      <c r="AF59" s="361">
        <f>'04 Producer Engine'!AF67</f>
        <v/>
      </c>
      <c r="AG59" s="361">
        <f>'04 Producer Engine'!AG67</f>
        <v/>
      </c>
      <c r="AH59" s="361">
        <f>AVERAGE(AD59:AG59)</f>
        <v/>
      </c>
      <c r="AI59" s="361">
        <f>'04 Producer Engine'!AI67</f>
        <v/>
      </c>
      <c r="AJ59" s="361">
        <f>'04 Producer Engine'!AJ67</f>
        <v/>
      </c>
      <c r="AK59" s="361">
        <f>'04 Producer Engine'!AK67</f>
        <v/>
      </c>
      <c r="AL59" s="361">
        <f>'04 Producer Engine'!AL67</f>
        <v/>
      </c>
      <c r="AM59" s="361">
        <f>AVERAGE(AI59:AL59)</f>
        <v/>
      </c>
      <c r="AN59" s="361">
        <f>'04 Producer Engine'!AN67</f>
        <v/>
      </c>
      <c r="AO59" s="361">
        <f>'04 Producer Engine'!AO67</f>
        <v/>
      </c>
      <c r="AP59" s="361">
        <f>'04 Producer Engine'!AP67</f>
        <v/>
      </c>
      <c r="AQ59" s="361">
        <f>'04 Producer Engine'!AQ67</f>
        <v/>
      </c>
      <c r="AR59" s="361">
        <f>AVERAGE(AN59:AQ59)</f>
        <v/>
      </c>
    </row>
    <row r="60" ht="13.5" customHeight="1" s="290">
      <c r="A60" s="395" t="n"/>
      <c r="B60" s="373" t="inlineStr">
        <is>
          <t xml:space="preserve">  GCI per EPE Annualized — Rainmaker</t>
        </is>
      </c>
      <c r="C60" s="374" t="inlineStr">
        <is>
          <t>$K/EPE/yr</t>
        </is>
      </c>
      <c r="D60" s="396" t="inlineStr">
        <is>
          <t xml:space="preserve"> (tier gci ÷ Tier EPE) × 4  [annualized for threshold comparison])</t>
        </is>
      </c>
      <c r="E60" s="376">
        <f>IFERROR(E58/E59*4,0)</f>
        <v/>
      </c>
      <c r="F60" s="376">
        <f>IFERROR(F58/F59*4,0)</f>
        <v/>
      </c>
      <c r="G60" s="376">
        <f>IFERROR(G58/G59*4,0)</f>
        <v/>
      </c>
      <c r="H60" s="376">
        <f>IFERROR(H58/H59*4,0)</f>
        <v/>
      </c>
      <c r="I60" s="344">
        <f>IFERROR(I58/I59,0)</f>
        <v/>
      </c>
      <c r="J60" s="376">
        <f>IFERROR(J58/J59*4,0)</f>
        <v/>
      </c>
      <c r="K60" s="376">
        <f>IFERROR(K58/K59*4,0)</f>
        <v/>
      </c>
      <c r="L60" s="376">
        <f>IFERROR(L58/L59*4,0)</f>
        <v/>
      </c>
      <c r="M60" s="376">
        <f>IFERROR(M58/M59*4,0)</f>
        <v/>
      </c>
      <c r="N60" s="344">
        <f>IFERROR(N58/N59,0)</f>
        <v/>
      </c>
      <c r="O60" s="376">
        <f>IFERROR(O58/O59*4,0)</f>
        <v/>
      </c>
      <c r="P60" s="376">
        <f>IFERROR(P58/P59*4,0)</f>
        <v/>
      </c>
      <c r="Q60" s="376">
        <f>IFERROR(Q58/Q59*4,0)</f>
        <v/>
      </c>
      <c r="R60" s="376">
        <f>IFERROR(R58/R59*4,0)</f>
        <v/>
      </c>
      <c r="S60" s="344">
        <f>IFERROR(S58/S59,0)</f>
        <v/>
      </c>
      <c r="T60" s="376">
        <f>IFERROR(T58/T59*4,0)</f>
        <v/>
      </c>
      <c r="U60" s="376">
        <f>IFERROR(U58/U59*4,0)</f>
        <v/>
      </c>
      <c r="V60" s="376">
        <f>IFERROR(V58/V59*4,0)</f>
        <v/>
      </c>
      <c r="W60" s="376">
        <f>IFERROR(W58/W59*4,0)</f>
        <v/>
      </c>
      <c r="X60" s="344">
        <f>IFERROR(X58/X59,0)</f>
        <v/>
      </c>
      <c r="Y60" s="376">
        <f>IFERROR(Y58/Y59*4,0)</f>
        <v/>
      </c>
      <c r="Z60" s="376">
        <f>IFERROR(Z58/Z59*4,0)</f>
        <v/>
      </c>
      <c r="AA60" s="376">
        <f>IFERROR(AA58/AA59*4,0)</f>
        <v/>
      </c>
      <c r="AB60" s="376">
        <f>IFERROR(AB58/AB59*4,0)</f>
        <v/>
      </c>
      <c r="AC60" s="344">
        <f>IFERROR(AC58/AC59,0)</f>
        <v/>
      </c>
      <c r="AD60" s="376">
        <f>IFERROR(AD58/AD59*4,0)</f>
        <v/>
      </c>
      <c r="AE60" s="376">
        <f>IFERROR(AE58/AE59*4,0)</f>
        <v/>
      </c>
      <c r="AF60" s="376">
        <f>IFERROR(AF58/AF59*4,0)</f>
        <v/>
      </c>
      <c r="AG60" s="376">
        <f>IFERROR(AG58/AG59*4,0)</f>
        <v/>
      </c>
      <c r="AH60" s="344">
        <f>IFERROR(AH58/AH59,0)</f>
        <v/>
      </c>
      <c r="AI60" s="376">
        <f>IFERROR(AI58/AI59*4,0)</f>
        <v/>
      </c>
      <c r="AJ60" s="376">
        <f>IFERROR(AJ58/AJ59*4,0)</f>
        <v/>
      </c>
      <c r="AK60" s="376">
        <f>IFERROR(AK58/AK59*4,0)</f>
        <v/>
      </c>
      <c r="AL60" s="376">
        <f>IFERROR(AL58/AL59*4,0)</f>
        <v/>
      </c>
      <c r="AM60" s="344">
        <f>IFERROR(AM58/AM59,0)</f>
        <v/>
      </c>
      <c r="AN60" s="376">
        <f>IFERROR(AN58/AN59*4,0)</f>
        <v/>
      </c>
      <c r="AO60" s="376">
        <f>IFERROR(AO58/AO59*4,0)</f>
        <v/>
      </c>
      <c r="AP60" s="376">
        <f>IFERROR(AP58/AP59*4,0)</f>
        <v/>
      </c>
      <c r="AQ60" s="376">
        <f>IFERROR(AQ58/AQ59*4,0)</f>
        <v/>
      </c>
      <c r="AR60" s="344">
        <f>IFERROR(AR58/AR59,0)</f>
        <v/>
      </c>
    </row>
    <row r="61" ht="13.5" customHeight="1" s="290">
      <c r="A61" s="345" t="n"/>
      <c r="B61" s="370" t="inlineStr">
        <is>
          <t xml:space="preserve">  Split Threshold 1 — Rainmaker</t>
        </is>
      </c>
      <c r="C61" s="371" t="inlineStr">
        <is>
          <t>$K GCI/yr</t>
        </is>
      </c>
      <c r="D61" s="394" t="inlineStr">
        <is>
          <t>← Tab 03 row 258 col E</t>
        </is>
      </c>
      <c r="E61" s="361">
        <f>'03 Operational Assumptions'!E258</f>
        <v/>
      </c>
      <c r="F61" s="361">
        <f>'03 Operational Assumptions'!E258</f>
        <v/>
      </c>
      <c r="G61" s="361">
        <f>'03 Operational Assumptions'!E258</f>
        <v/>
      </c>
      <c r="H61" s="361">
        <f>'03 Operational Assumptions'!E258</f>
        <v/>
      </c>
      <c r="I61" s="361">
        <f>'03 Operational Assumptions'!E258</f>
        <v/>
      </c>
      <c r="J61" s="361">
        <f>'03 Operational Assumptions'!E258</f>
        <v/>
      </c>
      <c r="K61" s="361">
        <f>'03 Operational Assumptions'!E258</f>
        <v/>
      </c>
      <c r="L61" s="361">
        <f>'03 Operational Assumptions'!E258</f>
        <v/>
      </c>
      <c r="M61" s="361">
        <f>'03 Operational Assumptions'!E258</f>
        <v/>
      </c>
      <c r="N61" s="361">
        <f>'03 Operational Assumptions'!E258</f>
        <v/>
      </c>
      <c r="O61" s="361">
        <f>'03 Operational Assumptions'!E258</f>
        <v/>
      </c>
      <c r="P61" s="361">
        <f>'03 Operational Assumptions'!E258</f>
        <v/>
      </c>
      <c r="Q61" s="361">
        <f>'03 Operational Assumptions'!E258</f>
        <v/>
      </c>
      <c r="R61" s="361">
        <f>'03 Operational Assumptions'!E258</f>
        <v/>
      </c>
      <c r="S61" s="361">
        <f>'03 Operational Assumptions'!E258</f>
        <v/>
      </c>
      <c r="T61" s="361">
        <f>'03 Operational Assumptions'!E258</f>
        <v/>
      </c>
      <c r="U61" s="361">
        <f>'03 Operational Assumptions'!E258</f>
        <v/>
      </c>
      <c r="V61" s="361">
        <f>'03 Operational Assumptions'!E258</f>
        <v/>
      </c>
      <c r="W61" s="361">
        <f>'03 Operational Assumptions'!E258</f>
        <v/>
      </c>
      <c r="X61" s="361">
        <f>'03 Operational Assumptions'!E258</f>
        <v/>
      </c>
      <c r="Y61" s="361">
        <f>'03 Operational Assumptions'!E258</f>
        <v/>
      </c>
      <c r="Z61" s="361">
        <f>'03 Operational Assumptions'!E258</f>
        <v/>
      </c>
      <c r="AA61" s="361">
        <f>'03 Operational Assumptions'!E258</f>
        <v/>
      </c>
      <c r="AB61" s="361">
        <f>'03 Operational Assumptions'!E258</f>
        <v/>
      </c>
      <c r="AC61" s="361">
        <f>'03 Operational Assumptions'!E258</f>
        <v/>
      </c>
      <c r="AD61" s="361">
        <f>'03 Operational Assumptions'!E258</f>
        <v/>
      </c>
      <c r="AE61" s="361">
        <f>'03 Operational Assumptions'!E258</f>
        <v/>
      </c>
      <c r="AF61" s="361">
        <f>'03 Operational Assumptions'!E258</f>
        <v/>
      </c>
      <c r="AG61" s="361">
        <f>'03 Operational Assumptions'!E258</f>
        <v/>
      </c>
      <c r="AH61" s="361">
        <f>'03 Operational Assumptions'!E258</f>
        <v/>
      </c>
      <c r="AI61" s="361">
        <f>'03 Operational Assumptions'!E258</f>
        <v/>
      </c>
      <c r="AJ61" s="361">
        <f>'03 Operational Assumptions'!E258</f>
        <v/>
      </c>
      <c r="AK61" s="361">
        <f>'03 Operational Assumptions'!E258</f>
        <v/>
      </c>
      <c r="AL61" s="361">
        <f>'03 Operational Assumptions'!E258</f>
        <v/>
      </c>
      <c r="AM61" s="361">
        <f>'03 Operational Assumptions'!E258</f>
        <v/>
      </c>
      <c r="AN61" s="361">
        <f>'03 Operational Assumptions'!E258</f>
        <v/>
      </c>
      <c r="AO61" s="361">
        <f>'03 Operational Assumptions'!E258</f>
        <v/>
      </c>
      <c r="AP61" s="361">
        <f>'03 Operational Assumptions'!E258</f>
        <v/>
      </c>
      <c r="AQ61" s="361">
        <f>'03 Operational Assumptions'!E258</f>
        <v/>
      </c>
      <c r="AR61" s="361">
        <f>'03 Operational Assumptions'!E258</f>
        <v/>
      </c>
    </row>
    <row r="62" ht="13.5" customHeight="1" s="290">
      <c r="A62" s="345" t="n"/>
      <c r="B62" s="370" t="inlineStr">
        <is>
          <t xml:space="preserve">  Split % at T1 (S1) — Rainmaker</t>
        </is>
      </c>
      <c r="C62" s="371" t="inlineStr">
        <is>
          <t>%</t>
        </is>
      </c>
      <c r="D62" s="394" t="inlineStr">
        <is>
          <t>← Tab 03 row 258 col F</t>
        </is>
      </c>
      <c r="E62" s="361">
        <f>'03 Operational Assumptions'!F258</f>
        <v/>
      </c>
      <c r="F62" s="361">
        <f>'03 Operational Assumptions'!F258</f>
        <v/>
      </c>
      <c r="G62" s="361">
        <f>'03 Operational Assumptions'!F258</f>
        <v/>
      </c>
      <c r="H62" s="361">
        <f>'03 Operational Assumptions'!F258</f>
        <v/>
      </c>
      <c r="I62" s="361">
        <f>'03 Operational Assumptions'!F258</f>
        <v/>
      </c>
      <c r="J62" s="361">
        <f>'03 Operational Assumptions'!F258</f>
        <v/>
      </c>
      <c r="K62" s="361">
        <f>'03 Operational Assumptions'!F258</f>
        <v/>
      </c>
      <c r="L62" s="361">
        <f>'03 Operational Assumptions'!F258</f>
        <v/>
      </c>
      <c r="M62" s="361">
        <f>'03 Operational Assumptions'!F258</f>
        <v/>
      </c>
      <c r="N62" s="361">
        <f>'03 Operational Assumptions'!F258</f>
        <v/>
      </c>
      <c r="O62" s="361">
        <f>'03 Operational Assumptions'!F258</f>
        <v/>
      </c>
      <c r="P62" s="361">
        <f>'03 Operational Assumptions'!F258</f>
        <v/>
      </c>
      <c r="Q62" s="361">
        <f>'03 Operational Assumptions'!F258</f>
        <v/>
      </c>
      <c r="R62" s="361">
        <f>'03 Operational Assumptions'!F258</f>
        <v/>
      </c>
      <c r="S62" s="361">
        <f>'03 Operational Assumptions'!F258</f>
        <v/>
      </c>
      <c r="T62" s="361">
        <f>'03 Operational Assumptions'!F258</f>
        <v/>
      </c>
      <c r="U62" s="361">
        <f>'03 Operational Assumptions'!F258</f>
        <v/>
      </c>
      <c r="V62" s="361">
        <f>'03 Operational Assumptions'!F258</f>
        <v/>
      </c>
      <c r="W62" s="361">
        <f>'03 Operational Assumptions'!F258</f>
        <v/>
      </c>
      <c r="X62" s="361">
        <f>'03 Operational Assumptions'!F258</f>
        <v/>
      </c>
      <c r="Y62" s="361">
        <f>'03 Operational Assumptions'!F258</f>
        <v/>
      </c>
      <c r="Z62" s="361">
        <f>'03 Operational Assumptions'!F258</f>
        <v/>
      </c>
      <c r="AA62" s="361">
        <f>'03 Operational Assumptions'!F258</f>
        <v/>
      </c>
      <c r="AB62" s="361">
        <f>'03 Operational Assumptions'!F258</f>
        <v/>
      </c>
      <c r="AC62" s="361">
        <f>'03 Operational Assumptions'!F258</f>
        <v/>
      </c>
      <c r="AD62" s="361">
        <f>'03 Operational Assumptions'!F258</f>
        <v/>
      </c>
      <c r="AE62" s="361">
        <f>'03 Operational Assumptions'!F258</f>
        <v/>
      </c>
      <c r="AF62" s="361">
        <f>'03 Operational Assumptions'!F258</f>
        <v/>
      </c>
      <c r="AG62" s="361">
        <f>'03 Operational Assumptions'!F258</f>
        <v/>
      </c>
      <c r="AH62" s="361">
        <f>'03 Operational Assumptions'!F258</f>
        <v/>
      </c>
      <c r="AI62" s="361">
        <f>'03 Operational Assumptions'!F258</f>
        <v/>
      </c>
      <c r="AJ62" s="361">
        <f>'03 Operational Assumptions'!F258</f>
        <v/>
      </c>
      <c r="AK62" s="361">
        <f>'03 Operational Assumptions'!F258</f>
        <v/>
      </c>
      <c r="AL62" s="361">
        <f>'03 Operational Assumptions'!F258</f>
        <v/>
      </c>
      <c r="AM62" s="361">
        <f>'03 Operational Assumptions'!F258</f>
        <v/>
      </c>
      <c r="AN62" s="361">
        <f>'03 Operational Assumptions'!F258</f>
        <v/>
      </c>
      <c r="AO62" s="361">
        <f>'03 Operational Assumptions'!F258</f>
        <v/>
      </c>
      <c r="AP62" s="361">
        <f>'03 Operational Assumptions'!F258</f>
        <v/>
      </c>
      <c r="AQ62" s="361">
        <f>'03 Operational Assumptions'!F258</f>
        <v/>
      </c>
      <c r="AR62" s="361">
        <f>'03 Operational Assumptions'!F258</f>
        <v/>
      </c>
    </row>
    <row r="63" ht="13.5" customHeight="1" s="290">
      <c r="A63" s="345" t="n"/>
      <c r="B63" s="370" t="inlineStr">
        <is>
          <t xml:space="preserve">  Split Threshold 2 — Rainmaker</t>
        </is>
      </c>
      <c r="C63" s="371" t="inlineStr">
        <is>
          <t>$K GCI/yr</t>
        </is>
      </c>
      <c r="D63" s="394" t="inlineStr">
        <is>
          <t>← Tab 03 row 258 col G</t>
        </is>
      </c>
      <c r="E63" s="361">
        <f>'03 Operational Assumptions'!G258</f>
        <v/>
      </c>
      <c r="F63" s="361">
        <f>'03 Operational Assumptions'!G258</f>
        <v/>
      </c>
      <c r="G63" s="361">
        <f>'03 Operational Assumptions'!G258</f>
        <v/>
      </c>
      <c r="H63" s="361">
        <f>'03 Operational Assumptions'!G258</f>
        <v/>
      </c>
      <c r="I63" s="361">
        <f>'03 Operational Assumptions'!G258</f>
        <v/>
      </c>
      <c r="J63" s="361">
        <f>'03 Operational Assumptions'!G258</f>
        <v/>
      </c>
      <c r="K63" s="361">
        <f>'03 Operational Assumptions'!G258</f>
        <v/>
      </c>
      <c r="L63" s="361">
        <f>'03 Operational Assumptions'!G258</f>
        <v/>
      </c>
      <c r="M63" s="361">
        <f>'03 Operational Assumptions'!G258</f>
        <v/>
      </c>
      <c r="N63" s="361">
        <f>'03 Operational Assumptions'!G258</f>
        <v/>
      </c>
      <c r="O63" s="361">
        <f>'03 Operational Assumptions'!G258</f>
        <v/>
      </c>
      <c r="P63" s="361">
        <f>'03 Operational Assumptions'!G258</f>
        <v/>
      </c>
      <c r="Q63" s="361">
        <f>'03 Operational Assumptions'!G258</f>
        <v/>
      </c>
      <c r="R63" s="361">
        <f>'03 Operational Assumptions'!G258</f>
        <v/>
      </c>
      <c r="S63" s="361">
        <f>'03 Operational Assumptions'!G258</f>
        <v/>
      </c>
      <c r="T63" s="361">
        <f>'03 Operational Assumptions'!G258</f>
        <v/>
      </c>
      <c r="U63" s="361">
        <f>'03 Operational Assumptions'!G258</f>
        <v/>
      </c>
      <c r="V63" s="361">
        <f>'03 Operational Assumptions'!G258</f>
        <v/>
      </c>
      <c r="W63" s="361">
        <f>'03 Operational Assumptions'!G258</f>
        <v/>
      </c>
      <c r="X63" s="361">
        <f>'03 Operational Assumptions'!G258</f>
        <v/>
      </c>
      <c r="Y63" s="361">
        <f>'03 Operational Assumptions'!G258</f>
        <v/>
      </c>
      <c r="Z63" s="361">
        <f>'03 Operational Assumptions'!G258</f>
        <v/>
      </c>
      <c r="AA63" s="361">
        <f>'03 Operational Assumptions'!G258</f>
        <v/>
      </c>
      <c r="AB63" s="361">
        <f>'03 Operational Assumptions'!G258</f>
        <v/>
      </c>
      <c r="AC63" s="361">
        <f>'03 Operational Assumptions'!G258</f>
        <v/>
      </c>
      <c r="AD63" s="361">
        <f>'03 Operational Assumptions'!G258</f>
        <v/>
      </c>
      <c r="AE63" s="361">
        <f>'03 Operational Assumptions'!G258</f>
        <v/>
      </c>
      <c r="AF63" s="361">
        <f>'03 Operational Assumptions'!G258</f>
        <v/>
      </c>
      <c r="AG63" s="361">
        <f>'03 Operational Assumptions'!G258</f>
        <v/>
      </c>
      <c r="AH63" s="361">
        <f>'03 Operational Assumptions'!G258</f>
        <v/>
      </c>
      <c r="AI63" s="361">
        <f>'03 Operational Assumptions'!G258</f>
        <v/>
      </c>
      <c r="AJ63" s="361">
        <f>'03 Operational Assumptions'!G258</f>
        <v/>
      </c>
      <c r="AK63" s="361">
        <f>'03 Operational Assumptions'!G258</f>
        <v/>
      </c>
      <c r="AL63" s="361">
        <f>'03 Operational Assumptions'!G258</f>
        <v/>
      </c>
      <c r="AM63" s="361">
        <f>'03 Operational Assumptions'!G258</f>
        <v/>
      </c>
      <c r="AN63" s="361">
        <f>'03 Operational Assumptions'!G258</f>
        <v/>
      </c>
      <c r="AO63" s="361">
        <f>'03 Operational Assumptions'!G258</f>
        <v/>
      </c>
      <c r="AP63" s="361">
        <f>'03 Operational Assumptions'!G258</f>
        <v/>
      </c>
      <c r="AQ63" s="361">
        <f>'03 Operational Assumptions'!G258</f>
        <v/>
      </c>
      <c r="AR63" s="361">
        <f>'03 Operational Assumptions'!G258</f>
        <v/>
      </c>
    </row>
    <row r="64" ht="13.5" customHeight="1" s="290">
      <c r="A64" s="345" t="n"/>
      <c r="B64" s="370" t="inlineStr">
        <is>
          <t xml:space="preserve">  Split % at T2 (S2) — Rainmaker</t>
        </is>
      </c>
      <c r="C64" s="371" t="inlineStr">
        <is>
          <t>%</t>
        </is>
      </c>
      <c r="D64" s="394" t="inlineStr">
        <is>
          <t>← Tab 03 row 258 col H</t>
        </is>
      </c>
      <c r="E64" s="361">
        <f>'03 Operational Assumptions'!H258</f>
        <v/>
      </c>
      <c r="F64" s="361">
        <f>'03 Operational Assumptions'!H258</f>
        <v/>
      </c>
      <c r="G64" s="361">
        <f>'03 Operational Assumptions'!H258</f>
        <v/>
      </c>
      <c r="H64" s="361">
        <f>'03 Operational Assumptions'!H258</f>
        <v/>
      </c>
      <c r="I64" s="361">
        <f>'03 Operational Assumptions'!H258</f>
        <v/>
      </c>
      <c r="J64" s="361">
        <f>'03 Operational Assumptions'!H258</f>
        <v/>
      </c>
      <c r="K64" s="361">
        <f>'03 Operational Assumptions'!H258</f>
        <v/>
      </c>
      <c r="L64" s="361">
        <f>'03 Operational Assumptions'!H258</f>
        <v/>
      </c>
      <c r="M64" s="361">
        <f>'03 Operational Assumptions'!H258</f>
        <v/>
      </c>
      <c r="N64" s="361">
        <f>'03 Operational Assumptions'!H258</f>
        <v/>
      </c>
      <c r="O64" s="361">
        <f>'03 Operational Assumptions'!H258</f>
        <v/>
      </c>
      <c r="P64" s="361">
        <f>'03 Operational Assumptions'!H258</f>
        <v/>
      </c>
      <c r="Q64" s="361">
        <f>'03 Operational Assumptions'!H258</f>
        <v/>
      </c>
      <c r="R64" s="361">
        <f>'03 Operational Assumptions'!H258</f>
        <v/>
      </c>
      <c r="S64" s="361">
        <f>'03 Operational Assumptions'!H258</f>
        <v/>
      </c>
      <c r="T64" s="361">
        <f>'03 Operational Assumptions'!H258</f>
        <v/>
      </c>
      <c r="U64" s="361">
        <f>'03 Operational Assumptions'!H258</f>
        <v/>
      </c>
      <c r="V64" s="361">
        <f>'03 Operational Assumptions'!H258</f>
        <v/>
      </c>
      <c r="W64" s="361">
        <f>'03 Operational Assumptions'!H258</f>
        <v/>
      </c>
      <c r="X64" s="361">
        <f>'03 Operational Assumptions'!H258</f>
        <v/>
      </c>
      <c r="Y64" s="361">
        <f>'03 Operational Assumptions'!H258</f>
        <v/>
      </c>
      <c r="Z64" s="361">
        <f>'03 Operational Assumptions'!H258</f>
        <v/>
      </c>
      <c r="AA64" s="361">
        <f>'03 Operational Assumptions'!H258</f>
        <v/>
      </c>
      <c r="AB64" s="361">
        <f>'03 Operational Assumptions'!H258</f>
        <v/>
      </c>
      <c r="AC64" s="361">
        <f>'03 Operational Assumptions'!H258</f>
        <v/>
      </c>
      <c r="AD64" s="361">
        <f>'03 Operational Assumptions'!H258</f>
        <v/>
      </c>
      <c r="AE64" s="361">
        <f>'03 Operational Assumptions'!H258</f>
        <v/>
      </c>
      <c r="AF64" s="361">
        <f>'03 Operational Assumptions'!H258</f>
        <v/>
      </c>
      <c r="AG64" s="361">
        <f>'03 Operational Assumptions'!H258</f>
        <v/>
      </c>
      <c r="AH64" s="361">
        <f>'03 Operational Assumptions'!H258</f>
        <v/>
      </c>
      <c r="AI64" s="361">
        <f>'03 Operational Assumptions'!H258</f>
        <v/>
      </c>
      <c r="AJ64" s="361">
        <f>'03 Operational Assumptions'!H258</f>
        <v/>
      </c>
      <c r="AK64" s="361">
        <f>'03 Operational Assumptions'!H258</f>
        <v/>
      </c>
      <c r="AL64" s="361">
        <f>'03 Operational Assumptions'!H258</f>
        <v/>
      </c>
      <c r="AM64" s="361">
        <f>'03 Operational Assumptions'!H258</f>
        <v/>
      </c>
      <c r="AN64" s="361">
        <f>'03 Operational Assumptions'!H258</f>
        <v/>
      </c>
      <c r="AO64" s="361">
        <f>'03 Operational Assumptions'!H258</f>
        <v/>
      </c>
      <c r="AP64" s="361">
        <f>'03 Operational Assumptions'!H258</f>
        <v/>
      </c>
      <c r="AQ64" s="361">
        <f>'03 Operational Assumptions'!H258</f>
        <v/>
      </c>
      <c r="AR64" s="361">
        <f>'03 Operational Assumptions'!H258</f>
        <v/>
      </c>
    </row>
    <row r="65" ht="13.5" customHeight="1" s="290">
      <c r="A65" s="345" t="n"/>
      <c r="B65" s="370" t="inlineStr">
        <is>
          <t xml:space="preserve">  Split % Above T2 (S3) — Rainmaker</t>
        </is>
      </c>
      <c r="C65" s="371" t="inlineStr">
        <is>
          <t>%</t>
        </is>
      </c>
      <c r="D65" s="394" t="inlineStr">
        <is>
          <t>← Tab 03 row 258 col J</t>
        </is>
      </c>
      <c r="E65" s="361">
        <f>'03 Operational Assumptions'!J258</f>
        <v/>
      </c>
      <c r="F65" s="361">
        <f>'03 Operational Assumptions'!J258</f>
        <v/>
      </c>
      <c r="G65" s="361">
        <f>'03 Operational Assumptions'!J258</f>
        <v/>
      </c>
      <c r="H65" s="361">
        <f>'03 Operational Assumptions'!J258</f>
        <v/>
      </c>
      <c r="I65" s="361">
        <f>'03 Operational Assumptions'!J258</f>
        <v/>
      </c>
      <c r="J65" s="361">
        <f>'03 Operational Assumptions'!J258</f>
        <v/>
      </c>
      <c r="K65" s="361">
        <f>'03 Operational Assumptions'!J258</f>
        <v/>
      </c>
      <c r="L65" s="361">
        <f>'03 Operational Assumptions'!J258</f>
        <v/>
      </c>
      <c r="M65" s="361">
        <f>'03 Operational Assumptions'!J258</f>
        <v/>
      </c>
      <c r="N65" s="361">
        <f>'03 Operational Assumptions'!J258</f>
        <v/>
      </c>
      <c r="O65" s="361">
        <f>'03 Operational Assumptions'!J258</f>
        <v/>
      </c>
      <c r="P65" s="361">
        <f>'03 Operational Assumptions'!J258</f>
        <v/>
      </c>
      <c r="Q65" s="361">
        <f>'03 Operational Assumptions'!J258</f>
        <v/>
      </c>
      <c r="R65" s="361">
        <f>'03 Operational Assumptions'!J258</f>
        <v/>
      </c>
      <c r="S65" s="361">
        <f>'03 Operational Assumptions'!J258</f>
        <v/>
      </c>
      <c r="T65" s="361">
        <f>'03 Operational Assumptions'!J258</f>
        <v/>
      </c>
      <c r="U65" s="361">
        <f>'03 Operational Assumptions'!J258</f>
        <v/>
      </c>
      <c r="V65" s="361">
        <f>'03 Operational Assumptions'!J258</f>
        <v/>
      </c>
      <c r="W65" s="361">
        <f>'03 Operational Assumptions'!J258</f>
        <v/>
      </c>
      <c r="X65" s="361">
        <f>'03 Operational Assumptions'!J258</f>
        <v/>
      </c>
      <c r="Y65" s="361">
        <f>'03 Operational Assumptions'!J258</f>
        <v/>
      </c>
      <c r="Z65" s="361">
        <f>'03 Operational Assumptions'!J258</f>
        <v/>
      </c>
      <c r="AA65" s="361">
        <f>'03 Operational Assumptions'!J258</f>
        <v/>
      </c>
      <c r="AB65" s="361">
        <f>'03 Operational Assumptions'!J258</f>
        <v/>
      </c>
      <c r="AC65" s="361">
        <f>'03 Operational Assumptions'!J258</f>
        <v/>
      </c>
      <c r="AD65" s="361">
        <f>'03 Operational Assumptions'!J258</f>
        <v/>
      </c>
      <c r="AE65" s="361">
        <f>'03 Operational Assumptions'!J258</f>
        <v/>
      </c>
      <c r="AF65" s="361">
        <f>'03 Operational Assumptions'!J258</f>
        <v/>
      </c>
      <c r="AG65" s="361">
        <f>'03 Operational Assumptions'!J258</f>
        <v/>
      </c>
      <c r="AH65" s="361">
        <f>'03 Operational Assumptions'!J258</f>
        <v/>
      </c>
      <c r="AI65" s="361">
        <f>'03 Operational Assumptions'!J258</f>
        <v/>
      </c>
      <c r="AJ65" s="361">
        <f>'03 Operational Assumptions'!J258</f>
        <v/>
      </c>
      <c r="AK65" s="361">
        <f>'03 Operational Assumptions'!J258</f>
        <v/>
      </c>
      <c r="AL65" s="361">
        <f>'03 Operational Assumptions'!J258</f>
        <v/>
      </c>
      <c r="AM65" s="361">
        <f>'03 Operational Assumptions'!J258</f>
        <v/>
      </c>
      <c r="AN65" s="361">
        <f>'03 Operational Assumptions'!J258</f>
        <v/>
      </c>
      <c r="AO65" s="361">
        <f>'03 Operational Assumptions'!J258</f>
        <v/>
      </c>
      <c r="AP65" s="361">
        <f>'03 Operational Assumptions'!J258</f>
        <v/>
      </c>
      <c r="AQ65" s="361">
        <f>'03 Operational Assumptions'!J258</f>
        <v/>
      </c>
      <c r="AR65" s="361">
        <f>'03 Operational Assumptions'!J258</f>
        <v/>
      </c>
    </row>
    <row r="66" ht="13.5" customHeight="1" s="290">
      <c r="A66" s="395" t="n"/>
      <c r="B66" s="373" t="inlineStr">
        <is>
          <t xml:space="preserve">  Applied Split % — Rainmaker</t>
        </is>
      </c>
      <c r="C66" s="374" t="inlineStr">
        <is>
          <t>%</t>
        </is>
      </c>
      <c r="D66" s="396" t="inlineStr">
        <is>
          <t xml:space="preserve"> IF(gci/epe≤T1→S1, IF(≤T2→S2, S3)),TRUE())</t>
        </is>
      </c>
      <c r="E66" s="376">
        <f>IF(E60&lt;=E61,E62,IF(E60&lt;=E63,E64,E65))</f>
        <v/>
      </c>
      <c r="F66" s="376">
        <f>IF(F60&lt;=F61,F62,IF(F60&lt;=F63,F64,F65))</f>
        <v/>
      </c>
      <c r="G66" s="376">
        <f>IF(G60&lt;=G61,G62,IF(G60&lt;=G63,G64,G65))</f>
        <v/>
      </c>
      <c r="H66" s="376">
        <f>IF(H60&lt;=H61,H62,IF(H60&lt;=H63,H64,H65))</f>
        <v/>
      </c>
      <c r="I66" s="344">
        <f>IF(I60&lt;=I61,I62,IF(I60&lt;=I63,I64,I65))</f>
        <v/>
      </c>
      <c r="J66" s="376">
        <f>IF(J60&lt;=J61,J62,IF(J60&lt;=J63,J64,J65))</f>
        <v/>
      </c>
      <c r="K66" s="376">
        <f>IF(K60&lt;=K61,K62,IF(K60&lt;=K63,K64,K65))</f>
        <v/>
      </c>
      <c r="L66" s="376">
        <f>IF(L60&lt;=L61,L62,IF(L60&lt;=L63,L64,L65))</f>
        <v/>
      </c>
      <c r="M66" s="376">
        <f>IF(M60&lt;=M61,M62,IF(M60&lt;=M63,M64,M65))</f>
        <v/>
      </c>
      <c r="N66" s="344">
        <f>IF(N60&lt;=N61,N62,IF(N60&lt;=N63,N64,N65))</f>
        <v/>
      </c>
      <c r="O66" s="376">
        <f>IF(O60&lt;=O61,O62,IF(O60&lt;=O63,O64,O65))</f>
        <v/>
      </c>
      <c r="P66" s="376">
        <f>IF(P60&lt;=P61,P62,IF(P60&lt;=P63,P64,P65))</f>
        <v/>
      </c>
      <c r="Q66" s="376">
        <f>IF(Q60&lt;=Q61,Q62,IF(Q60&lt;=Q63,Q64,Q65))</f>
        <v/>
      </c>
      <c r="R66" s="376">
        <f>IF(R60&lt;=R61,R62,IF(R60&lt;=R63,R64,R65))</f>
        <v/>
      </c>
      <c r="S66" s="344">
        <f>IF(S60&lt;=S61,S62,IF(S60&lt;=S63,S64,S65))</f>
        <v/>
      </c>
      <c r="T66" s="376">
        <f>IF(T60&lt;=T61,T62,IF(T60&lt;=T63,T64,T65))</f>
        <v/>
      </c>
      <c r="U66" s="376">
        <f>IF(U60&lt;=U61,U62,IF(U60&lt;=U63,U64,U65))</f>
        <v/>
      </c>
      <c r="V66" s="376">
        <f>IF(V60&lt;=V61,V62,IF(V60&lt;=V63,V64,V65))</f>
        <v/>
      </c>
      <c r="W66" s="376">
        <f>IF(W60&lt;=W61,W62,IF(W60&lt;=W63,W64,W65))</f>
        <v/>
      </c>
      <c r="X66" s="344">
        <f>IF(X60&lt;=X61,X62,IF(X60&lt;=X63,X64,X65))</f>
        <v/>
      </c>
      <c r="Y66" s="376">
        <f>IF(Y60&lt;=Y61,Y62,IF(Y60&lt;=Y63,Y64,Y65))</f>
        <v/>
      </c>
      <c r="Z66" s="376">
        <f>IF(Z60&lt;=Z61,Z62,IF(Z60&lt;=Z63,Z64,Z65))</f>
        <v/>
      </c>
      <c r="AA66" s="376">
        <f>IF(AA60&lt;=AA61,AA62,IF(AA60&lt;=AA63,AA64,AA65))</f>
        <v/>
      </c>
      <c r="AB66" s="376">
        <f>IF(AB60&lt;=AB61,AB62,IF(AB60&lt;=AB63,AB64,AB65))</f>
        <v/>
      </c>
      <c r="AC66" s="344">
        <f>IF(AC60&lt;=AC61,AC62,IF(AC60&lt;=AC63,AC64,AC65))</f>
        <v/>
      </c>
      <c r="AD66" s="376">
        <f>IF(AD60&lt;=AD61,AD62,IF(AD60&lt;=AD63,AD64,AD65))</f>
        <v/>
      </c>
      <c r="AE66" s="376">
        <f>IF(AE60&lt;=AE61,AE62,IF(AE60&lt;=AE63,AE64,AE65))</f>
        <v/>
      </c>
      <c r="AF66" s="376">
        <f>IF(AF60&lt;=AF61,AF62,IF(AF60&lt;=AF63,AF64,AF65))</f>
        <v/>
      </c>
      <c r="AG66" s="376">
        <f>IF(AG60&lt;=AG61,AG62,IF(AG60&lt;=AG63,AG64,AG65))</f>
        <v/>
      </c>
      <c r="AH66" s="344">
        <f>IF(AH60&lt;=AH61,AH62,IF(AH60&lt;=AH63,AH64,AH65))</f>
        <v/>
      </c>
      <c r="AI66" s="376">
        <f>IF(AI60&lt;=AI61,AI62,IF(AI60&lt;=AI63,AI64,AI65))</f>
        <v/>
      </c>
      <c r="AJ66" s="376">
        <f>IF(AJ60&lt;=AJ61,AJ62,IF(AJ60&lt;=AJ63,AJ64,AJ65))</f>
        <v/>
      </c>
      <c r="AK66" s="376">
        <f>IF(AK60&lt;=AK61,AK62,IF(AK60&lt;=AK63,AK64,AK65))</f>
        <v/>
      </c>
      <c r="AL66" s="376">
        <f>IF(AL60&lt;=AL61,AL62,IF(AL60&lt;=AL63,AL64,AL65))</f>
        <v/>
      </c>
      <c r="AM66" s="344">
        <f>IF(AM60&lt;=AM61,AM62,IF(AM60&lt;=AM63,AM64,AM65))</f>
        <v/>
      </c>
      <c r="AN66" s="376">
        <f>IF(AN60&lt;=AN61,AN62,IF(AN60&lt;=AN63,AN64,AN65))</f>
        <v/>
      </c>
      <c r="AO66" s="376">
        <f>IF(AO60&lt;=AO61,AO62,IF(AO60&lt;=AO63,AO64,AO65))</f>
        <v/>
      </c>
      <c r="AP66" s="376">
        <f>IF(AP60&lt;=AP61,AP62,IF(AP60&lt;=AP63,AP64,AP65))</f>
        <v/>
      </c>
      <c r="AQ66" s="376">
        <f>IF(AQ60&lt;=AQ61,AQ62,IF(AQ60&lt;=AQ63,AQ64,AQ65))</f>
        <v/>
      </c>
      <c r="AR66" s="344">
        <f>IF(AR60&lt;=AR61,AR62,IF(AR60&lt;=AR63,AR64,AR65))</f>
        <v/>
      </c>
    </row>
    <row r="67" ht="13.5" customHeight="1" s="290">
      <c r="A67" s="395" t="n"/>
      <c r="B67" s="402" t="inlineStr">
        <is>
          <t xml:space="preserve">  ★ Producer Payout — Rainmaker</t>
        </is>
      </c>
      <c r="C67" s="374" t="inlineStr">
        <is>
          <t>$K</t>
        </is>
      </c>
      <c r="D67" s="396" t="inlineStr">
        <is>
          <t xml:space="preserve"> tier gci × Applied Split %</t>
        </is>
      </c>
      <c r="E67" s="403">
        <f>E58*E66</f>
        <v/>
      </c>
      <c r="F67" s="403">
        <f>F58*F66</f>
        <v/>
      </c>
      <c r="G67" s="403">
        <f>G58*G66</f>
        <v/>
      </c>
      <c r="H67" s="403">
        <f>H58*H66</f>
        <v/>
      </c>
      <c r="I67" s="387">
        <f>SUM(E67:H67)</f>
        <v/>
      </c>
      <c r="J67" s="403">
        <f>J58*J66</f>
        <v/>
      </c>
      <c r="K67" s="403">
        <f>K58*K66</f>
        <v/>
      </c>
      <c r="L67" s="403">
        <f>L58*L66</f>
        <v/>
      </c>
      <c r="M67" s="403">
        <f>M58*M66</f>
        <v/>
      </c>
      <c r="N67" s="387">
        <f>SUM(J67:M67)</f>
        <v/>
      </c>
      <c r="O67" s="403">
        <f>O58*O66</f>
        <v/>
      </c>
      <c r="P67" s="403">
        <f>P58*P66</f>
        <v/>
      </c>
      <c r="Q67" s="403">
        <f>Q58*Q66</f>
        <v/>
      </c>
      <c r="R67" s="403">
        <f>R58*R66</f>
        <v/>
      </c>
      <c r="S67" s="387">
        <f>SUM(O67:R67)</f>
        <v/>
      </c>
      <c r="T67" s="403">
        <f>T58*T66</f>
        <v/>
      </c>
      <c r="U67" s="403">
        <f>U58*U66</f>
        <v/>
      </c>
      <c r="V67" s="403">
        <f>V58*V66</f>
        <v/>
      </c>
      <c r="W67" s="403">
        <f>W58*W66</f>
        <v/>
      </c>
      <c r="X67" s="387">
        <f>SUM(T67:W67)</f>
        <v/>
      </c>
      <c r="Y67" s="403">
        <f>Y58*Y66</f>
        <v/>
      </c>
      <c r="Z67" s="403">
        <f>Z58*Z66</f>
        <v/>
      </c>
      <c r="AA67" s="403">
        <f>AA58*AA66</f>
        <v/>
      </c>
      <c r="AB67" s="403">
        <f>AB58*AB66</f>
        <v/>
      </c>
      <c r="AC67" s="387">
        <f>SUM(Y67:AB67)</f>
        <v/>
      </c>
      <c r="AD67" s="403">
        <f>AD58*AD66</f>
        <v/>
      </c>
      <c r="AE67" s="403">
        <f>AE58*AE66</f>
        <v/>
      </c>
      <c r="AF67" s="403">
        <f>AF58*AF66</f>
        <v/>
      </c>
      <c r="AG67" s="403">
        <f>AG58*AG66</f>
        <v/>
      </c>
      <c r="AH67" s="387">
        <f>SUM(AD67:AG67)</f>
        <v/>
      </c>
      <c r="AI67" s="403">
        <f>AI58*AI66</f>
        <v/>
      </c>
      <c r="AJ67" s="403">
        <f>AJ58*AJ66</f>
        <v/>
      </c>
      <c r="AK67" s="403">
        <f>AK58*AK66</f>
        <v/>
      </c>
      <c r="AL67" s="403">
        <f>AL58*AL66</f>
        <v/>
      </c>
      <c r="AM67" s="387">
        <f>SUM(AI67:AL67)</f>
        <v/>
      </c>
      <c r="AN67" s="403">
        <f>AN58*AN66</f>
        <v/>
      </c>
      <c r="AO67" s="403">
        <f>AO58*AO66</f>
        <v/>
      </c>
      <c r="AP67" s="403">
        <f>AP58*AP66</f>
        <v/>
      </c>
      <c r="AQ67" s="403">
        <f>AQ58*AQ66</f>
        <v/>
      </c>
      <c r="AR67" s="387">
        <f>SUM(AN67:AQ67)</f>
        <v/>
      </c>
    </row>
    <row r="68" ht="3.75" customHeight="1" s="290"/>
    <row r="69" ht="13.5" customHeight="1" s="290">
      <c r="A69" s="369" t="inlineStr">
        <is>
          <t xml:space="preserve">    ── Core ──</t>
        </is>
      </c>
    </row>
    <row r="70" ht="13.5" customHeight="1" s="290">
      <c r="A70" s="395" t="n"/>
      <c r="B70" s="373" t="inlineStr">
        <is>
          <t xml:space="preserve">  Tier GCI — Core</t>
        </is>
      </c>
      <c r="C70" s="374" t="inlineStr">
        <is>
          <t>$K</t>
        </is>
      </c>
      <c r="D70" s="396" t="inlineStr">
        <is>
          <t xml:space="preserve"> (tier share) × Net Investment Sales GCI</t>
        </is>
      </c>
      <c r="E70" s="376">
        <f>IFERROR('05 Revenue Engine'!E78/'05 Revenue Engine'!E80*'05 Revenue Engine'!E88,0)</f>
        <v/>
      </c>
      <c r="F70" s="376">
        <f>IFERROR('05 Revenue Engine'!F78/'05 Revenue Engine'!F80*'05 Revenue Engine'!F88,0)</f>
        <v/>
      </c>
      <c r="G70" s="376">
        <f>IFERROR('05 Revenue Engine'!G78/'05 Revenue Engine'!G80*'05 Revenue Engine'!G88,0)</f>
        <v/>
      </c>
      <c r="H70" s="376">
        <f>IFERROR('05 Revenue Engine'!H78/'05 Revenue Engine'!H80*'05 Revenue Engine'!H88,0)</f>
        <v/>
      </c>
      <c r="I70" s="344">
        <f>SUM(E70:H70)</f>
        <v/>
      </c>
      <c r="J70" s="376">
        <f>IFERROR('05 Revenue Engine'!J78/'05 Revenue Engine'!J80*'05 Revenue Engine'!J88,0)</f>
        <v/>
      </c>
      <c r="K70" s="376">
        <f>IFERROR('05 Revenue Engine'!K78/'05 Revenue Engine'!K80*'05 Revenue Engine'!K88,0)</f>
        <v/>
      </c>
      <c r="L70" s="376">
        <f>IFERROR('05 Revenue Engine'!L78/'05 Revenue Engine'!L80*'05 Revenue Engine'!L88,0)</f>
        <v/>
      </c>
      <c r="M70" s="376">
        <f>IFERROR('05 Revenue Engine'!M78/'05 Revenue Engine'!M80*'05 Revenue Engine'!M88,0)</f>
        <v/>
      </c>
      <c r="N70" s="344">
        <f>SUM(J70:M70)</f>
        <v/>
      </c>
      <c r="O70" s="376">
        <f>IFERROR('05 Revenue Engine'!O78/'05 Revenue Engine'!O80*'05 Revenue Engine'!O88,0)</f>
        <v/>
      </c>
      <c r="P70" s="376">
        <f>IFERROR('05 Revenue Engine'!P78/'05 Revenue Engine'!P80*'05 Revenue Engine'!P88,0)</f>
        <v/>
      </c>
      <c r="Q70" s="376">
        <f>IFERROR('05 Revenue Engine'!Q78/'05 Revenue Engine'!Q80*'05 Revenue Engine'!Q88,0)</f>
        <v/>
      </c>
      <c r="R70" s="376">
        <f>IFERROR('05 Revenue Engine'!R78/'05 Revenue Engine'!R80*'05 Revenue Engine'!R88,0)</f>
        <v/>
      </c>
      <c r="S70" s="344">
        <f>SUM(O70:R70)</f>
        <v/>
      </c>
      <c r="T70" s="376">
        <f>IFERROR('05 Revenue Engine'!T78/'05 Revenue Engine'!T80*'05 Revenue Engine'!T88,0)</f>
        <v/>
      </c>
      <c r="U70" s="376">
        <f>IFERROR('05 Revenue Engine'!U78/'05 Revenue Engine'!U80*'05 Revenue Engine'!U88,0)</f>
        <v/>
      </c>
      <c r="V70" s="376">
        <f>IFERROR('05 Revenue Engine'!V78/'05 Revenue Engine'!V80*'05 Revenue Engine'!V88,0)</f>
        <v/>
      </c>
      <c r="W70" s="376">
        <f>IFERROR('05 Revenue Engine'!W78/'05 Revenue Engine'!W80*'05 Revenue Engine'!W88,0)</f>
        <v/>
      </c>
      <c r="X70" s="344">
        <f>SUM(T70:W70)</f>
        <v/>
      </c>
      <c r="Y70" s="376">
        <f>IFERROR('05 Revenue Engine'!Y78/'05 Revenue Engine'!Y80*'05 Revenue Engine'!Y88,0)</f>
        <v/>
      </c>
      <c r="Z70" s="376">
        <f>IFERROR('05 Revenue Engine'!Z78/'05 Revenue Engine'!Z80*'05 Revenue Engine'!Z88,0)</f>
        <v/>
      </c>
      <c r="AA70" s="376">
        <f>IFERROR('05 Revenue Engine'!AA78/'05 Revenue Engine'!AA80*'05 Revenue Engine'!AA88,0)</f>
        <v/>
      </c>
      <c r="AB70" s="376">
        <f>IFERROR('05 Revenue Engine'!AB78/'05 Revenue Engine'!AB80*'05 Revenue Engine'!AB88,0)</f>
        <v/>
      </c>
      <c r="AC70" s="344">
        <f>SUM(Y70:AB70)</f>
        <v/>
      </c>
      <c r="AD70" s="376">
        <f>IFERROR('05 Revenue Engine'!AD78/'05 Revenue Engine'!AD80*'05 Revenue Engine'!AD88,0)</f>
        <v/>
      </c>
      <c r="AE70" s="376">
        <f>IFERROR('05 Revenue Engine'!AE78/'05 Revenue Engine'!AE80*'05 Revenue Engine'!AE88,0)</f>
        <v/>
      </c>
      <c r="AF70" s="376">
        <f>IFERROR('05 Revenue Engine'!AF78/'05 Revenue Engine'!AF80*'05 Revenue Engine'!AF88,0)</f>
        <v/>
      </c>
      <c r="AG70" s="376">
        <f>IFERROR('05 Revenue Engine'!AG78/'05 Revenue Engine'!AG80*'05 Revenue Engine'!AG88,0)</f>
        <v/>
      </c>
      <c r="AH70" s="344">
        <f>SUM(AD70:AG70)</f>
        <v/>
      </c>
      <c r="AI70" s="376">
        <f>IFERROR('05 Revenue Engine'!AI78/'05 Revenue Engine'!AI80*'05 Revenue Engine'!AI88,0)</f>
        <v/>
      </c>
      <c r="AJ70" s="376">
        <f>IFERROR('05 Revenue Engine'!AJ78/'05 Revenue Engine'!AJ80*'05 Revenue Engine'!AJ88,0)</f>
        <v/>
      </c>
      <c r="AK70" s="376">
        <f>IFERROR('05 Revenue Engine'!AK78/'05 Revenue Engine'!AK80*'05 Revenue Engine'!AK88,0)</f>
        <v/>
      </c>
      <c r="AL70" s="376">
        <f>IFERROR('05 Revenue Engine'!AL78/'05 Revenue Engine'!AL80*'05 Revenue Engine'!AL88,0)</f>
        <v/>
      </c>
      <c r="AM70" s="344">
        <f>SUM(AI70:AL70)</f>
        <v/>
      </c>
      <c r="AN70" s="376">
        <f>IFERROR('05 Revenue Engine'!AN78/'05 Revenue Engine'!AN80*'05 Revenue Engine'!AN88,0)</f>
        <v/>
      </c>
      <c r="AO70" s="376">
        <f>IFERROR('05 Revenue Engine'!AO78/'05 Revenue Engine'!AO80*'05 Revenue Engine'!AO88,0)</f>
        <v/>
      </c>
      <c r="AP70" s="376">
        <f>IFERROR('05 Revenue Engine'!AP78/'05 Revenue Engine'!AP80*'05 Revenue Engine'!AP88,0)</f>
        <v/>
      </c>
      <c r="AQ70" s="376">
        <f>IFERROR('05 Revenue Engine'!AQ78/'05 Revenue Engine'!AQ80*'05 Revenue Engine'!AQ88,0)</f>
        <v/>
      </c>
      <c r="AR70" s="344">
        <f>SUM(AN70:AQ70)</f>
        <v/>
      </c>
    </row>
    <row r="71" ht="13.5" customHeight="1" s="290">
      <c r="A71" s="345" t="n"/>
      <c r="B71" s="370" t="inlineStr">
        <is>
          <t xml:space="preserve">  EPE — Core</t>
        </is>
      </c>
      <c r="C71" s="371" t="inlineStr">
        <is>
          <t>EPE</t>
        </is>
      </c>
      <c r="D71" s="394" t="inlineStr">
        <is>
          <t>← Tab 04 row 80</t>
        </is>
      </c>
      <c r="E71" s="361">
        <f>'04 Producer Engine'!E80</f>
        <v/>
      </c>
      <c r="F71" s="361">
        <f>'04 Producer Engine'!F80</f>
        <v/>
      </c>
      <c r="G71" s="361">
        <f>'04 Producer Engine'!G80</f>
        <v/>
      </c>
      <c r="H71" s="361">
        <f>'04 Producer Engine'!H80</f>
        <v/>
      </c>
      <c r="I71" s="361">
        <f>AVERAGE(E71:H71)</f>
        <v/>
      </c>
      <c r="J71" s="361">
        <f>'04 Producer Engine'!J80</f>
        <v/>
      </c>
      <c r="K71" s="361">
        <f>'04 Producer Engine'!K80</f>
        <v/>
      </c>
      <c r="L71" s="361">
        <f>'04 Producer Engine'!L80</f>
        <v/>
      </c>
      <c r="M71" s="361">
        <f>'04 Producer Engine'!M80</f>
        <v/>
      </c>
      <c r="N71" s="361">
        <f>AVERAGE(J71:M71)</f>
        <v/>
      </c>
      <c r="O71" s="361">
        <f>'04 Producer Engine'!O80</f>
        <v/>
      </c>
      <c r="P71" s="361">
        <f>'04 Producer Engine'!P80</f>
        <v/>
      </c>
      <c r="Q71" s="361">
        <f>'04 Producer Engine'!Q80</f>
        <v/>
      </c>
      <c r="R71" s="361">
        <f>'04 Producer Engine'!R80</f>
        <v/>
      </c>
      <c r="S71" s="361">
        <f>AVERAGE(O71:R71)</f>
        <v/>
      </c>
      <c r="T71" s="361">
        <f>'04 Producer Engine'!T80</f>
        <v/>
      </c>
      <c r="U71" s="361">
        <f>'04 Producer Engine'!U80</f>
        <v/>
      </c>
      <c r="V71" s="361">
        <f>'04 Producer Engine'!V80</f>
        <v/>
      </c>
      <c r="W71" s="361">
        <f>'04 Producer Engine'!W80</f>
        <v/>
      </c>
      <c r="X71" s="361">
        <f>AVERAGE(T71:W71)</f>
        <v/>
      </c>
      <c r="Y71" s="361">
        <f>'04 Producer Engine'!Y80</f>
        <v/>
      </c>
      <c r="Z71" s="361">
        <f>'04 Producer Engine'!Z80</f>
        <v/>
      </c>
      <c r="AA71" s="361">
        <f>'04 Producer Engine'!AA80</f>
        <v/>
      </c>
      <c r="AB71" s="361">
        <f>'04 Producer Engine'!AB80</f>
        <v/>
      </c>
      <c r="AC71" s="361">
        <f>AVERAGE(Y71:AB71)</f>
        <v/>
      </c>
      <c r="AD71" s="361">
        <f>'04 Producer Engine'!AD80</f>
        <v/>
      </c>
      <c r="AE71" s="361">
        <f>'04 Producer Engine'!AE80</f>
        <v/>
      </c>
      <c r="AF71" s="361">
        <f>'04 Producer Engine'!AF80</f>
        <v/>
      </c>
      <c r="AG71" s="361">
        <f>'04 Producer Engine'!AG80</f>
        <v/>
      </c>
      <c r="AH71" s="361">
        <f>AVERAGE(AD71:AG71)</f>
        <v/>
      </c>
      <c r="AI71" s="361">
        <f>'04 Producer Engine'!AI80</f>
        <v/>
      </c>
      <c r="AJ71" s="361">
        <f>'04 Producer Engine'!AJ80</f>
        <v/>
      </c>
      <c r="AK71" s="361">
        <f>'04 Producer Engine'!AK80</f>
        <v/>
      </c>
      <c r="AL71" s="361">
        <f>'04 Producer Engine'!AL80</f>
        <v/>
      </c>
      <c r="AM71" s="361">
        <f>AVERAGE(AI71:AL71)</f>
        <v/>
      </c>
      <c r="AN71" s="361">
        <f>'04 Producer Engine'!AN80</f>
        <v/>
      </c>
      <c r="AO71" s="361">
        <f>'04 Producer Engine'!AO80</f>
        <v/>
      </c>
      <c r="AP71" s="361">
        <f>'04 Producer Engine'!AP80</f>
        <v/>
      </c>
      <c r="AQ71" s="361">
        <f>'04 Producer Engine'!AQ80</f>
        <v/>
      </c>
      <c r="AR71" s="361">
        <f>AVERAGE(AN71:AQ71)</f>
        <v/>
      </c>
    </row>
    <row r="72" ht="13.5" customHeight="1" s="290">
      <c r="A72" s="395" t="n"/>
      <c r="B72" s="373" t="inlineStr">
        <is>
          <t xml:space="preserve">  GCI per EPE Annualized — Core</t>
        </is>
      </c>
      <c r="C72" s="374" t="inlineStr">
        <is>
          <t>$K/EPE/yr</t>
        </is>
      </c>
      <c r="D72" s="396" t="inlineStr">
        <is>
          <t xml:space="preserve"> (tier gci ÷ Tier EPE) × 4  [annualized for threshold comparison])</t>
        </is>
      </c>
      <c r="E72" s="376">
        <f>IFERROR(E70/E71*4,0)</f>
        <v/>
      </c>
      <c r="F72" s="376">
        <f>IFERROR(F70/F71*4,0)</f>
        <v/>
      </c>
      <c r="G72" s="376">
        <f>IFERROR(G70/G71*4,0)</f>
        <v/>
      </c>
      <c r="H72" s="376">
        <f>IFERROR(H70/H71*4,0)</f>
        <v/>
      </c>
      <c r="I72" s="344">
        <f>IFERROR(I70/I71,0)</f>
        <v/>
      </c>
      <c r="J72" s="376">
        <f>IFERROR(J70/J71*4,0)</f>
        <v/>
      </c>
      <c r="K72" s="376">
        <f>IFERROR(K70/K71*4,0)</f>
        <v/>
      </c>
      <c r="L72" s="376">
        <f>IFERROR(L70/L71*4,0)</f>
        <v/>
      </c>
      <c r="M72" s="376">
        <f>IFERROR(M70/M71*4,0)</f>
        <v/>
      </c>
      <c r="N72" s="344">
        <f>IFERROR(N70/N71,0)</f>
        <v/>
      </c>
      <c r="O72" s="376">
        <f>IFERROR(O70/O71*4,0)</f>
        <v/>
      </c>
      <c r="P72" s="376">
        <f>IFERROR(P70/P71*4,0)</f>
        <v/>
      </c>
      <c r="Q72" s="376">
        <f>IFERROR(Q70/Q71*4,0)</f>
        <v/>
      </c>
      <c r="R72" s="376">
        <f>IFERROR(R70/R71*4,0)</f>
        <v/>
      </c>
      <c r="S72" s="344">
        <f>IFERROR(S70/S71,0)</f>
        <v/>
      </c>
      <c r="T72" s="376">
        <f>IFERROR(T70/T71*4,0)</f>
        <v/>
      </c>
      <c r="U72" s="376">
        <f>IFERROR(U70/U71*4,0)</f>
        <v/>
      </c>
      <c r="V72" s="376">
        <f>IFERROR(V70/V71*4,0)</f>
        <v/>
      </c>
      <c r="W72" s="376">
        <f>IFERROR(W70/W71*4,0)</f>
        <v/>
      </c>
      <c r="X72" s="344">
        <f>IFERROR(X70/X71,0)</f>
        <v/>
      </c>
      <c r="Y72" s="376">
        <f>IFERROR(Y70/Y71*4,0)</f>
        <v/>
      </c>
      <c r="Z72" s="376">
        <f>IFERROR(Z70/Z71*4,0)</f>
        <v/>
      </c>
      <c r="AA72" s="376">
        <f>IFERROR(AA70/AA71*4,0)</f>
        <v/>
      </c>
      <c r="AB72" s="376">
        <f>IFERROR(AB70/AB71*4,0)</f>
        <v/>
      </c>
      <c r="AC72" s="344">
        <f>IFERROR(AC70/AC71,0)</f>
        <v/>
      </c>
      <c r="AD72" s="376">
        <f>IFERROR(AD70/AD71*4,0)</f>
        <v/>
      </c>
      <c r="AE72" s="376">
        <f>IFERROR(AE70/AE71*4,0)</f>
        <v/>
      </c>
      <c r="AF72" s="376">
        <f>IFERROR(AF70/AF71*4,0)</f>
        <v/>
      </c>
      <c r="AG72" s="376">
        <f>IFERROR(AG70/AG71*4,0)</f>
        <v/>
      </c>
      <c r="AH72" s="344">
        <f>IFERROR(AH70/AH71,0)</f>
        <v/>
      </c>
      <c r="AI72" s="376">
        <f>IFERROR(AI70/AI71*4,0)</f>
        <v/>
      </c>
      <c r="AJ72" s="376">
        <f>IFERROR(AJ70/AJ71*4,0)</f>
        <v/>
      </c>
      <c r="AK72" s="376">
        <f>IFERROR(AK70/AK71*4,0)</f>
        <v/>
      </c>
      <c r="AL72" s="376">
        <f>IFERROR(AL70/AL71*4,0)</f>
        <v/>
      </c>
      <c r="AM72" s="344">
        <f>IFERROR(AM70/AM71,0)</f>
        <v/>
      </c>
      <c r="AN72" s="376">
        <f>IFERROR(AN70/AN71*4,0)</f>
        <v/>
      </c>
      <c r="AO72" s="376">
        <f>IFERROR(AO70/AO71*4,0)</f>
        <v/>
      </c>
      <c r="AP72" s="376">
        <f>IFERROR(AP70/AP71*4,0)</f>
        <v/>
      </c>
      <c r="AQ72" s="376">
        <f>IFERROR(AQ70/AQ71*4,0)</f>
        <v/>
      </c>
      <c r="AR72" s="344">
        <f>IFERROR(AR70/AR71,0)</f>
        <v/>
      </c>
    </row>
    <row r="73" ht="13.5" customHeight="1" s="290">
      <c r="A73" s="345" t="n"/>
      <c r="B73" s="370" t="inlineStr">
        <is>
          <t xml:space="preserve">  Split Threshold 1 — Core</t>
        </is>
      </c>
      <c r="C73" s="371" t="inlineStr">
        <is>
          <t>$K GCI/yr</t>
        </is>
      </c>
      <c r="D73" s="394" t="inlineStr">
        <is>
          <t>← Tab 03 row 259 col E</t>
        </is>
      </c>
      <c r="E73" s="361">
        <f>'03 Operational Assumptions'!E259</f>
        <v/>
      </c>
      <c r="F73" s="361">
        <f>'03 Operational Assumptions'!E259</f>
        <v/>
      </c>
      <c r="G73" s="361">
        <f>'03 Operational Assumptions'!E259</f>
        <v/>
      </c>
      <c r="H73" s="361">
        <f>'03 Operational Assumptions'!E259</f>
        <v/>
      </c>
      <c r="I73" s="361">
        <f>'03 Operational Assumptions'!E259</f>
        <v/>
      </c>
      <c r="J73" s="361">
        <f>'03 Operational Assumptions'!E259</f>
        <v/>
      </c>
      <c r="K73" s="361">
        <f>'03 Operational Assumptions'!E259</f>
        <v/>
      </c>
      <c r="L73" s="361">
        <f>'03 Operational Assumptions'!E259</f>
        <v/>
      </c>
      <c r="M73" s="361">
        <f>'03 Operational Assumptions'!E259</f>
        <v/>
      </c>
      <c r="N73" s="361">
        <f>'03 Operational Assumptions'!E259</f>
        <v/>
      </c>
      <c r="O73" s="361">
        <f>'03 Operational Assumptions'!E259</f>
        <v/>
      </c>
      <c r="P73" s="361">
        <f>'03 Operational Assumptions'!E259</f>
        <v/>
      </c>
      <c r="Q73" s="361">
        <f>'03 Operational Assumptions'!E259</f>
        <v/>
      </c>
      <c r="R73" s="361">
        <f>'03 Operational Assumptions'!E259</f>
        <v/>
      </c>
      <c r="S73" s="361">
        <f>'03 Operational Assumptions'!E259</f>
        <v/>
      </c>
      <c r="T73" s="361">
        <f>'03 Operational Assumptions'!E259</f>
        <v/>
      </c>
      <c r="U73" s="361">
        <f>'03 Operational Assumptions'!E259</f>
        <v/>
      </c>
      <c r="V73" s="361">
        <f>'03 Operational Assumptions'!E259</f>
        <v/>
      </c>
      <c r="W73" s="361">
        <f>'03 Operational Assumptions'!E259</f>
        <v/>
      </c>
      <c r="X73" s="361">
        <f>'03 Operational Assumptions'!E259</f>
        <v/>
      </c>
      <c r="Y73" s="361">
        <f>'03 Operational Assumptions'!E259</f>
        <v/>
      </c>
      <c r="Z73" s="361">
        <f>'03 Operational Assumptions'!E259</f>
        <v/>
      </c>
      <c r="AA73" s="361">
        <f>'03 Operational Assumptions'!E259</f>
        <v/>
      </c>
      <c r="AB73" s="361">
        <f>'03 Operational Assumptions'!E259</f>
        <v/>
      </c>
      <c r="AC73" s="361">
        <f>'03 Operational Assumptions'!E259</f>
        <v/>
      </c>
      <c r="AD73" s="361">
        <f>'03 Operational Assumptions'!E259</f>
        <v/>
      </c>
      <c r="AE73" s="361">
        <f>'03 Operational Assumptions'!E259</f>
        <v/>
      </c>
      <c r="AF73" s="361">
        <f>'03 Operational Assumptions'!E259</f>
        <v/>
      </c>
      <c r="AG73" s="361">
        <f>'03 Operational Assumptions'!E259</f>
        <v/>
      </c>
      <c r="AH73" s="361">
        <f>'03 Operational Assumptions'!E259</f>
        <v/>
      </c>
      <c r="AI73" s="361">
        <f>'03 Operational Assumptions'!E259</f>
        <v/>
      </c>
      <c r="AJ73" s="361">
        <f>'03 Operational Assumptions'!E259</f>
        <v/>
      </c>
      <c r="AK73" s="361">
        <f>'03 Operational Assumptions'!E259</f>
        <v/>
      </c>
      <c r="AL73" s="361">
        <f>'03 Operational Assumptions'!E259</f>
        <v/>
      </c>
      <c r="AM73" s="361">
        <f>'03 Operational Assumptions'!E259</f>
        <v/>
      </c>
      <c r="AN73" s="361">
        <f>'03 Operational Assumptions'!E259</f>
        <v/>
      </c>
      <c r="AO73" s="361">
        <f>'03 Operational Assumptions'!E259</f>
        <v/>
      </c>
      <c r="AP73" s="361">
        <f>'03 Operational Assumptions'!E259</f>
        <v/>
      </c>
      <c r="AQ73" s="361">
        <f>'03 Operational Assumptions'!E259</f>
        <v/>
      </c>
      <c r="AR73" s="361">
        <f>'03 Operational Assumptions'!E259</f>
        <v/>
      </c>
    </row>
    <row r="74" ht="13.5" customHeight="1" s="290">
      <c r="A74" s="345" t="n"/>
      <c r="B74" s="370" t="inlineStr">
        <is>
          <t xml:space="preserve">  Split % at T1 (S1) — Core</t>
        </is>
      </c>
      <c r="C74" s="371" t="inlineStr">
        <is>
          <t>%</t>
        </is>
      </c>
      <c r="D74" s="394" t="inlineStr">
        <is>
          <t>← Tab 03 row 259 col F</t>
        </is>
      </c>
      <c r="E74" s="361">
        <f>'03 Operational Assumptions'!F259</f>
        <v/>
      </c>
      <c r="F74" s="361">
        <f>'03 Operational Assumptions'!F259</f>
        <v/>
      </c>
      <c r="G74" s="361">
        <f>'03 Operational Assumptions'!F259</f>
        <v/>
      </c>
      <c r="H74" s="361">
        <f>'03 Operational Assumptions'!F259</f>
        <v/>
      </c>
      <c r="I74" s="361">
        <f>'03 Operational Assumptions'!F259</f>
        <v/>
      </c>
      <c r="J74" s="361">
        <f>'03 Operational Assumptions'!F259</f>
        <v/>
      </c>
      <c r="K74" s="361">
        <f>'03 Operational Assumptions'!F259</f>
        <v/>
      </c>
      <c r="L74" s="361">
        <f>'03 Operational Assumptions'!F259</f>
        <v/>
      </c>
      <c r="M74" s="361">
        <f>'03 Operational Assumptions'!F259</f>
        <v/>
      </c>
      <c r="N74" s="361">
        <f>'03 Operational Assumptions'!F259</f>
        <v/>
      </c>
      <c r="O74" s="361">
        <f>'03 Operational Assumptions'!F259</f>
        <v/>
      </c>
      <c r="P74" s="361">
        <f>'03 Operational Assumptions'!F259</f>
        <v/>
      </c>
      <c r="Q74" s="361">
        <f>'03 Operational Assumptions'!F259</f>
        <v/>
      </c>
      <c r="R74" s="361">
        <f>'03 Operational Assumptions'!F259</f>
        <v/>
      </c>
      <c r="S74" s="361">
        <f>'03 Operational Assumptions'!F259</f>
        <v/>
      </c>
      <c r="T74" s="361">
        <f>'03 Operational Assumptions'!F259</f>
        <v/>
      </c>
      <c r="U74" s="361">
        <f>'03 Operational Assumptions'!F259</f>
        <v/>
      </c>
      <c r="V74" s="361">
        <f>'03 Operational Assumptions'!F259</f>
        <v/>
      </c>
      <c r="W74" s="361">
        <f>'03 Operational Assumptions'!F259</f>
        <v/>
      </c>
      <c r="X74" s="361">
        <f>'03 Operational Assumptions'!F259</f>
        <v/>
      </c>
      <c r="Y74" s="361">
        <f>'03 Operational Assumptions'!F259</f>
        <v/>
      </c>
      <c r="Z74" s="361">
        <f>'03 Operational Assumptions'!F259</f>
        <v/>
      </c>
      <c r="AA74" s="361">
        <f>'03 Operational Assumptions'!F259</f>
        <v/>
      </c>
      <c r="AB74" s="361">
        <f>'03 Operational Assumptions'!F259</f>
        <v/>
      </c>
      <c r="AC74" s="361">
        <f>'03 Operational Assumptions'!F259</f>
        <v/>
      </c>
      <c r="AD74" s="361">
        <f>'03 Operational Assumptions'!F259</f>
        <v/>
      </c>
      <c r="AE74" s="361">
        <f>'03 Operational Assumptions'!F259</f>
        <v/>
      </c>
      <c r="AF74" s="361">
        <f>'03 Operational Assumptions'!F259</f>
        <v/>
      </c>
      <c r="AG74" s="361">
        <f>'03 Operational Assumptions'!F259</f>
        <v/>
      </c>
      <c r="AH74" s="361">
        <f>'03 Operational Assumptions'!F259</f>
        <v/>
      </c>
      <c r="AI74" s="361">
        <f>'03 Operational Assumptions'!F259</f>
        <v/>
      </c>
      <c r="AJ74" s="361">
        <f>'03 Operational Assumptions'!F259</f>
        <v/>
      </c>
      <c r="AK74" s="361">
        <f>'03 Operational Assumptions'!F259</f>
        <v/>
      </c>
      <c r="AL74" s="361">
        <f>'03 Operational Assumptions'!F259</f>
        <v/>
      </c>
      <c r="AM74" s="361">
        <f>'03 Operational Assumptions'!F259</f>
        <v/>
      </c>
      <c r="AN74" s="361">
        <f>'03 Operational Assumptions'!F259</f>
        <v/>
      </c>
      <c r="AO74" s="361">
        <f>'03 Operational Assumptions'!F259</f>
        <v/>
      </c>
      <c r="AP74" s="361">
        <f>'03 Operational Assumptions'!F259</f>
        <v/>
      </c>
      <c r="AQ74" s="361">
        <f>'03 Operational Assumptions'!F259</f>
        <v/>
      </c>
      <c r="AR74" s="361">
        <f>'03 Operational Assumptions'!F259</f>
        <v/>
      </c>
    </row>
    <row r="75" ht="13.5" customHeight="1" s="290">
      <c r="A75" s="345" t="n"/>
      <c r="B75" s="370" t="inlineStr">
        <is>
          <t xml:space="preserve">  Split Threshold 2 — Core</t>
        </is>
      </c>
      <c r="C75" s="371" t="inlineStr">
        <is>
          <t>$K GCI/yr</t>
        </is>
      </c>
      <c r="D75" s="394" t="inlineStr">
        <is>
          <t>← Tab 03 row 259 col G</t>
        </is>
      </c>
      <c r="E75" s="361">
        <f>'03 Operational Assumptions'!G259</f>
        <v/>
      </c>
      <c r="F75" s="361">
        <f>'03 Operational Assumptions'!G259</f>
        <v/>
      </c>
      <c r="G75" s="361">
        <f>'03 Operational Assumptions'!G259</f>
        <v/>
      </c>
      <c r="H75" s="361">
        <f>'03 Operational Assumptions'!G259</f>
        <v/>
      </c>
      <c r="I75" s="361">
        <f>'03 Operational Assumptions'!G259</f>
        <v/>
      </c>
      <c r="J75" s="361">
        <f>'03 Operational Assumptions'!G259</f>
        <v/>
      </c>
      <c r="K75" s="361">
        <f>'03 Operational Assumptions'!G259</f>
        <v/>
      </c>
      <c r="L75" s="361">
        <f>'03 Operational Assumptions'!G259</f>
        <v/>
      </c>
      <c r="M75" s="361">
        <f>'03 Operational Assumptions'!G259</f>
        <v/>
      </c>
      <c r="N75" s="361">
        <f>'03 Operational Assumptions'!G259</f>
        <v/>
      </c>
      <c r="O75" s="361">
        <f>'03 Operational Assumptions'!G259</f>
        <v/>
      </c>
      <c r="P75" s="361">
        <f>'03 Operational Assumptions'!G259</f>
        <v/>
      </c>
      <c r="Q75" s="361">
        <f>'03 Operational Assumptions'!G259</f>
        <v/>
      </c>
      <c r="R75" s="361">
        <f>'03 Operational Assumptions'!G259</f>
        <v/>
      </c>
      <c r="S75" s="361">
        <f>'03 Operational Assumptions'!G259</f>
        <v/>
      </c>
      <c r="T75" s="361">
        <f>'03 Operational Assumptions'!G259</f>
        <v/>
      </c>
      <c r="U75" s="361">
        <f>'03 Operational Assumptions'!G259</f>
        <v/>
      </c>
      <c r="V75" s="361">
        <f>'03 Operational Assumptions'!G259</f>
        <v/>
      </c>
      <c r="W75" s="361">
        <f>'03 Operational Assumptions'!G259</f>
        <v/>
      </c>
      <c r="X75" s="361">
        <f>'03 Operational Assumptions'!G259</f>
        <v/>
      </c>
      <c r="Y75" s="361">
        <f>'03 Operational Assumptions'!G259</f>
        <v/>
      </c>
      <c r="Z75" s="361">
        <f>'03 Operational Assumptions'!G259</f>
        <v/>
      </c>
      <c r="AA75" s="361">
        <f>'03 Operational Assumptions'!G259</f>
        <v/>
      </c>
      <c r="AB75" s="361">
        <f>'03 Operational Assumptions'!G259</f>
        <v/>
      </c>
      <c r="AC75" s="361">
        <f>'03 Operational Assumptions'!G259</f>
        <v/>
      </c>
      <c r="AD75" s="361">
        <f>'03 Operational Assumptions'!G259</f>
        <v/>
      </c>
      <c r="AE75" s="361">
        <f>'03 Operational Assumptions'!G259</f>
        <v/>
      </c>
      <c r="AF75" s="361">
        <f>'03 Operational Assumptions'!G259</f>
        <v/>
      </c>
      <c r="AG75" s="361">
        <f>'03 Operational Assumptions'!G259</f>
        <v/>
      </c>
      <c r="AH75" s="361">
        <f>'03 Operational Assumptions'!G259</f>
        <v/>
      </c>
      <c r="AI75" s="361">
        <f>'03 Operational Assumptions'!G259</f>
        <v/>
      </c>
      <c r="AJ75" s="361">
        <f>'03 Operational Assumptions'!G259</f>
        <v/>
      </c>
      <c r="AK75" s="361">
        <f>'03 Operational Assumptions'!G259</f>
        <v/>
      </c>
      <c r="AL75" s="361">
        <f>'03 Operational Assumptions'!G259</f>
        <v/>
      </c>
      <c r="AM75" s="361">
        <f>'03 Operational Assumptions'!G259</f>
        <v/>
      </c>
      <c r="AN75" s="361">
        <f>'03 Operational Assumptions'!G259</f>
        <v/>
      </c>
      <c r="AO75" s="361">
        <f>'03 Operational Assumptions'!G259</f>
        <v/>
      </c>
      <c r="AP75" s="361">
        <f>'03 Operational Assumptions'!G259</f>
        <v/>
      </c>
      <c r="AQ75" s="361">
        <f>'03 Operational Assumptions'!G259</f>
        <v/>
      </c>
      <c r="AR75" s="361">
        <f>'03 Operational Assumptions'!G259</f>
        <v/>
      </c>
    </row>
    <row r="76" ht="13.5" customHeight="1" s="290">
      <c r="A76" s="345" t="n"/>
      <c r="B76" s="370" t="inlineStr">
        <is>
          <t xml:space="preserve">  Split % at T2 (S2) — Core</t>
        </is>
      </c>
      <c r="C76" s="371" t="inlineStr">
        <is>
          <t>%</t>
        </is>
      </c>
      <c r="D76" s="394" t="inlineStr">
        <is>
          <t>← Tab 03 row 259 col H</t>
        </is>
      </c>
      <c r="E76" s="361">
        <f>'03 Operational Assumptions'!H259</f>
        <v/>
      </c>
      <c r="F76" s="361">
        <f>'03 Operational Assumptions'!H259</f>
        <v/>
      </c>
      <c r="G76" s="361">
        <f>'03 Operational Assumptions'!H259</f>
        <v/>
      </c>
      <c r="H76" s="361">
        <f>'03 Operational Assumptions'!H259</f>
        <v/>
      </c>
      <c r="I76" s="361">
        <f>'03 Operational Assumptions'!H259</f>
        <v/>
      </c>
      <c r="J76" s="361">
        <f>'03 Operational Assumptions'!H259</f>
        <v/>
      </c>
      <c r="K76" s="361">
        <f>'03 Operational Assumptions'!H259</f>
        <v/>
      </c>
      <c r="L76" s="361">
        <f>'03 Operational Assumptions'!H259</f>
        <v/>
      </c>
      <c r="M76" s="361">
        <f>'03 Operational Assumptions'!H259</f>
        <v/>
      </c>
      <c r="N76" s="361">
        <f>'03 Operational Assumptions'!H259</f>
        <v/>
      </c>
      <c r="O76" s="361">
        <f>'03 Operational Assumptions'!H259</f>
        <v/>
      </c>
      <c r="P76" s="361">
        <f>'03 Operational Assumptions'!H259</f>
        <v/>
      </c>
      <c r="Q76" s="361">
        <f>'03 Operational Assumptions'!H259</f>
        <v/>
      </c>
      <c r="R76" s="361">
        <f>'03 Operational Assumptions'!H259</f>
        <v/>
      </c>
      <c r="S76" s="361">
        <f>'03 Operational Assumptions'!H259</f>
        <v/>
      </c>
      <c r="T76" s="361">
        <f>'03 Operational Assumptions'!H259</f>
        <v/>
      </c>
      <c r="U76" s="361">
        <f>'03 Operational Assumptions'!H259</f>
        <v/>
      </c>
      <c r="V76" s="361">
        <f>'03 Operational Assumptions'!H259</f>
        <v/>
      </c>
      <c r="W76" s="361">
        <f>'03 Operational Assumptions'!H259</f>
        <v/>
      </c>
      <c r="X76" s="361">
        <f>'03 Operational Assumptions'!H259</f>
        <v/>
      </c>
      <c r="Y76" s="361">
        <f>'03 Operational Assumptions'!H259</f>
        <v/>
      </c>
      <c r="Z76" s="361">
        <f>'03 Operational Assumptions'!H259</f>
        <v/>
      </c>
      <c r="AA76" s="361">
        <f>'03 Operational Assumptions'!H259</f>
        <v/>
      </c>
      <c r="AB76" s="361">
        <f>'03 Operational Assumptions'!H259</f>
        <v/>
      </c>
      <c r="AC76" s="361">
        <f>'03 Operational Assumptions'!H259</f>
        <v/>
      </c>
      <c r="AD76" s="361">
        <f>'03 Operational Assumptions'!H259</f>
        <v/>
      </c>
      <c r="AE76" s="361">
        <f>'03 Operational Assumptions'!H259</f>
        <v/>
      </c>
      <c r="AF76" s="361">
        <f>'03 Operational Assumptions'!H259</f>
        <v/>
      </c>
      <c r="AG76" s="361">
        <f>'03 Operational Assumptions'!H259</f>
        <v/>
      </c>
      <c r="AH76" s="361">
        <f>'03 Operational Assumptions'!H259</f>
        <v/>
      </c>
      <c r="AI76" s="361">
        <f>'03 Operational Assumptions'!H259</f>
        <v/>
      </c>
      <c r="AJ76" s="361">
        <f>'03 Operational Assumptions'!H259</f>
        <v/>
      </c>
      <c r="AK76" s="361">
        <f>'03 Operational Assumptions'!H259</f>
        <v/>
      </c>
      <c r="AL76" s="361">
        <f>'03 Operational Assumptions'!H259</f>
        <v/>
      </c>
      <c r="AM76" s="361">
        <f>'03 Operational Assumptions'!H259</f>
        <v/>
      </c>
      <c r="AN76" s="361">
        <f>'03 Operational Assumptions'!H259</f>
        <v/>
      </c>
      <c r="AO76" s="361">
        <f>'03 Operational Assumptions'!H259</f>
        <v/>
      </c>
      <c r="AP76" s="361">
        <f>'03 Operational Assumptions'!H259</f>
        <v/>
      </c>
      <c r="AQ76" s="361">
        <f>'03 Operational Assumptions'!H259</f>
        <v/>
      </c>
      <c r="AR76" s="361">
        <f>'03 Operational Assumptions'!H259</f>
        <v/>
      </c>
    </row>
    <row r="77" ht="13.5" customHeight="1" s="290">
      <c r="A77" s="345" t="n"/>
      <c r="B77" s="370" t="inlineStr">
        <is>
          <t xml:space="preserve">  Split % Above T2 (S3) — Core</t>
        </is>
      </c>
      <c r="C77" s="371" t="inlineStr">
        <is>
          <t>%</t>
        </is>
      </c>
      <c r="D77" s="394" t="inlineStr">
        <is>
          <t>← Tab 03 row 259 col J</t>
        </is>
      </c>
      <c r="E77" s="361">
        <f>'03 Operational Assumptions'!J259</f>
        <v/>
      </c>
      <c r="F77" s="361">
        <f>'03 Operational Assumptions'!J259</f>
        <v/>
      </c>
      <c r="G77" s="361">
        <f>'03 Operational Assumptions'!J259</f>
        <v/>
      </c>
      <c r="H77" s="361">
        <f>'03 Operational Assumptions'!J259</f>
        <v/>
      </c>
      <c r="I77" s="361">
        <f>'03 Operational Assumptions'!J259</f>
        <v/>
      </c>
      <c r="J77" s="361">
        <f>'03 Operational Assumptions'!J259</f>
        <v/>
      </c>
      <c r="K77" s="361">
        <f>'03 Operational Assumptions'!J259</f>
        <v/>
      </c>
      <c r="L77" s="361">
        <f>'03 Operational Assumptions'!J259</f>
        <v/>
      </c>
      <c r="M77" s="361">
        <f>'03 Operational Assumptions'!J259</f>
        <v/>
      </c>
      <c r="N77" s="361">
        <f>'03 Operational Assumptions'!J259</f>
        <v/>
      </c>
      <c r="O77" s="361">
        <f>'03 Operational Assumptions'!J259</f>
        <v/>
      </c>
      <c r="P77" s="361">
        <f>'03 Operational Assumptions'!J259</f>
        <v/>
      </c>
      <c r="Q77" s="361">
        <f>'03 Operational Assumptions'!J259</f>
        <v/>
      </c>
      <c r="R77" s="361">
        <f>'03 Operational Assumptions'!J259</f>
        <v/>
      </c>
      <c r="S77" s="361">
        <f>'03 Operational Assumptions'!J259</f>
        <v/>
      </c>
      <c r="T77" s="361">
        <f>'03 Operational Assumptions'!J259</f>
        <v/>
      </c>
      <c r="U77" s="361">
        <f>'03 Operational Assumptions'!J259</f>
        <v/>
      </c>
      <c r="V77" s="361">
        <f>'03 Operational Assumptions'!J259</f>
        <v/>
      </c>
      <c r="W77" s="361">
        <f>'03 Operational Assumptions'!J259</f>
        <v/>
      </c>
      <c r="X77" s="361">
        <f>'03 Operational Assumptions'!J259</f>
        <v/>
      </c>
      <c r="Y77" s="361">
        <f>'03 Operational Assumptions'!J259</f>
        <v/>
      </c>
      <c r="Z77" s="361">
        <f>'03 Operational Assumptions'!J259</f>
        <v/>
      </c>
      <c r="AA77" s="361">
        <f>'03 Operational Assumptions'!J259</f>
        <v/>
      </c>
      <c r="AB77" s="361">
        <f>'03 Operational Assumptions'!J259</f>
        <v/>
      </c>
      <c r="AC77" s="361">
        <f>'03 Operational Assumptions'!J259</f>
        <v/>
      </c>
      <c r="AD77" s="361">
        <f>'03 Operational Assumptions'!J259</f>
        <v/>
      </c>
      <c r="AE77" s="361">
        <f>'03 Operational Assumptions'!J259</f>
        <v/>
      </c>
      <c r="AF77" s="361">
        <f>'03 Operational Assumptions'!J259</f>
        <v/>
      </c>
      <c r="AG77" s="361">
        <f>'03 Operational Assumptions'!J259</f>
        <v/>
      </c>
      <c r="AH77" s="361">
        <f>'03 Operational Assumptions'!J259</f>
        <v/>
      </c>
      <c r="AI77" s="361">
        <f>'03 Operational Assumptions'!J259</f>
        <v/>
      </c>
      <c r="AJ77" s="361">
        <f>'03 Operational Assumptions'!J259</f>
        <v/>
      </c>
      <c r="AK77" s="361">
        <f>'03 Operational Assumptions'!J259</f>
        <v/>
      </c>
      <c r="AL77" s="361">
        <f>'03 Operational Assumptions'!J259</f>
        <v/>
      </c>
      <c r="AM77" s="361">
        <f>'03 Operational Assumptions'!J259</f>
        <v/>
      </c>
      <c r="AN77" s="361">
        <f>'03 Operational Assumptions'!J259</f>
        <v/>
      </c>
      <c r="AO77" s="361">
        <f>'03 Operational Assumptions'!J259</f>
        <v/>
      </c>
      <c r="AP77" s="361">
        <f>'03 Operational Assumptions'!J259</f>
        <v/>
      </c>
      <c r="AQ77" s="361">
        <f>'03 Operational Assumptions'!J259</f>
        <v/>
      </c>
      <c r="AR77" s="361">
        <f>'03 Operational Assumptions'!J259</f>
        <v/>
      </c>
    </row>
    <row r="78" ht="13.5" customHeight="1" s="290">
      <c r="A78" s="395" t="n"/>
      <c r="B78" s="373" t="inlineStr">
        <is>
          <t xml:space="preserve">  Applied Split % — Core</t>
        </is>
      </c>
      <c r="C78" s="374" t="inlineStr">
        <is>
          <t>%</t>
        </is>
      </c>
      <c r="D78" s="396" t="inlineStr">
        <is>
          <t xml:space="preserve"> IF(gci/epe≤T1→S1, IF(≤T2→S2, S3)),TRUE())</t>
        </is>
      </c>
      <c r="E78" s="376">
        <f>IF(E72&lt;=E73,E74,IF(E72&lt;=E75,E76,E77))</f>
        <v/>
      </c>
      <c r="F78" s="376">
        <f>IF(F72&lt;=F73,F74,IF(F72&lt;=F75,F76,F77))</f>
        <v/>
      </c>
      <c r="G78" s="376">
        <f>IF(G72&lt;=G73,G74,IF(G72&lt;=G75,G76,G77))</f>
        <v/>
      </c>
      <c r="H78" s="376">
        <f>IF(H72&lt;=H73,H74,IF(H72&lt;=H75,H76,H77))</f>
        <v/>
      </c>
      <c r="I78" s="344">
        <f>IF(I72&lt;=I73,I74,IF(I72&lt;=I75,I76,I77))</f>
        <v/>
      </c>
      <c r="J78" s="376">
        <f>IF(J72&lt;=J73,J74,IF(J72&lt;=J75,J76,J77))</f>
        <v/>
      </c>
      <c r="K78" s="376">
        <f>IF(K72&lt;=K73,K74,IF(K72&lt;=K75,K76,K77))</f>
        <v/>
      </c>
      <c r="L78" s="376">
        <f>IF(L72&lt;=L73,L74,IF(L72&lt;=L75,L76,L77))</f>
        <v/>
      </c>
      <c r="M78" s="376">
        <f>IF(M72&lt;=M73,M74,IF(M72&lt;=M75,M76,M77))</f>
        <v/>
      </c>
      <c r="N78" s="344">
        <f>IF(N72&lt;=N73,N74,IF(N72&lt;=N75,N76,N77))</f>
        <v/>
      </c>
      <c r="O78" s="376">
        <f>IF(O72&lt;=O73,O74,IF(O72&lt;=O75,O76,O77))</f>
        <v/>
      </c>
      <c r="P78" s="376">
        <f>IF(P72&lt;=P73,P74,IF(P72&lt;=P75,P76,P77))</f>
        <v/>
      </c>
      <c r="Q78" s="376">
        <f>IF(Q72&lt;=Q73,Q74,IF(Q72&lt;=Q75,Q76,Q77))</f>
        <v/>
      </c>
      <c r="R78" s="376">
        <f>IF(R72&lt;=R73,R74,IF(R72&lt;=R75,R76,R77))</f>
        <v/>
      </c>
      <c r="S78" s="344">
        <f>IF(S72&lt;=S73,S74,IF(S72&lt;=S75,S76,S77))</f>
        <v/>
      </c>
      <c r="T78" s="376">
        <f>IF(T72&lt;=T73,T74,IF(T72&lt;=T75,T76,T77))</f>
        <v/>
      </c>
      <c r="U78" s="376">
        <f>IF(U72&lt;=U73,U74,IF(U72&lt;=U75,U76,U77))</f>
        <v/>
      </c>
      <c r="V78" s="376">
        <f>IF(V72&lt;=V73,V74,IF(V72&lt;=V75,V76,V77))</f>
        <v/>
      </c>
      <c r="W78" s="376">
        <f>IF(W72&lt;=W73,W74,IF(W72&lt;=W75,W76,W77))</f>
        <v/>
      </c>
      <c r="X78" s="344">
        <f>IF(X72&lt;=X73,X74,IF(X72&lt;=X75,X76,X77))</f>
        <v/>
      </c>
      <c r="Y78" s="376">
        <f>IF(Y72&lt;=Y73,Y74,IF(Y72&lt;=Y75,Y76,Y77))</f>
        <v/>
      </c>
      <c r="Z78" s="376">
        <f>IF(Z72&lt;=Z73,Z74,IF(Z72&lt;=Z75,Z76,Z77))</f>
        <v/>
      </c>
      <c r="AA78" s="376">
        <f>IF(AA72&lt;=AA73,AA74,IF(AA72&lt;=AA75,AA76,AA77))</f>
        <v/>
      </c>
      <c r="AB78" s="376">
        <f>IF(AB72&lt;=AB73,AB74,IF(AB72&lt;=AB75,AB76,AB77))</f>
        <v/>
      </c>
      <c r="AC78" s="344">
        <f>IF(AC72&lt;=AC73,AC74,IF(AC72&lt;=AC75,AC76,AC77))</f>
        <v/>
      </c>
      <c r="AD78" s="376">
        <f>IF(AD72&lt;=AD73,AD74,IF(AD72&lt;=AD75,AD76,AD77))</f>
        <v/>
      </c>
      <c r="AE78" s="376">
        <f>IF(AE72&lt;=AE73,AE74,IF(AE72&lt;=AE75,AE76,AE77))</f>
        <v/>
      </c>
      <c r="AF78" s="376">
        <f>IF(AF72&lt;=AF73,AF74,IF(AF72&lt;=AF75,AF76,AF77))</f>
        <v/>
      </c>
      <c r="AG78" s="376">
        <f>IF(AG72&lt;=AG73,AG74,IF(AG72&lt;=AG75,AG76,AG77))</f>
        <v/>
      </c>
      <c r="AH78" s="344">
        <f>IF(AH72&lt;=AH73,AH74,IF(AH72&lt;=AH75,AH76,AH77))</f>
        <v/>
      </c>
      <c r="AI78" s="376">
        <f>IF(AI72&lt;=AI73,AI74,IF(AI72&lt;=AI75,AI76,AI77))</f>
        <v/>
      </c>
      <c r="AJ78" s="376">
        <f>IF(AJ72&lt;=AJ73,AJ74,IF(AJ72&lt;=AJ75,AJ76,AJ77))</f>
        <v/>
      </c>
      <c r="AK78" s="376">
        <f>IF(AK72&lt;=AK73,AK74,IF(AK72&lt;=AK75,AK76,AK77))</f>
        <v/>
      </c>
      <c r="AL78" s="376">
        <f>IF(AL72&lt;=AL73,AL74,IF(AL72&lt;=AL75,AL76,AL77))</f>
        <v/>
      </c>
      <c r="AM78" s="344">
        <f>IF(AM72&lt;=AM73,AM74,IF(AM72&lt;=AM75,AM76,AM77))</f>
        <v/>
      </c>
      <c r="AN78" s="376">
        <f>IF(AN72&lt;=AN73,AN74,IF(AN72&lt;=AN75,AN76,AN77))</f>
        <v/>
      </c>
      <c r="AO78" s="376">
        <f>IF(AO72&lt;=AO73,AO74,IF(AO72&lt;=AO75,AO76,AO77))</f>
        <v/>
      </c>
      <c r="AP78" s="376">
        <f>IF(AP72&lt;=AP73,AP74,IF(AP72&lt;=AP75,AP76,AP77))</f>
        <v/>
      </c>
      <c r="AQ78" s="376">
        <f>IF(AQ72&lt;=AQ73,AQ74,IF(AQ72&lt;=AQ75,AQ76,AQ77))</f>
        <v/>
      </c>
      <c r="AR78" s="344">
        <f>IF(AR72&lt;=AR73,AR74,IF(AR72&lt;=AR75,AR76,AR77))</f>
        <v/>
      </c>
    </row>
    <row r="79" ht="13.5" customHeight="1" s="290">
      <c r="A79" s="395" t="n"/>
      <c r="B79" s="402" t="inlineStr">
        <is>
          <t xml:space="preserve">  ★ Producer Payout — Core</t>
        </is>
      </c>
      <c r="C79" s="374" t="inlineStr">
        <is>
          <t>$K</t>
        </is>
      </c>
      <c r="D79" s="396" t="inlineStr">
        <is>
          <t xml:space="preserve"> tier gci × Applied Split %</t>
        </is>
      </c>
      <c r="E79" s="403">
        <f>E70*E78</f>
        <v/>
      </c>
      <c r="F79" s="403">
        <f>F70*F78</f>
        <v/>
      </c>
      <c r="G79" s="403">
        <f>G70*G78</f>
        <v/>
      </c>
      <c r="H79" s="403">
        <f>H70*H78</f>
        <v/>
      </c>
      <c r="I79" s="387">
        <f>SUM(E79:H79)</f>
        <v/>
      </c>
      <c r="J79" s="403">
        <f>J70*J78</f>
        <v/>
      </c>
      <c r="K79" s="403">
        <f>K70*K78</f>
        <v/>
      </c>
      <c r="L79" s="403">
        <f>L70*L78</f>
        <v/>
      </c>
      <c r="M79" s="403">
        <f>M70*M78</f>
        <v/>
      </c>
      <c r="N79" s="387">
        <f>SUM(J79:M79)</f>
        <v/>
      </c>
      <c r="O79" s="403">
        <f>O70*O78</f>
        <v/>
      </c>
      <c r="P79" s="403">
        <f>P70*P78</f>
        <v/>
      </c>
      <c r="Q79" s="403">
        <f>Q70*Q78</f>
        <v/>
      </c>
      <c r="R79" s="403">
        <f>R70*R78</f>
        <v/>
      </c>
      <c r="S79" s="387">
        <f>SUM(O79:R79)</f>
        <v/>
      </c>
      <c r="T79" s="403">
        <f>T70*T78</f>
        <v/>
      </c>
      <c r="U79" s="403">
        <f>U70*U78</f>
        <v/>
      </c>
      <c r="V79" s="403">
        <f>V70*V78</f>
        <v/>
      </c>
      <c r="W79" s="403">
        <f>W70*W78</f>
        <v/>
      </c>
      <c r="X79" s="387">
        <f>SUM(T79:W79)</f>
        <v/>
      </c>
      <c r="Y79" s="403">
        <f>Y70*Y78</f>
        <v/>
      </c>
      <c r="Z79" s="403">
        <f>Z70*Z78</f>
        <v/>
      </c>
      <c r="AA79" s="403">
        <f>AA70*AA78</f>
        <v/>
      </c>
      <c r="AB79" s="403">
        <f>AB70*AB78</f>
        <v/>
      </c>
      <c r="AC79" s="387">
        <f>SUM(Y79:AB79)</f>
        <v/>
      </c>
      <c r="AD79" s="403">
        <f>AD70*AD78</f>
        <v/>
      </c>
      <c r="AE79" s="403">
        <f>AE70*AE78</f>
        <v/>
      </c>
      <c r="AF79" s="403">
        <f>AF70*AF78</f>
        <v/>
      </c>
      <c r="AG79" s="403">
        <f>AG70*AG78</f>
        <v/>
      </c>
      <c r="AH79" s="387">
        <f>SUM(AD79:AG79)</f>
        <v/>
      </c>
      <c r="AI79" s="403">
        <f>AI70*AI78</f>
        <v/>
      </c>
      <c r="AJ79" s="403">
        <f>AJ70*AJ78</f>
        <v/>
      </c>
      <c r="AK79" s="403">
        <f>AK70*AK78</f>
        <v/>
      </c>
      <c r="AL79" s="403">
        <f>AL70*AL78</f>
        <v/>
      </c>
      <c r="AM79" s="387">
        <f>SUM(AI79:AL79)</f>
        <v/>
      </c>
      <c r="AN79" s="403">
        <f>AN70*AN78</f>
        <v/>
      </c>
      <c r="AO79" s="403">
        <f>AO70*AO78</f>
        <v/>
      </c>
      <c r="AP79" s="403">
        <f>AP70*AP78</f>
        <v/>
      </c>
      <c r="AQ79" s="403">
        <f>AQ70*AQ78</f>
        <v/>
      </c>
      <c r="AR79" s="387">
        <f>SUM(AN79:AQ79)</f>
        <v/>
      </c>
    </row>
    <row r="80" ht="3.75" customHeight="1" s="290"/>
    <row r="81" ht="13.5" customHeight="1" s="290">
      <c r="A81" s="369" t="inlineStr">
        <is>
          <t xml:space="preserve">    ── Junior ──</t>
        </is>
      </c>
    </row>
    <row r="82" ht="13.5" customHeight="1" s="290">
      <c r="A82" s="395" t="n"/>
      <c r="B82" s="373" t="inlineStr">
        <is>
          <t xml:space="preserve">  Tier GCI — Junior</t>
        </is>
      </c>
      <c r="C82" s="374" t="inlineStr">
        <is>
          <t>$K</t>
        </is>
      </c>
      <c r="D82" s="396" t="inlineStr">
        <is>
          <t xml:space="preserve"> (tier share) × Net Investment Sales GCI</t>
        </is>
      </c>
      <c r="E82" s="376">
        <f>IFERROR('05 Revenue Engine'!E79/'05 Revenue Engine'!E80*'05 Revenue Engine'!E88,0)</f>
        <v/>
      </c>
      <c r="F82" s="376">
        <f>IFERROR('05 Revenue Engine'!F79/'05 Revenue Engine'!F80*'05 Revenue Engine'!F88,0)</f>
        <v/>
      </c>
      <c r="G82" s="376">
        <f>IFERROR('05 Revenue Engine'!G79/'05 Revenue Engine'!G80*'05 Revenue Engine'!G88,0)</f>
        <v/>
      </c>
      <c r="H82" s="376">
        <f>IFERROR('05 Revenue Engine'!H79/'05 Revenue Engine'!H80*'05 Revenue Engine'!H88,0)</f>
        <v/>
      </c>
      <c r="I82" s="344">
        <f>SUM(E82:H82)</f>
        <v/>
      </c>
      <c r="J82" s="376">
        <f>IFERROR('05 Revenue Engine'!J79/'05 Revenue Engine'!J80*'05 Revenue Engine'!J88,0)</f>
        <v/>
      </c>
      <c r="K82" s="376">
        <f>IFERROR('05 Revenue Engine'!K79/'05 Revenue Engine'!K80*'05 Revenue Engine'!K88,0)</f>
        <v/>
      </c>
      <c r="L82" s="376">
        <f>IFERROR('05 Revenue Engine'!L79/'05 Revenue Engine'!L80*'05 Revenue Engine'!L88,0)</f>
        <v/>
      </c>
      <c r="M82" s="376">
        <f>IFERROR('05 Revenue Engine'!M79/'05 Revenue Engine'!M80*'05 Revenue Engine'!M88,0)</f>
        <v/>
      </c>
      <c r="N82" s="344">
        <f>SUM(J82:M82)</f>
        <v/>
      </c>
      <c r="O82" s="376">
        <f>IFERROR('05 Revenue Engine'!O79/'05 Revenue Engine'!O80*'05 Revenue Engine'!O88,0)</f>
        <v/>
      </c>
      <c r="P82" s="376">
        <f>IFERROR('05 Revenue Engine'!P79/'05 Revenue Engine'!P80*'05 Revenue Engine'!P88,0)</f>
        <v/>
      </c>
      <c r="Q82" s="376">
        <f>IFERROR('05 Revenue Engine'!Q79/'05 Revenue Engine'!Q80*'05 Revenue Engine'!Q88,0)</f>
        <v/>
      </c>
      <c r="R82" s="376">
        <f>IFERROR('05 Revenue Engine'!R79/'05 Revenue Engine'!R80*'05 Revenue Engine'!R88,0)</f>
        <v/>
      </c>
      <c r="S82" s="344">
        <f>SUM(O82:R82)</f>
        <v/>
      </c>
      <c r="T82" s="376">
        <f>IFERROR('05 Revenue Engine'!T79/'05 Revenue Engine'!T80*'05 Revenue Engine'!T88,0)</f>
        <v/>
      </c>
      <c r="U82" s="376">
        <f>IFERROR('05 Revenue Engine'!U79/'05 Revenue Engine'!U80*'05 Revenue Engine'!U88,0)</f>
        <v/>
      </c>
      <c r="V82" s="376">
        <f>IFERROR('05 Revenue Engine'!V79/'05 Revenue Engine'!V80*'05 Revenue Engine'!V88,0)</f>
        <v/>
      </c>
      <c r="W82" s="376">
        <f>IFERROR('05 Revenue Engine'!W79/'05 Revenue Engine'!W80*'05 Revenue Engine'!W88,0)</f>
        <v/>
      </c>
      <c r="X82" s="344">
        <f>SUM(T82:W82)</f>
        <v/>
      </c>
      <c r="Y82" s="376">
        <f>IFERROR('05 Revenue Engine'!Y79/'05 Revenue Engine'!Y80*'05 Revenue Engine'!Y88,0)</f>
        <v/>
      </c>
      <c r="Z82" s="376">
        <f>IFERROR('05 Revenue Engine'!Z79/'05 Revenue Engine'!Z80*'05 Revenue Engine'!Z88,0)</f>
        <v/>
      </c>
      <c r="AA82" s="376">
        <f>IFERROR('05 Revenue Engine'!AA79/'05 Revenue Engine'!AA80*'05 Revenue Engine'!AA88,0)</f>
        <v/>
      </c>
      <c r="AB82" s="376">
        <f>IFERROR('05 Revenue Engine'!AB79/'05 Revenue Engine'!AB80*'05 Revenue Engine'!AB88,0)</f>
        <v/>
      </c>
      <c r="AC82" s="344">
        <f>SUM(Y82:AB82)</f>
        <v/>
      </c>
      <c r="AD82" s="376">
        <f>IFERROR('05 Revenue Engine'!AD79/'05 Revenue Engine'!AD80*'05 Revenue Engine'!AD88,0)</f>
        <v/>
      </c>
      <c r="AE82" s="376">
        <f>IFERROR('05 Revenue Engine'!AE79/'05 Revenue Engine'!AE80*'05 Revenue Engine'!AE88,0)</f>
        <v/>
      </c>
      <c r="AF82" s="376">
        <f>IFERROR('05 Revenue Engine'!AF79/'05 Revenue Engine'!AF80*'05 Revenue Engine'!AF88,0)</f>
        <v/>
      </c>
      <c r="AG82" s="376">
        <f>IFERROR('05 Revenue Engine'!AG79/'05 Revenue Engine'!AG80*'05 Revenue Engine'!AG88,0)</f>
        <v/>
      </c>
      <c r="AH82" s="344">
        <f>SUM(AD82:AG82)</f>
        <v/>
      </c>
      <c r="AI82" s="376">
        <f>IFERROR('05 Revenue Engine'!AI79/'05 Revenue Engine'!AI80*'05 Revenue Engine'!AI88,0)</f>
        <v/>
      </c>
      <c r="AJ82" s="376">
        <f>IFERROR('05 Revenue Engine'!AJ79/'05 Revenue Engine'!AJ80*'05 Revenue Engine'!AJ88,0)</f>
        <v/>
      </c>
      <c r="AK82" s="376">
        <f>IFERROR('05 Revenue Engine'!AK79/'05 Revenue Engine'!AK80*'05 Revenue Engine'!AK88,0)</f>
        <v/>
      </c>
      <c r="AL82" s="376">
        <f>IFERROR('05 Revenue Engine'!AL79/'05 Revenue Engine'!AL80*'05 Revenue Engine'!AL88,0)</f>
        <v/>
      </c>
      <c r="AM82" s="344">
        <f>SUM(AI82:AL82)</f>
        <v/>
      </c>
      <c r="AN82" s="376">
        <f>IFERROR('05 Revenue Engine'!AN79/'05 Revenue Engine'!AN80*'05 Revenue Engine'!AN88,0)</f>
        <v/>
      </c>
      <c r="AO82" s="376">
        <f>IFERROR('05 Revenue Engine'!AO79/'05 Revenue Engine'!AO80*'05 Revenue Engine'!AO88,0)</f>
        <v/>
      </c>
      <c r="AP82" s="376">
        <f>IFERROR('05 Revenue Engine'!AP79/'05 Revenue Engine'!AP80*'05 Revenue Engine'!AP88,0)</f>
        <v/>
      </c>
      <c r="AQ82" s="376">
        <f>IFERROR('05 Revenue Engine'!AQ79/'05 Revenue Engine'!AQ80*'05 Revenue Engine'!AQ88,0)</f>
        <v/>
      </c>
      <c r="AR82" s="344">
        <f>SUM(AN82:AQ82)</f>
        <v/>
      </c>
    </row>
    <row r="83" ht="13.5" customHeight="1" s="290">
      <c r="A83" s="345" t="n"/>
      <c r="B83" s="370" t="inlineStr">
        <is>
          <t xml:space="preserve">  EPE — Junior</t>
        </is>
      </c>
      <c r="C83" s="371" t="inlineStr">
        <is>
          <t>EPE</t>
        </is>
      </c>
      <c r="D83" s="394" t="inlineStr">
        <is>
          <t>← Tab 04 row 93</t>
        </is>
      </c>
      <c r="E83" s="361">
        <f>'04 Producer Engine'!E93</f>
        <v/>
      </c>
      <c r="F83" s="361">
        <f>'04 Producer Engine'!F93</f>
        <v/>
      </c>
      <c r="G83" s="361">
        <f>'04 Producer Engine'!G93</f>
        <v/>
      </c>
      <c r="H83" s="361">
        <f>'04 Producer Engine'!H93</f>
        <v/>
      </c>
      <c r="I83" s="361">
        <f>AVERAGE(E83:H83)</f>
        <v/>
      </c>
      <c r="J83" s="361">
        <f>'04 Producer Engine'!J93</f>
        <v/>
      </c>
      <c r="K83" s="361">
        <f>'04 Producer Engine'!K93</f>
        <v/>
      </c>
      <c r="L83" s="361">
        <f>'04 Producer Engine'!L93</f>
        <v/>
      </c>
      <c r="M83" s="361">
        <f>'04 Producer Engine'!M93</f>
        <v/>
      </c>
      <c r="N83" s="361">
        <f>AVERAGE(J83:M83)</f>
        <v/>
      </c>
      <c r="O83" s="361">
        <f>'04 Producer Engine'!O93</f>
        <v/>
      </c>
      <c r="P83" s="361">
        <f>'04 Producer Engine'!P93</f>
        <v/>
      </c>
      <c r="Q83" s="361">
        <f>'04 Producer Engine'!Q93</f>
        <v/>
      </c>
      <c r="R83" s="361">
        <f>'04 Producer Engine'!R93</f>
        <v/>
      </c>
      <c r="S83" s="361">
        <f>AVERAGE(O83:R83)</f>
        <v/>
      </c>
      <c r="T83" s="361">
        <f>'04 Producer Engine'!T93</f>
        <v/>
      </c>
      <c r="U83" s="361">
        <f>'04 Producer Engine'!U93</f>
        <v/>
      </c>
      <c r="V83" s="361">
        <f>'04 Producer Engine'!V93</f>
        <v/>
      </c>
      <c r="W83" s="361">
        <f>'04 Producer Engine'!W93</f>
        <v/>
      </c>
      <c r="X83" s="361">
        <f>AVERAGE(T83:W83)</f>
        <v/>
      </c>
      <c r="Y83" s="361">
        <f>'04 Producer Engine'!Y93</f>
        <v/>
      </c>
      <c r="Z83" s="361">
        <f>'04 Producer Engine'!Z93</f>
        <v/>
      </c>
      <c r="AA83" s="361">
        <f>'04 Producer Engine'!AA93</f>
        <v/>
      </c>
      <c r="AB83" s="361">
        <f>'04 Producer Engine'!AB93</f>
        <v/>
      </c>
      <c r="AC83" s="361">
        <f>AVERAGE(Y83:AB83)</f>
        <v/>
      </c>
      <c r="AD83" s="361">
        <f>'04 Producer Engine'!AD93</f>
        <v/>
      </c>
      <c r="AE83" s="361">
        <f>'04 Producer Engine'!AE93</f>
        <v/>
      </c>
      <c r="AF83" s="361">
        <f>'04 Producer Engine'!AF93</f>
        <v/>
      </c>
      <c r="AG83" s="361">
        <f>'04 Producer Engine'!AG93</f>
        <v/>
      </c>
      <c r="AH83" s="361">
        <f>AVERAGE(AD83:AG83)</f>
        <v/>
      </c>
      <c r="AI83" s="361">
        <f>'04 Producer Engine'!AI93</f>
        <v/>
      </c>
      <c r="AJ83" s="361">
        <f>'04 Producer Engine'!AJ93</f>
        <v/>
      </c>
      <c r="AK83" s="361">
        <f>'04 Producer Engine'!AK93</f>
        <v/>
      </c>
      <c r="AL83" s="361">
        <f>'04 Producer Engine'!AL93</f>
        <v/>
      </c>
      <c r="AM83" s="361">
        <f>AVERAGE(AI83:AL83)</f>
        <v/>
      </c>
      <c r="AN83" s="361">
        <f>'04 Producer Engine'!AN93</f>
        <v/>
      </c>
      <c r="AO83" s="361">
        <f>'04 Producer Engine'!AO93</f>
        <v/>
      </c>
      <c r="AP83" s="361">
        <f>'04 Producer Engine'!AP93</f>
        <v/>
      </c>
      <c r="AQ83" s="361">
        <f>'04 Producer Engine'!AQ93</f>
        <v/>
      </c>
      <c r="AR83" s="361">
        <f>AVERAGE(AN83:AQ83)</f>
        <v/>
      </c>
    </row>
    <row r="84" ht="13.5" customHeight="1" s="290">
      <c r="A84" s="395" t="n"/>
      <c r="B84" s="373" t="inlineStr">
        <is>
          <t xml:space="preserve">  GCI per EPE Annualized — Junior</t>
        </is>
      </c>
      <c r="C84" s="374" t="inlineStr">
        <is>
          <t>$K/EPE/yr</t>
        </is>
      </c>
      <c r="D84" s="396" t="inlineStr">
        <is>
          <t xml:space="preserve"> (tier gci ÷ Tier EPE) × 4  [annualized for threshold comparison])</t>
        </is>
      </c>
      <c r="E84" s="376">
        <f>IFERROR(E82/E83*4,0)</f>
        <v/>
      </c>
      <c r="F84" s="376">
        <f>IFERROR(F82/F83*4,0)</f>
        <v/>
      </c>
      <c r="G84" s="376">
        <f>IFERROR(G82/G83*4,0)</f>
        <v/>
      </c>
      <c r="H84" s="376">
        <f>IFERROR(H82/H83*4,0)</f>
        <v/>
      </c>
      <c r="I84" s="344">
        <f>IFERROR(I82/I83,0)</f>
        <v/>
      </c>
      <c r="J84" s="376">
        <f>IFERROR(J82/J83*4,0)</f>
        <v/>
      </c>
      <c r="K84" s="376">
        <f>IFERROR(K82/K83*4,0)</f>
        <v/>
      </c>
      <c r="L84" s="376">
        <f>IFERROR(L82/L83*4,0)</f>
        <v/>
      </c>
      <c r="M84" s="376">
        <f>IFERROR(M82/M83*4,0)</f>
        <v/>
      </c>
      <c r="N84" s="344">
        <f>IFERROR(N82/N83,0)</f>
        <v/>
      </c>
      <c r="O84" s="376">
        <f>IFERROR(O82/O83*4,0)</f>
        <v/>
      </c>
      <c r="P84" s="376">
        <f>IFERROR(P82/P83*4,0)</f>
        <v/>
      </c>
      <c r="Q84" s="376">
        <f>IFERROR(Q82/Q83*4,0)</f>
        <v/>
      </c>
      <c r="R84" s="376">
        <f>IFERROR(R82/R83*4,0)</f>
        <v/>
      </c>
      <c r="S84" s="344">
        <f>IFERROR(S82/S83,0)</f>
        <v/>
      </c>
      <c r="T84" s="376">
        <f>IFERROR(T82/T83*4,0)</f>
        <v/>
      </c>
      <c r="U84" s="376">
        <f>IFERROR(U82/U83*4,0)</f>
        <v/>
      </c>
      <c r="V84" s="376">
        <f>IFERROR(V82/V83*4,0)</f>
        <v/>
      </c>
      <c r="W84" s="376">
        <f>IFERROR(W82/W83*4,0)</f>
        <v/>
      </c>
      <c r="X84" s="344">
        <f>IFERROR(X82/X83,0)</f>
        <v/>
      </c>
      <c r="Y84" s="376">
        <f>IFERROR(Y82/Y83*4,0)</f>
        <v/>
      </c>
      <c r="Z84" s="376">
        <f>IFERROR(Z82/Z83*4,0)</f>
        <v/>
      </c>
      <c r="AA84" s="376">
        <f>IFERROR(AA82/AA83*4,0)</f>
        <v/>
      </c>
      <c r="AB84" s="376">
        <f>IFERROR(AB82/AB83*4,0)</f>
        <v/>
      </c>
      <c r="AC84" s="344">
        <f>IFERROR(AC82/AC83,0)</f>
        <v/>
      </c>
      <c r="AD84" s="376">
        <f>IFERROR(AD82/AD83*4,0)</f>
        <v/>
      </c>
      <c r="AE84" s="376">
        <f>IFERROR(AE82/AE83*4,0)</f>
        <v/>
      </c>
      <c r="AF84" s="376">
        <f>IFERROR(AF82/AF83*4,0)</f>
        <v/>
      </c>
      <c r="AG84" s="376">
        <f>IFERROR(AG82/AG83*4,0)</f>
        <v/>
      </c>
      <c r="AH84" s="344">
        <f>IFERROR(AH82/AH83,0)</f>
        <v/>
      </c>
      <c r="AI84" s="376">
        <f>IFERROR(AI82/AI83*4,0)</f>
        <v/>
      </c>
      <c r="AJ84" s="376">
        <f>IFERROR(AJ82/AJ83*4,0)</f>
        <v/>
      </c>
      <c r="AK84" s="376">
        <f>IFERROR(AK82/AK83*4,0)</f>
        <v/>
      </c>
      <c r="AL84" s="376">
        <f>IFERROR(AL82/AL83*4,0)</f>
        <v/>
      </c>
      <c r="AM84" s="344">
        <f>IFERROR(AM82/AM83,0)</f>
        <v/>
      </c>
      <c r="AN84" s="376">
        <f>IFERROR(AN82/AN83*4,0)</f>
        <v/>
      </c>
      <c r="AO84" s="376">
        <f>IFERROR(AO82/AO83*4,0)</f>
        <v/>
      </c>
      <c r="AP84" s="376">
        <f>IFERROR(AP82/AP83*4,0)</f>
        <v/>
      </c>
      <c r="AQ84" s="376">
        <f>IFERROR(AQ82/AQ83*4,0)</f>
        <v/>
      </c>
      <c r="AR84" s="344">
        <f>IFERROR(AR82/AR83,0)</f>
        <v/>
      </c>
    </row>
    <row r="85" ht="13.5" customHeight="1" s="290">
      <c r="A85" s="345" t="n"/>
      <c r="B85" s="370" t="inlineStr">
        <is>
          <t xml:space="preserve">  Split Threshold 1 — Junior</t>
        </is>
      </c>
      <c r="C85" s="371" t="inlineStr">
        <is>
          <t>$K GCI/yr</t>
        </is>
      </c>
      <c r="D85" s="394" t="inlineStr">
        <is>
          <t>← Tab 03 row 260 col E</t>
        </is>
      </c>
      <c r="E85" s="361">
        <f>'03 Operational Assumptions'!E260</f>
        <v/>
      </c>
      <c r="F85" s="361">
        <f>'03 Operational Assumptions'!E260</f>
        <v/>
      </c>
      <c r="G85" s="361">
        <f>'03 Operational Assumptions'!E260</f>
        <v/>
      </c>
      <c r="H85" s="361">
        <f>'03 Operational Assumptions'!E260</f>
        <v/>
      </c>
      <c r="I85" s="361">
        <f>'03 Operational Assumptions'!E260</f>
        <v/>
      </c>
      <c r="J85" s="361">
        <f>'03 Operational Assumptions'!E260</f>
        <v/>
      </c>
      <c r="K85" s="361">
        <f>'03 Operational Assumptions'!E260</f>
        <v/>
      </c>
      <c r="L85" s="361">
        <f>'03 Operational Assumptions'!E260</f>
        <v/>
      </c>
      <c r="M85" s="361">
        <f>'03 Operational Assumptions'!E260</f>
        <v/>
      </c>
      <c r="N85" s="361">
        <f>'03 Operational Assumptions'!E260</f>
        <v/>
      </c>
      <c r="O85" s="361">
        <f>'03 Operational Assumptions'!E260</f>
        <v/>
      </c>
      <c r="P85" s="361">
        <f>'03 Operational Assumptions'!E260</f>
        <v/>
      </c>
      <c r="Q85" s="361">
        <f>'03 Operational Assumptions'!E260</f>
        <v/>
      </c>
      <c r="R85" s="361">
        <f>'03 Operational Assumptions'!E260</f>
        <v/>
      </c>
      <c r="S85" s="361">
        <f>'03 Operational Assumptions'!E260</f>
        <v/>
      </c>
      <c r="T85" s="361">
        <f>'03 Operational Assumptions'!E260</f>
        <v/>
      </c>
      <c r="U85" s="361">
        <f>'03 Operational Assumptions'!E260</f>
        <v/>
      </c>
      <c r="V85" s="361">
        <f>'03 Operational Assumptions'!E260</f>
        <v/>
      </c>
      <c r="W85" s="361">
        <f>'03 Operational Assumptions'!E260</f>
        <v/>
      </c>
      <c r="X85" s="361">
        <f>'03 Operational Assumptions'!E260</f>
        <v/>
      </c>
      <c r="Y85" s="361">
        <f>'03 Operational Assumptions'!E260</f>
        <v/>
      </c>
      <c r="Z85" s="361">
        <f>'03 Operational Assumptions'!E260</f>
        <v/>
      </c>
      <c r="AA85" s="361">
        <f>'03 Operational Assumptions'!E260</f>
        <v/>
      </c>
      <c r="AB85" s="361">
        <f>'03 Operational Assumptions'!E260</f>
        <v/>
      </c>
      <c r="AC85" s="361">
        <f>'03 Operational Assumptions'!E260</f>
        <v/>
      </c>
      <c r="AD85" s="361">
        <f>'03 Operational Assumptions'!E260</f>
        <v/>
      </c>
      <c r="AE85" s="361">
        <f>'03 Operational Assumptions'!E260</f>
        <v/>
      </c>
      <c r="AF85" s="361">
        <f>'03 Operational Assumptions'!E260</f>
        <v/>
      </c>
      <c r="AG85" s="361">
        <f>'03 Operational Assumptions'!E260</f>
        <v/>
      </c>
      <c r="AH85" s="361">
        <f>'03 Operational Assumptions'!E260</f>
        <v/>
      </c>
      <c r="AI85" s="361">
        <f>'03 Operational Assumptions'!E260</f>
        <v/>
      </c>
      <c r="AJ85" s="361">
        <f>'03 Operational Assumptions'!E260</f>
        <v/>
      </c>
      <c r="AK85" s="361">
        <f>'03 Operational Assumptions'!E260</f>
        <v/>
      </c>
      <c r="AL85" s="361">
        <f>'03 Operational Assumptions'!E260</f>
        <v/>
      </c>
      <c r="AM85" s="361">
        <f>'03 Operational Assumptions'!E260</f>
        <v/>
      </c>
      <c r="AN85" s="361">
        <f>'03 Operational Assumptions'!E260</f>
        <v/>
      </c>
      <c r="AO85" s="361">
        <f>'03 Operational Assumptions'!E260</f>
        <v/>
      </c>
      <c r="AP85" s="361">
        <f>'03 Operational Assumptions'!E260</f>
        <v/>
      </c>
      <c r="AQ85" s="361">
        <f>'03 Operational Assumptions'!E260</f>
        <v/>
      </c>
      <c r="AR85" s="361">
        <f>'03 Operational Assumptions'!E260</f>
        <v/>
      </c>
    </row>
    <row r="86" ht="13.5" customHeight="1" s="290">
      <c r="A86" s="345" t="n"/>
      <c r="B86" s="370" t="inlineStr">
        <is>
          <t xml:space="preserve">  Split % at T1 (S1) — Junior</t>
        </is>
      </c>
      <c r="C86" s="371" t="inlineStr">
        <is>
          <t>%</t>
        </is>
      </c>
      <c r="D86" s="394" t="inlineStr">
        <is>
          <t>← Tab 03 row 260 col F</t>
        </is>
      </c>
      <c r="E86" s="361">
        <f>'03 Operational Assumptions'!F260</f>
        <v/>
      </c>
      <c r="F86" s="361">
        <f>'03 Operational Assumptions'!F260</f>
        <v/>
      </c>
      <c r="G86" s="361">
        <f>'03 Operational Assumptions'!F260</f>
        <v/>
      </c>
      <c r="H86" s="361">
        <f>'03 Operational Assumptions'!F260</f>
        <v/>
      </c>
      <c r="I86" s="361">
        <f>'03 Operational Assumptions'!F260</f>
        <v/>
      </c>
      <c r="J86" s="361">
        <f>'03 Operational Assumptions'!F260</f>
        <v/>
      </c>
      <c r="K86" s="361">
        <f>'03 Operational Assumptions'!F260</f>
        <v/>
      </c>
      <c r="L86" s="361">
        <f>'03 Operational Assumptions'!F260</f>
        <v/>
      </c>
      <c r="M86" s="361">
        <f>'03 Operational Assumptions'!F260</f>
        <v/>
      </c>
      <c r="N86" s="361">
        <f>'03 Operational Assumptions'!F260</f>
        <v/>
      </c>
      <c r="O86" s="361">
        <f>'03 Operational Assumptions'!F260</f>
        <v/>
      </c>
      <c r="P86" s="361">
        <f>'03 Operational Assumptions'!F260</f>
        <v/>
      </c>
      <c r="Q86" s="361">
        <f>'03 Operational Assumptions'!F260</f>
        <v/>
      </c>
      <c r="R86" s="361">
        <f>'03 Operational Assumptions'!F260</f>
        <v/>
      </c>
      <c r="S86" s="361">
        <f>'03 Operational Assumptions'!F260</f>
        <v/>
      </c>
      <c r="T86" s="361">
        <f>'03 Operational Assumptions'!F260</f>
        <v/>
      </c>
      <c r="U86" s="361">
        <f>'03 Operational Assumptions'!F260</f>
        <v/>
      </c>
      <c r="V86" s="361">
        <f>'03 Operational Assumptions'!F260</f>
        <v/>
      </c>
      <c r="W86" s="361">
        <f>'03 Operational Assumptions'!F260</f>
        <v/>
      </c>
      <c r="X86" s="361">
        <f>'03 Operational Assumptions'!F260</f>
        <v/>
      </c>
      <c r="Y86" s="361">
        <f>'03 Operational Assumptions'!F260</f>
        <v/>
      </c>
      <c r="Z86" s="361">
        <f>'03 Operational Assumptions'!F260</f>
        <v/>
      </c>
      <c r="AA86" s="361">
        <f>'03 Operational Assumptions'!F260</f>
        <v/>
      </c>
      <c r="AB86" s="361">
        <f>'03 Operational Assumptions'!F260</f>
        <v/>
      </c>
      <c r="AC86" s="361">
        <f>'03 Operational Assumptions'!F260</f>
        <v/>
      </c>
      <c r="AD86" s="361">
        <f>'03 Operational Assumptions'!F260</f>
        <v/>
      </c>
      <c r="AE86" s="361">
        <f>'03 Operational Assumptions'!F260</f>
        <v/>
      </c>
      <c r="AF86" s="361">
        <f>'03 Operational Assumptions'!F260</f>
        <v/>
      </c>
      <c r="AG86" s="361">
        <f>'03 Operational Assumptions'!F260</f>
        <v/>
      </c>
      <c r="AH86" s="361">
        <f>'03 Operational Assumptions'!F260</f>
        <v/>
      </c>
      <c r="AI86" s="361">
        <f>'03 Operational Assumptions'!F260</f>
        <v/>
      </c>
      <c r="AJ86" s="361">
        <f>'03 Operational Assumptions'!F260</f>
        <v/>
      </c>
      <c r="AK86" s="361">
        <f>'03 Operational Assumptions'!F260</f>
        <v/>
      </c>
      <c r="AL86" s="361">
        <f>'03 Operational Assumptions'!F260</f>
        <v/>
      </c>
      <c r="AM86" s="361">
        <f>'03 Operational Assumptions'!F260</f>
        <v/>
      </c>
      <c r="AN86" s="361">
        <f>'03 Operational Assumptions'!F260</f>
        <v/>
      </c>
      <c r="AO86" s="361">
        <f>'03 Operational Assumptions'!F260</f>
        <v/>
      </c>
      <c r="AP86" s="361">
        <f>'03 Operational Assumptions'!F260</f>
        <v/>
      </c>
      <c r="AQ86" s="361">
        <f>'03 Operational Assumptions'!F260</f>
        <v/>
      </c>
      <c r="AR86" s="361">
        <f>'03 Operational Assumptions'!F260</f>
        <v/>
      </c>
    </row>
    <row r="87" ht="13.5" customHeight="1" s="290">
      <c r="A87" s="345" t="n"/>
      <c r="B87" s="370" t="inlineStr">
        <is>
          <t xml:space="preserve">  Split Threshold 2 — Junior</t>
        </is>
      </c>
      <c r="C87" s="371" t="inlineStr">
        <is>
          <t>$K GCI/yr</t>
        </is>
      </c>
      <c r="D87" s="394" t="inlineStr">
        <is>
          <t>← Tab 03 row 260 col G</t>
        </is>
      </c>
      <c r="E87" s="361">
        <f>'03 Operational Assumptions'!G260</f>
        <v/>
      </c>
      <c r="F87" s="361">
        <f>'03 Operational Assumptions'!G260</f>
        <v/>
      </c>
      <c r="G87" s="361">
        <f>'03 Operational Assumptions'!G260</f>
        <v/>
      </c>
      <c r="H87" s="361">
        <f>'03 Operational Assumptions'!G260</f>
        <v/>
      </c>
      <c r="I87" s="361">
        <f>'03 Operational Assumptions'!G260</f>
        <v/>
      </c>
      <c r="J87" s="361">
        <f>'03 Operational Assumptions'!G260</f>
        <v/>
      </c>
      <c r="K87" s="361">
        <f>'03 Operational Assumptions'!G260</f>
        <v/>
      </c>
      <c r="L87" s="361">
        <f>'03 Operational Assumptions'!G260</f>
        <v/>
      </c>
      <c r="M87" s="361">
        <f>'03 Operational Assumptions'!G260</f>
        <v/>
      </c>
      <c r="N87" s="361">
        <f>'03 Operational Assumptions'!G260</f>
        <v/>
      </c>
      <c r="O87" s="361">
        <f>'03 Operational Assumptions'!G260</f>
        <v/>
      </c>
      <c r="P87" s="361">
        <f>'03 Operational Assumptions'!G260</f>
        <v/>
      </c>
      <c r="Q87" s="361">
        <f>'03 Operational Assumptions'!G260</f>
        <v/>
      </c>
      <c r="R87" s="361">
        <f>'03 Operational Assumptions'!G260</f>
        <v/>
      </c>
      <c r="S87" s="361">
        <f>'03 Operational Assumptions'!G260</f>
        <v/>
      </c>
      <c r="T87" s="361">
        <f>'03 Operational Assumptions'!G260</f>
        <v/>
      </c>
      <c r="U87" s="361">
        <f>'03 Operational Assumptions'!G260</f>
        <v/>
      </c>
      <c r="V87" s="361">
        <f>'03 Operational Assumptions'!G260</f>
        <v/>
      </c>
      <c r="W87" s="361">
        <f>'03 Operational Assumptions'!G260</f>
        <v/>
      </c>
      <c r="X87" s="361">
        <f>'03 Operational Assumptions'!G260</f>
        <v/>
      </c>
      <c r="Y87" s="361">
        <f>'03 Operational Assumptions'!G260</f>
        <v/>
      </c>
      <c r="Z87" s="361">
        <f>'03 Operational Assumptions'!G260</f>
        <v/>
      </c>
      <c r="AA87" s="361">
        <f>'03 Operational Assumptions'!G260</f>
        <v/>
      </c>
      <c r="AB87" s="361">
        <f>'03 Operational Assumptions'!G260</f>
        <v/>
      </c>
      <c r="AC87" s="361">
        <f>'03 Operational Assumptions'!G260</f>
        <v/>
      </c>
      <c r="AD87" s="361">
        <f>'03 Operational Assumptions'!G260</f>
        <v/>
      </c>
      <c r="AE87" s="361">
        <f>'03 Operational Assumptions'!G260</f>
        <v/>
      </c>
      <c r="AF87" s="361">
        <f>'03 Operational Assumptions'!G260</f>
        <v/>
      </c>
      <c r="AG87" s="361">
        <f>'03 Operational Assumptions'!G260</f>
        <v/>
      </c>
      <c r="AH87" s="361">
        <f>'03 Operational Assumptions'!G260</f>
        <v/>
      </c>
      <c r="AI87" s="361">
        <f>'03 Operational Assumptions'!G260</f>
        <v/>
      </c>
      <c r="AJ87" s="361">
        <f>'03 Operational Assumptions'!G260</f>
        <v/>
      </c>
      <c r="AK87" s="361">
        <f>'03 Operational Assumptions'!G260</f>
        <v/>
      </c>
      <c r="AL87" s="361">
        <f>'03 Operational Assumptions'!G260</f>
        <v/>
      </c>
      <c r="AM87" s="361">
        <f>'03 Operational Assumptions'!G260</f>
        <v/>
      </c>
      <c r="AN87" s="361">
        <f>'03 Operational Assumptions'!G260</f>
        <v/>
      </c>
      <c r="AO87" s="361">
        <f>'03 Operational Assumptions'!G260</f>
        <v/>
      </c>
      <c r="AP87" s="361">
        <f>'03 Operational Assumptions'!G260</f>
        <v/>
      </c>
      <c r="AQ87" s="361">
        <f>'03 Operational Assumptions'!G260</f>
        <v/>
      </c>
      <c r="AR87" s="361">
        <f>'03 Operational Assumptions'!G260</f>
        <v/>
      </c>
    </row>
    <row r="88" ht="13.5" customHeight="1" s="290">
      <c r="A88" s="345" t="n"/>
      <c r="B88" s="370" t="inlineStr">
        <is>
          <t xml:space="preserve">  Split % at T2 (S2) — Junior</t>
        </is>
      </c>
      <c r="C88" s="371" t="inlineStr">
        <is>
          <t>%</t>
        </is>
      </c>
      <c r="D88" s="394" t="inlineStr">
        <is>
          <t>← Tab 03 row 260 col H</t>
        </is>
      </c>
      <c r="E88" s="361">
        <f>'03 Operational Assumptions'!H260</f>
        <v/>
      </c>
      <c r="F88" s="361">
        <f>'03 Operational Assumptions'!H260</f>
        <v/>
      </c>
      <c r="G88" s="361">
        <f>'03 Operational Assumptions'!H260</f>
        <v/>
      </c>
      <c r="H88" s="361">
        <f>'03 Operational Assumptions'!H260</f>
        <v/>
      </c>
      <c r="I88" s="361">
        <f>'03 Operational Assumptions'!H260</f>
        <v/>
      </c>
      <c r="J88" s="361">
        <f>'03 Operational Assumptions'!H260</f>
        <v/>
      </c>
      <c r="K88" s="361">
        <f>'03 Operational Assumptions'!H260</f>
        <v/>
      </c>
      <c r="L88" s="361">
        <f>'03 Operational Assumptions'!H260</f>
        <v/>
      </c>
      <c r="M88" s="361">
        <f>'03 Operational Assumptions'!H260</f>
        <v/>
      </c>
      <c r="N88" s="361">
        <f>'03 Operational Assumptions'!H260</f>
        <v/>
      </c>
      <c r="O88" s="361">
        <f>'03 Operational Assumptions'!H260</f>
        <v/>
      </c>
      <c r="P88" s="361">
        <f>'03 Operational Assumptions'!H260</f>
        <v/>
      </c>
      <c r="Q88" s="361">
        <f>'03 Operational Assumptions'!H260</f>
        <v/>
      </c>
      <c r="R88" s="361">
        <f>'03 Operational Assumptions'!H260</f>
        <v/>
      </c>
      <c r="S88" s="361">
        <f>'03 Operational Assumptions'!H260</f>
        <v/>
      </c>
      <c r="T88" s="361">
        <f>'03 Operational Assumptions'!H260</f>
        <v/>
      </c>
      <c r="U88" s="361">
        <f>'03 Operational Assumptions'!H260</f>
        <v/>
      </c>
      <c r="V88" s="361">
        <f>'03 Operational Assumptions'!H260</f>
        <v/>
      </c>
      <c r="W88" s="361">
        <f>'03 Operational Assumptions'!H260</f>
        <v/>
      </c>
      <c r="X88" s="361">
        <f>'03 Operational Assumptions'!H260</f>
        <v/>
      </c>
      <c r="Y88" s="361">
        <f>'03 Operational Assumptions'!H260</f>
        <v/>
      </c>
      <c r="Z88" s="361">
        <f>'03 Operational Assumptions'!H260</f>
        <v/>
      </c>
      <c r="AA88" s="361">
        <f>'03 Operational Assumptions'!H260</f>
        <v/>
      </c>
      <c r="AB88" s="361">
        <f>'03 Operational Assumptions'!H260</f>
        <v/>
      </c>
      <c r="AC88" s="361">
        <f>'03 Operational Assumptions'!H260</f>
        <v/>
      </c>
      <c r="AD88" s="361">
        <f>'03 Operational Assumptions'!H260</f>
        <v/>
      </c>
      <c r="AE88" s="361">
        <f>'03 Operational Assumptions'!H260</f>
        <v/>
      </c>
      <c r="AF88" s="361">
        <f>'03 Operational Assumptions'!H260</f>
        <v/>
      </c>
      <c r="AG88" s="361">
        <f>'03 Operational Assumptions'!H260</f>
        <v/>
      </c>
      <c r="AH88" s="361">
        <f>'03 Operational Assumptions'!H260</f>
        <v/>
      </c>
      <c r="AI88" s="361">
        <f>'03 Operational Assumptions'!H260</f>
        <v/>
      </c>
      <c r="AJ88" s="361">
        <f>'03 Operational Assumptions'!H260</f>
        <v/>
      </c>
      <c r="AK88" s="361">
        <f>'03 Operational Assumptions'!H260</f>
        <v/>
      </c>
      <c r="AL88" s="361">
        <f>'03 Operational Assumptions'!H260</f>
        <v/>
      </c>
      <c r="AM88" s="361">
        <f>'03 Operational Assumptions'!H260</f>
        <v/>
      </c>
      <c r="AN88" s="361">
        <f>'03 Operational Assumptions'!H260</f>
        <v/>
      </c>
      <c r="AO88" s="361">
        <f>'03 Operational Assumptions'!H260</f>
        <v/>
      </c>
      <c r="AP88" s="361">
        <f>'03 Operational Assumptions'!H260</f>
        <v/>
      </c>
      <c r="AQ88" s="361">
        <f>'03 Operational Assumptions'!H260</f>
        <v/>
      </c>
      <c r="AR88" s="361">
        <f>'03 Operational Assumptions'!H260</f>
        <v/>
      </c>
    </row>
    <row r="89" ht="13.5" customHeight="1" s="290">
      <c r="A89" s="345" t="n"/>
      <c r="B89" s="370" t="inlineStr">
        <is>
          <t xml:space="preserve">  Split % Above T2 (S3) — Junior</t>
        </is>
      </c>
      <c r="C89" s="371" t="inlineStr">
        <is>
          <t>%</t>
        </is>
      </c>
      <c r="D89" s="394" t="inlineStr">
        <is>
          <t>← Tab 03 row 260 col J</t>
        </is>
      </c>
      <c r="E89" s="361">
        <f>'03 Operational Assumptions'!J260</f>
        <v/>
      </c>
      <c r="F89" s="361">
        <f>'03 Operational Assumptions'!J260</f>
        <v/>
      </c>
      <c r="G89" s="361">
        <f>'03 Operational Assumptions'!J260</f>
        <v/>
      </c>
      <c r="H89" s="361">
        <f>'03 Operational Assumptions'!J260</f>
        <v/>
      </c>
      <c r="I89" s="361">
        <f>'03 Operational Assumptions'!J260</f>
        <v/>
      </c>
      <c r="J89" s="361">
        <f>'03 Operational Assumptions'!J260</f>
        <v/>
      </c>
      <c r="K89" s="361">
        <f>'03 Operational Assumptions'!J260</f>
        <v/>
      </c>
      <c r="L89" s="361">
        <f>'03 Operational Assumptions'!J260</f>
        <v/>
      </c>
      <c r="M89" s="361">
        <f>'03 Operational Assumptions'!J260</f>
        <v/>
      </c>
      <c r="N89" s="361">
        <f>'03 Operational Assumptions'!J260</f>
        <v/>
      </c>
      <c r="O89" s="361">
        <f>'03 Operational Assumptions'!J260</f>
        <v/>
      </c>
      <c r="P89" s="361">
        <f>'03 Operational Assumptions'!J260</f>
        <v/>
      </c>
      <c r="Q89" s="361">
        <f>'03 Operational Assumptions'!J260</f>
        <v/>
      </c>
      <c r="R89" s="361">
        <f>'03 Operational Assumptions'!J260</f>
        <v/>
      </c>
      <c r="S89" s="361">
        <f>'03 Operational Assumptions'!J260</f>
        <v/>
      </c>
      <c r="T89" s="361">
        <f>'03 Operational Assumptions'!J260</f>
        <v/>
      </c>
      <c r="U89" s="361">
        <f>'03 Operational Assumptions'!J260</f>
        <v/>
      </c>
      <c r="V89" s="361">
        <f>'03 Operational Assumptions'!J260</f>
        <v/>
      </c>
      <c r="W89" s="361">
        <f>'03 Operational Assumptions'!J260</f>
        <v/>
      </c>
      <c r="X89" s="361">
        <f>'03 Operational Assumptions'!J260</f>
        <v/>
      </c>
      <c r="Y89" s="361">
        <f>'03 Operational Assumptions'!J260</f>
        <v/>
      </c>
      <c r="Z89" s="361">
        <f>'03 Operational Assumptions'!J260</f>
        <v/>
      </c>
      <c r="AA89" s="361">
        <f>'03 Operational Assumptions'!J260</f>
        <v/>
      </c>
      <c r="AB89" s="361">
        <f>'03 Operational Assumptions'!J260</f>
        <v/>
      </c>
      <c r="AC89" s="361">
        <f>'03 Operational Assumptions'!J260</f>
        <v/>
      </c>
      <c r="AD89" s="361">
        <f>'03 Operational Assumptions'!J260</f>
        <v/>
      </c>
      <c r="AE89" s="361">
        <f>'03 Operational Assumptions'!J260</f>
        <v/>
      </c>
      <c r="AF89" s="361">
        <f>'03 Operational Assumptions'!J260</f>
        <v/>
      </c>
      <c r="AG89" s="361">
        <f>'03 Operational Assumptions'!J260</f>
        <v/>
      </c>
      <c r="AH89" s="361">
        <f>'03 Operational Assumptions'!J260</f>
        <v/>
      </c>
      <c r="AI89" s="361">
        <f>'03 Operational Assumptions'!J260</f>
        <v/>
      </c>
      <c r="AJ89" s="361">
        <f>'03 Operational Assumptions'!J260</f>
        <v/>
      </c>
      <c r="AK89" s="361">
        <f>'03 Operational Assumptions'!J260</f>
        <v/>
      </c>
      <c r="AL89" s="361">
        <f>'03 Operational Assumptions'!J260</f>
        <v/>
      </c>
      <c r="AM89" s="361">
        <f>'03 Operational Assumptions'!J260</f>
        <v/>
      </c>
      <c r="AN89" s="361">
        <f>'03 Operational Assumptions'!J260</f>
        <v/>
      </c>
      <c r="AO89" s="361">
        <f>'03 Operational Assumptions'!J260</f>
        <v/>
      </c>
      <c r="AP89" s="361">
        <f>'03 Operational Assumptions'!J260</f>
        <v/>
      </c>
      <c r="AQ89" s="361">
        <f>'03 Operational Assumptions'!J260</f>
        <v/>
      </c>
      <c r="AR89" s="361">
        <f>'03 Operational Assumptions'!J260</f>
        <v/>
      </c>
    </row>
    <row r="90" ht="13.5" customHeight="1" s="290">
      <c r="A90" s="395" t="n"/>
      <c r="B90" s="373" t="inlineStr">
        <is>
          <t xml:space="preserve">  Applied Split % — Junior</t>
        </is>
      </c>
      <c r="C90" s="374" t="inlineStr">
        <is>
          <t>%</t>
        </is>
      </c>
      <c r="D90" s="396" t="inlineStr">
        <is>
          <t xml:space="preserve"> IF(gci/epe≤T1→S1, IF(≤T2→S2, S3)),TRUE())</t>
        </is>
      </c>
      <c r="E90" s="376">
        <f>IF(E84&lt;=E85,E86,IF(E84&lt;=E87,E88,E89))</f>
        <v/>
      </c>
      <c r="F90" s="376">
        <f>IF(F84&lt;=F85,F86,IF(F84&lt;=F87,F88,F89))</f>
        <v/>
      </c>
      <c r="G90" s="376">
        <f>IF(G84&lt;=G85,G86,IF(G84&lt;=G87,G88,G89))</f>
        <v/>
      </c>
      <c r="H90" s="376">
        <f>IF(H84&lt;=H85,H86,IF(H84&lt;=H87,H88,H89))</f>
        <v/>
      </c>
      <c r="I90" s="344">
        <f>IF(I84&lt;=I85,I86,IF(I84&lt;=I87,I88,I89))</f>
        <v/>
      </c>
      <c r="J90" s="376">
        <f>IF(J84&lt;=J85,J86,IF(J84&lt;=J87,J88,J89))</f>
        <v/>
      </c>
      <c r="K90" s="376">
        <f>IF(K84&lt;=K85,K86,IF(K84&lt;=K87,K88,K89))</f>
        <v/>
      </c>
      <c r="L90" s="376">
        <f>IF(L84&lt;=L85,L86,IF(L84&lt;=L87,L88,L89))</f>
        <v/>
      </c>
      <c r="M90" s="376">
        <f>IF(M84&lt;=M85,M86,IF(M84&lt;=M87,M88,M89))</f>
        <v/>
      </c>
      <c r="N90" s="344">
        <f>IF(N84&lt;=N85,N86,IF(N84&lt;=N87,N88,N89))</f>
        <v/>
      </c>
      <c r="O90" s="376">
        <f>IF(O84&lt;=O85,O86,IF(O84&lt;=O87,O88,O89))</f>
        <v/>
      </c>
      <c r="P90" s="376">
        <f>IF(P84&lt;=P85,P86,IF(P84&lt;=P87,P88,P89))</f>
        <v/>
      </c>
      <c r="Q90" s="376">
        <f>IF(Q84&lt;=Q85,Q86,IF(Q84&lt;=Q87,Q88,Q89))</f>
        <v/>
      </c>
      <c r="R90" s="376">
        <f>IF(R84&lt;=R85,R86,IF(R84&lt;=R87,R88,R89))</f>
        <v/>
      </c>
      <c r="S90" s="344">
        <f>IF(S84&lt;=S85,S86,IF(S84&lt;=S87,S88,S89))</f>
        <v/>
      </c>
      <c r="T90" s="376">
        <f>IF(T84&lt;=T85,T86,IF(T84&lt;=T87,T88,T89))</f>
        <v/>
      </c>
      <c r="U90" s="376">
        <f>IF(U84&lt;=U85,U86,IF(U84&lt;=U87,U88,U89))</f>
        <v/>
      </c>
      <c r="V90" s="376">
        <f>IF(V84&lt;=V85,V86,IF(V84&lt;=V87,V88,V89))</f>
        <v/>
      </c>
      <c r="W90" s="376">
        <f>IF(W84&lt;=W85,W86,IF(W84&lt;=W87,W88,W89))</f>
        <v/>
      </c>
      <c r="X90" s="344">
        <f>IF(X84&lt;=X85,X86,IF(X84&lt;=X87,X88,X89))</f>
        <v/>
      </c>
      <c r="Y90" s="376">
        <f>IF(Y84&lt;=Y85,Y86,IF(Y84&lt;=Y87,Y88,Y89))</f>
        <v/>
      </c>
      <c r="Z90" s="376">
        <f>IF(Z84&lt;=Z85,Z86,IF(Z84&lt;=Z87,Z88,Z89))</f>
        <v/>
      </c>
      <c r="AA90" s="376">
        <f>IF(AA84&lt;=AA85,AA86,IF(AA84&lt;=AA87,AA88,AA89))</f>
        <v/>
      </c>
      <c r="AB90" s="376">
        <f>IF(AB84&lt;=AB85,AB86,IF(AB84&lt;=AB87,AB88,AB89))</f>
        <v/>
      </c>
      <c r="AC90" s="344">
        <f>IF(AC84&lt;=AC85,AC86,IF(AC84&lt;=AC87,AC88,AC89))</f>
        <v/>
      </c>
      <c r="AD90" s="376">
        <f>IF(AD84&lt;=AD85,AD86,IF(AD84&lt;=AD87,AD88,AD89))</f>
        <v/>
      </c>
      <c r="AE90" s="376">
        <f>IF(AE84&lt;=AE85,AE86,IF(AE84&lt;=AE87,AE88,AE89))</f>
        <v/>
      </c>
      <c r="AF90" s="376">
        <f>IF(AF84&lt;=AF85,AF86,IF(AF84&lt;=AF87,AF88,AF89))</f>
        <v/>
      </c>
      <c r="AG90" s="376">
        <f>IF(AG84&lt;=AG85,AG86,IF(AG84&lt;=AG87,AG88,AG89))</f>
        <v/>
      </c>
      <c r="AH90" s="344">
        <f>IF(AH84&lt;=AH85,AH86,IF(AH84&lt;=AH87,AH88,AH89))</f>
        <v/>
      </c>
      <c r="AI90" s="376">
        <f>IF(AI84&lt;=AI85,AI86,IF(AI84&lt;=AI87,AI88,AI89))</f>
        <v/>
      </c>
      <c r="AJ90" s="376">
        <f>IF(AJ84&lt;=AJ85,AJ86,IF(AJ84&lt;=AJ87,AJ88,AJ89))</f>
        <v/>
      </c>
      <c r="AK90" s="376">
        <f>IF(AK84&lt;=AK85,AK86,IF(AK84&lt;=AK87,AK88,AK89))</f>
        <v/>
      </c>
      <c r="AL90" s="376">
        <f>IF(AL84&lt;=AL85,AL86,IF(AL84&lt;=AL87,AL88,AL89))</f>
        <v/>
      </c>
      <c r="AM90" s="344">
        <f>IF(AM84&lt;=AM85,AM86,IF(AM84&lt;=AM87,AM88,AM89))</f>
        <v/>
      </c>
      <c r="AN90" s="376">
        <f>IF(AN84&lt;=AN85,AN86,IF(AN84&lt;=AN87,AN88,AN89))</f>
        <v/>
      </c>
      <c r="AO90" s="376">
        <f>IF(AO84&lt;=AO85,AO86,IF(AO84&lt;=AO87,AO88,AO89))</f>
        <v/>
      </c>
      <c r="AP90" s="376">
        <f>IF(AP84&lt;=AP85,AP86,IF(AP84&lt;=AP87,AP88,AP89))</f>
        <v/>
      </c>
      <c r="AQ90" s="376">
        <f>IF(AQ84&lt;=AQ85,AQ86,IF(AQ84&lt;=AQ87,AQ88,AQ89))</f>
        <v/>
      </c>
      <c r="AR90" s="344">
        <f>IF(AR84&lt;=AR85,AR86,IF(AR84&lt;=AR87,AR88,AR89))</f>
        <v/>
      </c>
    </row>
    <row r="91" ht="13.5" customHeight="1" s="290">
      <c r="A91" s="395" t="n"/>
      <c r="B91" s="402" t="inlineStr">
        <is>
          <t xml:space="preserve">  ★ Producer Payout — Junior</t>
        </is>
      </c>
      <c r="C91" s="374" t="inlineStr">
        <is>
          <t>$K</t>
        </is>
      </c>
      <c r="D91" s="396" t="inlineStr">
        <is>
          <t xml:space="preserve"> tier gci × Applied Split %</t>
        </is>
      </c>
      <c r="E91" s="403">
        <f>E82*E90</f>
        <v/>
      </c>
      <c r="F91" s="403">
        <f>F82*F90</f>
        <v/>
      </c>
      <c r="G91" s="403">
        <f>G82*G90</f>
        <v/>
      </c>
      <c r="H91" s="403">
        <f>H82*H90</f>
        <v/>
      </c>
      <c r="I91" s="387">
        <f>SUM(E91:H91)</f>
        <v/>
      </c>
      <c r="J91" s="403">
        <f>J82*J90</f>
        <v/>
      </c>
      <c r="K91" s="403">
        <f>K82*K90</f>
        <v/>
      </c>
      <c r="L91" s="403">
        <f>L82*L90</f>
        <v/>
      </c>
      <c r="M91" s="403">
        <f>M82*M90</f>
        <v/>
      </c>
      <c r="N91" s="387">
        <f>SUM(J91:M91)</f>
        <v/>
      </c>
      <c r="O91" s="403">
        <f>O82*O90</f>
        <v/>
      </c>
      <c r="P91" s="403">
        <f>P82*P90</f>
        <v/>
      </c>
      <c r="Q91" s="403">
        <f>Q82*Q90</f>
        <v/>
      </c>
      <c r="R91" s="403">
        <f>R82*R90</f>
        <v/>
      </c>
      <c r="S91" s="387">
        <f>SUM(O91:R91)</f>
        <v/>
      </c>
      <c r="T91" s="403">
        <f>T82*T90</f>
        <v/>
      </c>
      <c r="U91" s="403">
        <f>U82*U90</f>
        <v/>
      </c>
      <c r="V91" s="403">
        <f>V82*V90</f>
        <v/>
      </c>
      <c r="W91" s="403">
        <f>W82*W90</f>
        <v/>
      </c>
      <c r="X91" s="387">
        <f>SUM(T91:W91)</f>
        <v/>
      </c>
      <c r="Y91" s="403">
        <f>Y82*Y90</f>
        <v/>
      </c>
      <c r="Z91" s="403">
        <f>Z82*Z90</f>
        <v/>
      </c>
      <c r="AA91" s="403">
        <f>AA82*AA90</f>
        <v/>
      </c>
      <c r="AB91" s="403">
        <f>AB82*AB90</f>
        <v/>
      </c>
      <c r="AC91" s="387">
        <f>SUM(Y91:AB91)</f>
        <v/>
      </c>
      <c r="AD91" s="403">
        <f>AD82*AD90</f>
        <v/>
      </c>
      <c r="AE91" s="403">
        <f>AE82*AE90</f>
        <v/>
      </c>
      <c r="AF91" s="403">
        <f>AF82*AF90</f>
        <v/>
      </c>
      <c r="AG91" s="403">
        <f>AG82*AG90</f>
        <v/>
      </c>
      <c r="AH91" s="387">
        <f>SUM(AD91:AG91)</f>
        <v/>
      </c>
      <c r="AI91" s="403">
        <f>AI82*AI90</f>
        <v/>
      </c>
      <c r="AJ91" s="403">
        <f>AJ82*AJ90</f>
        <v/>
      </c>
      <c r="AK91" s="403">
        <f>AK82*AK90</f>
        <v/>
      </c>
      <c r="AL91" s="403">
        <f>AL82*AL90</f>
        <v/>
      </c>
      <c r="AM91" s="387">
        <f>SUM(AI91:AL91)</f>
        <v/>
      </c>
      <c r="AN91" s="403">
        <f>AN82*AN90</f>
        <v/>
      </c>
      <c r="AO91" s="403">
        <f>AO82*AO90</f>
        <v/>
      </c>
      <c r="AP91" s="403">
        <f>AP82*AP90</f>
        <v/>
      </c>
      <c r="AQ91" s="403">
        <f>AQ82*AQ90</f>
        <v/>
      </c>
      <c r="AR91" s="387">
        <f>SUM(AN91:AQ91)</f>
        <v/>
      </c>
    </row>
    <row r="92" ht="3.75" customHeight="1" s="290"/>
    <row r="93" ht="15" customHeight="1" s="290">
      <c r="A93" s="418" t="inlineStr">
        <is>
          <t xml:space="preserve">    Investment Sales — LINE TOTALS</t>
        </is>
      </c>
    </row>
    <row r="94" ht="13.5" customHeight="1" s="290">
      <c r="A94" s="397" t="n"/>
      <c r="B94" s="398" t="inlineStr">
        <is>
          <t xml:space="preserve">  Total Producer Payout — Investment Sales</t>
        </is>
      </c>
      <c r="C94" s="399" t="inlineStr">
        <is>
          <t>$K</t>
        </is>
      </c>
      <c r="D94" s="397" t="n"/>
      <c r="E94" s="401">
        <f>SUM(E67,E79,E91)</f>
        <v/>
      </c>
      <c r="F94" s="401">
        <f>SUM(F67,F79,F91)</f>
        <v/>
      </c>
      <c r="G94" s="401">
        <f>SUM(G67,G79,G91)</f>
        <v/>
      </c>
      <c r="H94" s="401">
        <f>SUM(H67,H79,H91)</f>
        <v/>
      </c>
      <c r="I94" s="387">
        <f>SUM(E94:H94)</f>
        <v/>
      </c>
      <c r="J94" s="401">
        <f>SUM(J67,J79,J91)</f>
        <v/>
      </c>
      <c r="K94" s="401">
        <f>SUM(K67,K79,K91)</f>
        <v/>
      </c>
      <c r="L94" s="401">
        <f>SUM(L67,L79,L91)</f>
        <v/>
      </c>
      <c r="M94" s="401">
        <f>SUM(M67,M79,M91)</f>
        <v/>
      </c>
      <c r="N94" s="387">
        <f>SUM(J94:M94)</f>
        <v/>
      </c>
      <c r="O94" s="401">
        <f>SUM(O67,O79,O91)</f>
        <v/>
      </c>
      <c r="P94" s="401">
        <f>SUM(P67,P79,P91)</f>
        <v/>
      </c>
      <c r="Q94" s="401">
        <f>SUM(Q67,Q79,Q91)</f>
        <v/>
      </c>
      <c r="R94" s="401">
        <f>SUM(R67,R79,R91)</f>
        <v/>
      </c>
      <c r="S94" s="387">
        <f>SUM(O94:R94)</f>
        <v/>
      </c>
      <c r="T94" s="401">
        <f>SUM(T67,T79,T91)</f>
        <v/>
      </c>
      <c r="U94" s="401">
        <f>SUM(U67,U79,U91)</f>
        <v/>
      </c>
      <c r="V94" s="401">
        <f>SUM(V67,V79,V91)</f>
        <v/>
      </c>
      <c r="W94" s="401">
        <f>SUM(W67,W79,W91)</f>
        <v/>
      </c>
      <c r="X94" s="387">
        <f>SUM(T94:W94)</f>
        <v/>
      </c>
      <c r="Y94" s="401">
        <f>SUM(Y67,Y79,Y91)</f>
        <v/>
      </c>
      <c r="Z94" s="401">
        <f>SUM(Z67,Z79,Z91)</f>
        <v/>
      </c>
      <c r="AA94" s="401">
        <f>SUM(AA67,AA79,AA91)</f>
        <v/>
      </c>
      <c r="AB94" s="401">
        <f>SUM(AB67,AB79,AB91)</f>
        <v/>
      </c>
      <c r="AC94" s="387">
        <f>SUM(Y94:AB94)</f>
        <v/>
      </c>
      <c r="AD94" s="401">
        <f>SUM(AD67,AD79,AD91)</f>
        <v/>
      </c>
      <c r="AE94" s="401">
        <f>SUM(AE67,AE79,AE91)</f>
        <v/>
      </c>
      <c r="AF94" s="401">
        <f>SUM(AF67,AF79,AF91)</f>
        <v/>
      </c>
      <c r="AG94" s="401">
        <f>SUM(AG67,AG79,AG91)</f>
        <v/>
      </c>
      <c r="AH94" s="387">
        <f>SUM(AD94:AG94)</f>
        <v/>
      </c>
      <c r="AI94" s="401">
        <f>SUM(AI67,AI79,AI91)</f>
        <v/>
      </c>
      <c r="AJ94" s="401">
        <f>SUM(AJ67,AJ79,AJ91)</f>
        <v/>
      </c>
      <c r="AK94" s="401">
        <f>SUM(AK67,AK79,AK91)</f>
        <v/>
      </c>
      <c r="AL94" s="401">
        <f>SUM(AL67,AL79,AL91)</f>
        <v/>
      </c>
      <c r="AM94" s="387">
        <f>SUM(AI94:AL94)</f>
        <v/>
      </c>
      <c r="AN94" s="401">
        <f>SUM(AN67,AN79,AN91)</f>
        <v/>
      </c>
      <c r="AO94" s="401">
        <f>SUM(AO67,AO79,AO91)</f>
        <v/>
      </c>
      <c r="AP94" s="401">
        <f>SUM(AP67,AP79,AP91)</f>
        <v/>
      </c>
      <c r="AQ94" s="401">
        <f>SUM(AQ67,AQ79,AQ91)</f>
        <v/>
      </c>
      <c r="AR94" s="387">
        <f>SUM(AN94:AQ94)</f>
        <v/>
      </c>
    </row>
    <row r="95" ht="13.5" customHeight="1" s="290">
      <c r="A95" s="345" t="n"/>
      <c r="B95" s="370" t="inlineStr">
        <is>
          <t xml:space="preserve">  Line GCI — Investment Sales</t>
        </is>
      </c>
      <c r="C95" s="371" t="inlineStr">
        <is>
          <t>$K</t>
        </is>
      </c>
      <c r="D95" s="394" t="inlineStr">
        <is>
          <t>← Tab 05 row 88  (Net Investment Sales GCI)</t>
        </is>
      </c>
      <c r="E95" s="361">
        <f>'05 Revenue Engine'!E88</f>
        <v/>
      </c>
      <c r="F95" s="361">
        <f>'05 Revenue Engine'!F88</f>
        <v/>
      </c>
      <c r="G95" s="361">
        <f>'05 Revenue Engine'!G88</f>
        <v/>
      </c>
      <c r="H95" s="361">
        <f>'05 Revenue Engine'!H88</f>
        <v/>
      </c>
      <c r="I95" s="361">
        <f>SUM(E95:H95)</f>
        <v/>
      </c>
      <c r="J95" s="361">
        <f>'05 Revenue Engine'!J88</f>
        <v/>
      </c>
      <c r="K95" s="361">
        <f>'05 Revenue Engine'!K88</f>
        <v/>
      </c>
      <c r="L95" s="361">
        <f>'05 Revenue Engine'!L88</f>
        <v/>
      </c>
      <c r="M95" s="361">
        <f>'05 Revenue Engine'!M88</f>
        <v/>
      </c>
      <c r="N95" s="361">
        <f>SUM(J95:M95)</f>
        <v/>
      </c>
      <c r="O95" s="361">
        <f>'05 Revenue Engine'!O88</f>
        <v/>
      </c>
      <c r="P95" s="361">
        <f>'05 Revenue Engine'!P88</f>
        <v/>
      </c>
      <c r="Q95" s="361">
        <f>'05 Revenue Engine'!Q88</f>
        <v/>
      </c>
      <c r="R95" s="361">
        <f>'05 Revenue Engine'!R88</f>
        <v/>
      </c>
      <c r="S95" s="361">
        <f>SUM(O95:R95)</f>
        <v/>
      </c>
      <c r="T95" s="361">
        <f>'05 Revenue Engine'!T88</f>
        <v/>
      </c>
      <c r="U95" s="361">
        <f>'05 Revenue Engine'!U88</f>
        <v/>
      </c>
      <c r="V95" s="361">
        <f>'05 Revenue Engine'!V88</f>
        <v/>
      </c>
      <c r="W95" s="361">
        <f>'05 Revenue Engine'!W88</f>
        <v/>
      </c>
      <c r="X95" s="361">
        <f>SUM(T95:W95)</f>
        <v/>
      </c>
      <c r="Y95" s="361">
        <f>'05 Revenue Engine'!Y88</f>
        <v/>
      </c>
      <c r="Z95" s="361">
        <f>'05 Revenue Engine'!Z88</f>
        <v/>
      </c>
      <c r="AA95" s="361">
        <f>'05 Revenue Engine'!AA88</f>
        <v/>
      </c>
      <c r="AB95" s="361">
        <f>'05 Revenue Engine'!AB88</f>
        <v/>
      </c>
      <c r="AC95" s="361">
        <f>SUM(Y95:AB95)</f>
        <v/>
      </c>
      <c r="AD95" s="361">
        <f>'05 Revenue Engine'!AD88</f>
        <v/>
      </c>
      <c r="AE95" s="361">
        <f>'05 Revenue Engine'!AE88</f>
        <v/>
      </c>
      <c r="AF95" s="361">
        <f>'05 Revenue Engine'!AF88</f>
        <v/>
      </c>
      <c r="AG95" s="361">
        <f>'05 Revenue Engine'!AG88</f>
        <v/>
      </c>
      <c r="AH95" s="361">
        <f>SUM(AD95:AG95)</f>
        <v/>
      </c>
      <c r="AI95" s="361">
        <f>'05 Revenue Engine'!AI88</f>
        <v/>
      </c>
      <c r="AJ95" s="361">
        <f>'05 Revenue Engine'!AJ88</f>
        <v/>
      </c>
      <c r="AK95" s="361">
        <f>'05 Revenue Engine'!AK88</f>
        <v/>
      </c>
      <c r="AL95" s="361">
        <f>'05 Revenue Engine'!AL88</f>
        <v/>
      </c>
      <c r="AM95" s="361">
        <f>SUM(AI95:AL95)</f>
        <v/>
      </c>
      <c r="AN95" s="361">
        <f>'05 Revenue Engine'!AN88</f>
        <v/>
      </c>
      <c r="AO95" s="361">
        <f>'05 Revenue Engine'!AO88</f>
        <v/>
      </c>
      <c r="AP95" s="361">
        <f>'05 Revenue Engine'!AP88</f>
        <v/>
      </c>
      <c r="AQ95" s="361">
        <f>'05 Revenue Engine'!AQ88</f>
        <v/>
      </c>
      <c r="AR95" s="361">
        <f>SUM(AN95:AQ95)</f>
        <v/>
      </c>
    </row>
    <row r="96" ht="15" customHeight="1" s="290">
      <c r="A96" s="397" t="n"/>
      <c r="B96" s="398" t="inlineStr">
        <is>
          <t xml:space="preserve">  Line Company Dollar — Investment Sales</t>
        </is>
      </c>
      <c r="C96" s="399" t="inlineStr">
        <is>
          <t>$K</t>
        </is>
      </c>
      <c r="D96" s="400" t="inlineStr">
        <is>
          <t xml:space="preserve"> line gci − Total Payout</t>
        </is>
      </c>
      <c r="E96" s="401">
        <f>E95-E94</f>
        <v/>
      </c>
      <c r="F96" s="401">
        <f>F95-F94</f>
        <v/>
      </c>
      <c r="G96" s="401">
        <f>G95-G94</f>
        <v/>
      </c>
      <c r="H96" s="401">
        <f>H95-H94</f>
        <v/>
      </c>
      <c r="I96" s="387">
        <f>SUM(E96:H96)</f>
        <v/>
      </c>
      <c r="J96" s="401">
        <f>J95-J94</f>
        <v/>
      </c>
      <c r="K96" s="401">
        <f>K95-K94</f>
        <v/>
      </c>
      <c r="L96" s="401">
        <f>L95-L94</f>
        <v/>
      </c>
      <c r="M96" s="401">
        <f>M95-M94</f>
        <v/>
      </c>
      <c r="N96" s="387">
        <f>SUM(J96:M96)</f>
        <v/>
      </c>
      <c r="O96" s="401">
        <f>O95-O94</f>
        <v/>
      </c>
      <c r="P96" s="401">
        <f>P95-P94</f>
        <v/>
      </c>
      <c r="Q96" s="401">
        <f>Q95-Q94</f>
        <v/>
      </c>
      <c r="R96" s="401">
        <f>R95-R94</f>
        <v/>
      </c>
      <c r="S96" s="387">
        <f>SUM(O96:R96)</f>
        <v/>
      </c>
      <c r="T96" s="401">
        <f>T95-T94</f>
        <v/>
      </c>
      <c r="U96" s="401">
        <f>U95-U94</f>
        <v/>
      </c>
      <c r="V96" s="401">
        <f>V95-V94</f>
        <v/>
      </c>
      <c r="W96" s="401">
        <f>W95-W94</f>
        <v/>
      </c>
      <c r="X96" s="387">
        <f>SUM(T96:W96)</f>
        <v/>
      </c>
      <c r="Y96" s="401">
        <f>Y95-Y94</f>
        <v/>
      </c>
      <c r="Z96" s="401">
        <f>Z95-Z94</f>
        <v/>
      </c>
      <c r="AA96" s="401">
        <f>AA95-AA94</f>
        <v/>
      </c>
      <c r="AB96" s="401">
        <f>AB95-AB94</f>
        <v/>
      </c>
      <c r="AC96" s="387">
        <f>SUM(Y96:AB96)</f>
        <v/>
      </c>
      <c r="AD96" s="401">
        <f>AD95-AD94</f>
        <v/>
      </c>
      <c r="AE96" s="401">
        <f>AE95-AE94</f>
        <v/>
      </c>
      <c r="AF96" s="401">
        <f>AF95-AF94</f>
        <v/>
      </c>
      <c r="AG96" s="401">
        <f>AG95-AG94</f>
        <v/>
      </c>
      <c r="AH96" s="387">
        <f>SUM(AD96:AG96)</f>
        <v/>
      </c>
      <c r="AI96" s="401">
        <f>AI95-AI94</f>
        <v/>
      </c>
      <c r="AJ96" s="401">
        <f>AJ95-AJ94</f>
        <v/>
      </c>
      <c r="AK96" s="401">
        <f>AK95-AK94</f>
        <v/>
      </c>
      <c r="AL96" s="401">
        <f>AL95-AL94</f>
        <v/>
      </c>
      <c r="AM96" s="387">
        <f>SUM(AI96:AL96)</f>
        <v/>
      </c>
      <c r="AN96" s="401">
        <f>AN95-AN94</f>
        <v/>
      </c>
      <c r="AO96" s="401">
        <f>AO95-AO94</f>
        <v/>
      </c>
      <c r="AP96" s="401">
        <f>AP95-AP94</f>
        <v/>
      </c>
      <c r="AQ96" s="401">
        <f>AQ95-AQ94</f>
        <v/>
      </c>
      <c r="AR96" s="387">
        <f>SUM(AN96:AQ96)</f>
        <v/>
      </c>
    </row>
    <row r="97" ht="13.5" customHeight="1" s="290">
      <c r="A97" s="395" t="n"/>
      <c r="B97" s="373" t="inlineStr">
        <is>
          <t xml:space="preserve">  Effective Payout Ratio — Investment Sales</t>
        </is>
      </c>
      <c r="C97" s="374" t="inlineStr">
        <is>
          <t>%</t>
        </is>
      </c>
      <c r="D97" s="396" t="inlineStr">
        <is>
          <t xml:space="preserve"> payout ÷ Line GCI</t>
        </is>
      </c>
      <c r="E97" s="376">
        <f>IFERROR(E94/E95,0)</f>
        <v/>
      </c>
      <c r="F97" s="376">
        <f>IFERROR(F94/F95,0)</f>
        <v/>
      </c>
      <c r="G97" s="376">
        <f>IFERROR(G94/G95,0)</f>
        <v/>
      </c>
      <c r="H97" s="376">
        <f>IFERROR(H94/H95,0)</f>
        <v/>
      </c>
      <c r="I97" s="344">
        <f>IFERROR(I94/I95,0)</f>
        <v/>
      </c>
      <c r="J97" s="376">
        <f>IFERROR(J94/J95,0)</f>
        <v/>
      </c>
      <c r="K97" s="376">
        <f>IFERROR(K94/K95,0)</f>
        <v/>
      </c>
      <c r="L97" s="376">
        <f>IFERROR(L94/L95,0)</f>
        <v/>
      </c>
      <c r="M97" s="376">
        <f>IFERROR(M94/M95,0)</f>
        <v/>
      </c>
      <c r="N97" s="344">
        <f>IFERROR(N94/N95,0)</f>
        <v/>
      </c>
      <c r="O97" s="376">
        <f>IFERROR(O94/O95,0)</f>
        <v/>
      </c>
      <c r="P97" s="376">
        <f>IFERROR(P94/P95,0)</f>
        <v/>
      </c>
      <c r="Q97" s="376">
        <f>IFERROR(Q94/Q95,0)</f>
        <v/>
      </c>
      <c r="R97" s="376">
        <f>IFERROR(R94/R95,0)</f>
        <v/>
      </c>
      <c r="S97" s="344">
        <f>IFERROR(S94/S95,0)</f>
        <v/>
      </c>
      <c r="T97" s="376">
        <f>IFERROR(T94/T95,0)</f>
        <v/>
      </c>
      <c r="U97" s="376">
        <f>IFERROR(U94/U95,0)</f>
        <v/>
      </c>
      <c r="V97" s="376">
        <f>IFERROR(V94/V95,0)</f>
        <v/>
      </c>
      <c r="W97" s="376">
        <f>IFERROR(W94/W95,0)</f>
        <v/>
      </c>
      <c r="X97" s="344">
        <f>IFERROR(X94/X95,0)</f>
        <v/>
      </c>
      <c r="Y97" s="376">
        <f>IFERROR(Y94/Y95,0)</f>
        <v/>
      </c>
      <c r="Z97" s="376">
        <f>IFERROR(Z94/Z95,0)</f>
        <v/>
      </c>
      <c r="AA97" s="376">
        <f>IFERROR(AA94/AA95,0)</f>
        <v/>
      </c>
      <c r="AB97" s="376">
        <f>IFERROR(AB94/AB95,0)</f>
        <v/>
      </c>
      <c r="AC97" s="344">
        <f>IFERROR(AC94/AC95,0)</f>
        <v/>
      </c>
      <c r="AD97" s="376">
        <f>IFERROR(AD94/AD95,0)</f>
        <v/>
      </c>
      <c r="AE97" s="376">
        <f>IFERROR(AE94/AE95,0)</f>
        <v/>
      </c>
      <c r="AF97" s="376">
        <f>IFERROR(AF94/AF95,0)</f>
        <v/>
      </c>
      <c r="AG97" s="376">
        <f>IFERROR(AG94/AG95,0)</f>
        <v/>
      </c>
      <c r="AH97" s="344">
        <f>IFERROR(AH94/AH95,0)</f>
        <v/>
      </c>
      <c r="AI97" s="376">
        <f>IFERROR(AI94/AI95,0)</f>
        <v/>
      </c>
      <c r="AJ97" s="376">
        <f>IFERROR(AJ94/AJ95,0)</f>
        <v/>
      </c>
      <c r="AK97" s="376">
        <f>IFERROR(AK94/AK95,0)</f>
        <v/>
      </c>
      <c r="AL97" s="376">
        <f>IFERROR(AL94/AL95,0)</f>
        <v/>
      </c>
      <c r="AM97" s="344">
        <f>IFERROR(AM94/AM95,0)</f>
        <v/>
      </c>
      <c r="AN97" s="376">
        <f>IFERROR(AN94/AN95,0)</f>
        <v/>
      </c>
      <c r="AO97" s="376">
        <f>IFERROR(AO94/AO95,0)</f>
        <v/>
      </c>
      <c r="AP97" s="376">
        <f>IFERROR(AP94/AP95,0)</f>
        <v/>
      </c>
      <c r="AQ97" s="376">
        <f>IFERROR(AQ94/AQ95,0)</f>
        <v/>
      </c>
      <c r="AR97" s="344">
        <f>IFERROR(AR94/AR95,0)</f>
        <v/>
      </c>
    </row>
    <row r="98" ht="4.5" customHeight="1" s="290"/>
    <row r="99" ht="3" customHeight="1" s="290">
      <c r="A99" s="293" t="n"/>
    </row>
    <row r="100" ht="4.5" customHeight="1" s="290"/>
    <row r="101" ht="15" customHeight="1" s="290">
      <c r="A101" s="307" t="inlineStr">
        <is>
          <t xml:space="preserve">    DEBT &amp; EQUITY — PRODUCER PAYOUT</t>
        </is>
      </c>
    </row>
    <row r="102" ht="3" customHeight="1" s="290"/>
    <row r="103" ht="13.5" customHeight="1" s="290">
      <c r="A103" s="369" t="inlineStr">
        <is>
          <t xml:space="preserve">    ── Rainmaker ──</t>
        </is>
      </c>
    </row>
    <row r="104" ht="13.5" customHeight="1" s="290">
      <c r="A104" s="395" t="n"/>
      <c r="B104" s="373" t="inlineStr">
        <is>
          <t xml:space="preserve">  Tier GCI — Rainmaker</t>
        </is>
      </c>
      <c r="C104" s="374" t="inlineStr">
        <is>
          <t>$K</t>
        </is>
      </c>
      <c r="D104" s="396" t="inlineStr">
        <is>
          <t xml:space="preserve"> (tier share) × Net Debt &amp; Equity GCI</t>
        </is>
      </c>
      <c r="E104" s="376">
        <f>IFERROR('04 Producer Engine'!E119/'04 Producer Engine'!E211*'05 Revenue Engine'!E138,0)</f>
        <v/>
      </c>
      <c r="F104" s="376">
        <f>IFERROR('04 Producer Engine'!F119/'04 Producer Engine'!F211*'05 Revenue Engine'!F138,0)</f>
        <v/>
      </c>
      <c r="G104" s="376">
        <f>IFERROR('04 Producer Engine'!G119/'04 Producer Engine'!G211*'05 Revenue Engine'!G138,0)</f>
        <v/>
      </c>
      <c r="H104" s="376">
        <f>IFERROR('04 Producer Engine'!H119/'04 Producer Engine'!H211*'05 Revenue Engine'!H138,0)</f>
        <v/>
      </c>
      <c r="I104" s="344">
        <f>SUM(E104:H104)</f>
        <v/>
      </c>
      <c r="J104" s="376">
        <f>IFERROR('04 Producer Engine'!J119/'04 Producer Engine'!J211*'05 Revenue Engine'!J138,0)</f>
        <v/>
      </c>
      <c r="K104" s="376">
        <f>IFERROR('04 Producer Engine'!K119/'04 Producer Engine'!K211*'05 Revenue Engine'!K138,0)</f>
        <v/>
      </c>
      <c r="L104" s="376">
        <f>IFERROR('04 Producer Engine'!L119/'04 Producer Engine'!L211*'05 Revenue Engine'!L138,0)</f>
        <v/>
      </c>
      <c r="M104" s="376">
        <f>IFERROR('04 Producer Engine'!M119/'04 Producer Engine'!M211*'05 Revenue Engine'!M138,0)</f>
        <v/>
      </c>
      <c r="N104" s="344">
        <f>SUM(J104:M104)</f>
        <v/>
      </c>
      <c r="O104" s="376">
        <f>IFERROR('04 Producer Engine'!O119/'04 Producer Engine'!O211*'05 Revenue Engine'!O138,0)</f>
        <v/>
      </c>
      <c r="P104" s="376">
        <f>IFERROR('04 Producer Engine'!P119/'04 Producer Engine'!P211*'05 Revenue Engine'!P138,0)</f>
        <v/>
      </c>
      <c r="Q104" s="376">
        <f>IFERROR('04 Producer Engine'!Q119/'04 Producer Engine'!Q211*'05 Revenue Engine'!Q138,0)</f>
        <v/>
      </c>
      <c r="R104" s="376">
        <f>IFERROR('04 Producer Engine'!R119/'04 Producer Engine'!R211*'05 Revenue Engine'!R138,0)</f>
        <v/>
      </c>
      <c r="S104" s="344">
        <f>SUM(O104:R104)</f>
        <v/>
      </c>
      <c r="T104" s="376">
        <f>IFERROR('04 Producer Engine'!T119/'04 Producer Engine'!T211*'05 Revenue Engine'!T138,0)</f>
        <v/>
      </c>
      <c r="U104" s="376">
        <f>IFERROR('04 Producer Engine'!U119/'04 Producer Engine'!U211*'05 Revenue Engine'!U138,0)</f>
        <v/>
      </c>
      <c r="V104" s="376">
        <f>IFERROR('04 Producer Engine'!V119/'04 Producer Engine'!V211*'05 Revenue Engine'!V138,0)</f>
        <v/>
      </c>
      <c r="W104" s="376">
        <f>IFERROR('04 Producer Engine'!W119/'04 Producer Engine'!W211*'05 Revenue Engine'!W138,0)</f>
        <v/>
      </c>
      <c r="X104" s="344">
        <f>SUM(T104:W104)</f>
        <v/>
      </c>
      <c r="Y104" s="376">
        <f>IFERROR('04 Producer Engine'!Y119/'04 Producer Engine'!Y211*'05 Revenue Engine'!Y138,0)</f>
        <v/>
      </c>
      <c r="Z104" s="376">
        <f>IFERROR('04 Producer Engine'!Z119/'04 Producer Engine'!Z211*'05 Revenue Engine'!Z138,0)</f>
        <v/>
      </c>
      <c r="AA104" s="376">
        <f>IFERROR('04 Producer Engine'!AA119/'04 Producer Engine'!AA211*'05 Revenue Engine'!AA138,0)</f>
        <v/>
      </c>
      <c r="AB104" s="376">
        <f>IFERROR('04 Producer Engine'!AB119/'04 Producer Engine'!AB211*'05 Revenue Engine'!AB138,0)</f>
        <v/>
      </c>
      <c r="AC104" s="344">
        <f>SUM(Y104:AB104)</f>
        <v/>
      </c>
      <c r="AD104" s="376">
        <f>IFERROR('04 Producer Engine'!AD119/'04 Producer Engine'!AD211*'05 Revenue Engine'!AD138,0)</f>
        <v/>
      </c>
      <c r="AE104" s="376">
        <f>IFERROR('04 Producer Engine'!AE119/'04 Producer Engine'!AE211*'05 Revenue Engine'!AE138,0)</f>
        <v/>
      </c>
      <c r="AF104" s="376">
        <f>IFERROR('04 Producer Engine'!AF119/'04 Producer Engine'!AF211*'05 Revenue Engine'!AF138,0)</f>
        <v/>
      </c>
      <c r="AG104" s="376">
        <f>IFERROR('04 Producer Engine'!AG119/'04 Producer Engine'!AG211*'05 Revenue Engine'!AG138,0)</f>
        <v/>
      </c>
      <c r="AH104" s="344">
        <f>SUM(AD104:AG104)</f>
        <v/>
      </c>
      <c r="AI104" s="376">
        <f>IFERROR('04 Producer Engine'!AI119/'04 Producer Engine'!AI211*'05 Revenue Engine'!AI138,0)</f>
        <v/>
      </c>
      <c r="AJ104" s="376">
        <f>IFERROR('04 Producer Engine'!AJ119/'04 Producer Engine'!AJ211*'05 Revenue Engine'!AJ138,0)</f>
        <v/>
      </c>
      <c r="AK104" s="376">
        <f>IFERROR('04 Producer Engine'!AK119/'04 Producer Engine'!AK211*'05 Revenue Engine'!AK138,0)</f>
        <v/>
      </c>
      <c r="AL104" s="376">
        <f>IFERROR('04 Producer Engine'!AL119/'04 Producer Engine'!AL211*'05 Revenue Engine'!AL138,0)</f>
        <v/>
      </c>
      <c r="AM104" s="344">
        <f>SUM(AI104:AL104)</f>
        <v/>
      </c>
      <c r="AN104" s="376">
        <f>IFERROR('04 Producer Engine'!AN119/'04 Producer Engine'!AN211*'05 Revenue Engine'!AN138,0)</f>
        <v/>
      </c>
      <c r="AO104" s="376">
        <f>IFERROR('04 Producer Engine'!AO119/'04 Producer Engine'!AO211*'05 Revenue Engine'!AO138,0)</f>
        <v/>
      </c>
      <c r="AP104" s="376">
        <f>IFERROR('04 Producer Engine'!AP119/'04 Producer Engine'!AP211*'05 Revenue Engine'!AP138,0)</f>
        <v/>
      </c>
      <c r="AQ104" s="376">
        <f>IFERROR('04 Producer Engine'!AQ119/'04 Producer Engine'!AQ211*'05 Revenue Engine'!AQ138,0)</f>
        <v/>
      </c>
      <c r="AR104" s="344">
        <f>SUM(AN104:AQ104)</f>
        <v/>
      </c>
    </row>
    <row r="105" ht="13.5" customHeight="1" s="290">
      <c r="A105" s="345" t="n"/>
      <c r="B105" s="370" t="inlineStr">
        <is>
          <t xml:space="preserve">  EPE — Rainmaker</t>
        </is>
      </c>
      <c r="C105" s="371" t="inlineStr">
        <is>
          <t>EPE</t>
        </is>
      </c>
      <c r="D105" s="394" t="inlineStr">
        <is>
          <t>← Tab 04 row 119</t>
        </is>
      </c>
      <c r="E105" s="361">
        <f>'04 Producer Engine'!E119</f>
        <v/>
      </c>
      <c r="F105" s="361">
        <f>'04 Producer Engine'!F119</f>
        <v/>
      </c>
      <c r="G105" s="361">
        <f>'04 Producer Engine'!G119</f>
        <v/>
      </c>
      <c r="H105" s="361">
        <f>'04 Producer Engine'!H119</f>
        <v/>
      </c>
      <c r="I105" s="361">
        <f>AVERAGE(E105:H105)</f>
        <v/>
      </c>
      <c r="J105" s="361">
        <f>'04 Producer Engine'!J119</f>
        <v/>
      </c>
      <c r="K105" s="361">
        <f>'04 Producer Engine'!K119</f>
        <v/>
      </c>
      <c r="L105" s="361">
        <f>'04 Producer Engine'!L119</f>
        <v/>
      </c>
      <c r="M105" s="361">
        <f>'04 Producer Engine'!M119</f>
        <v/>
      </c>
      <c r="N105" s="361">
        <f>AVERAGE(J105:M105)</f>
        <v/>
      </c>
      <c r="O105" s="361">
        <f>'04 Producer Engine'!O119</f>
        <v/>
      </c>
      <c r="P105" s="361">
        <f>'04 Producer Engine'!P119</f>
        <v/>
      </c>
      <c r="Q105" s="361">
        <f>'04 Producer Engine'!Q119</f>
        <v/>
      </c>
      <c r="R105" s="361">
        <f>'04 Producer Engine'!R119</f>
        <v/>
      </c>
      <c r="S105" s="361">
        <f>AVERAGE(O105:R105)</f>
        <v/>
      </c>
      <c r="T105" s="361">
        <f>'04 Producer Engine'!T119</f>
        <v/>
      </c>
      <c r="U105" s="361">
        <f>'04 Producer Engine'!U119</f>
        <v/>
      </c>
      <c r="V105" s="361">
        <f>'04 Producer Engine'!V119</f>
        <v/>
      </c>
      <c r="W105" s="361">
        <f>'04 Producer Engine'!W119</f>
        <v/>
      </c>
      <c r="X105" s="361">
        <f>AVERAGE(T105:W105)</f>
        <v/>
      </c>
      <c r="Y105" s="361">
        <f>'04 Producer Engine'!Y119</f>
        <v/>
      </c>
      <c r="Z105" s="361">
        <f>'04 Producer Engine'!Z119</f>
        <v/>
      </c>
      <c r="AA105" s="361">
        <f>'04 Producer Engine'!AA119</f>
        <v/>
      </c>
      <c r="AB105" s="361">
        <f>'04 Producer Engine'!AB119</f>
        <v/>
      </c>
      <c r="AC105" s="361">
        <f>AVERAGE(Y105:AB105)</f>
        <v/>
      </c>
      <c r="AD105" s="361">
        <f>'04 Producer Engine'!AD119</f>
        <v/>
      </c>
      <c r="AE105" s="361">
        <f>'04 Producer Engine'!AE119</f>
        <v/>
      </c>
      <c r="AF105" s="361">
        <f>'04 Producer Engine'!AF119</f>
        <v/>
      </c>
      <c r="AG105" s="361">
        <f>'04 Producer Engine'!AG119</f>
        <v/>
      </c>
      <c r="AH105" s="361">
        <f>AVERAGE(AD105:AG105)</f>
        <v/>
      </c>
      <c r="AI105" s="361">
        <f>'04 Producer Engine'!AI119</f>
        <v/>
      </c>
      <c r="AJ105" s="361">
        <f>'04 Producer Engine'!AJ119</f>
        <v/>
      </c>
      <c r="AK105" s="361">
        <f>'04 Producer Engine'!AK119</f>
        <v/>
      </c>
      <c r="AL105" s="361">
        <f>'04 Producer Engine'!AL119</f>
        <v/>
      </c>
      <c r="AM105" s="361">
        <f>AVERAGE(AI105:AL105)</f>
        <v/>
      </c>
      <c r="AN105" s="361">
        <f>'04 Producer Engine'!AN119</f>
        <v/>
      </c>
      <c r="AO105" s="361">
        <f>'04 Producer Engine'!AO119</f>
        <v/>
      </c>
      <c r="AP105" s="361">
        <f>'04 Producer Engine'!AP119</f>
        <v/>
      </c>
      <c r="AQ105" s="361">
        <f>'04 Producer Engine'!AQ119</f>
        <v/>
      </c>
      <c r="AR105" s="361">
        <f>AVERAGE(AN105:AQ105)</f>
        <v/>
      </c>
    </row>
    <row r="106" ht="13.5" customHeight="1" s="290">
      <c r="A106" s="395" t="n"/>
      <c r="B106" s="373" t="inlineStr">
        <is>
          <t xml:space="preserve">  GCI per EPE Annualized — Rainmaker</t>
        </is>
      </c>
      <c r="C106" s="374" t="inlineStr">
        <is>
          <t>$K/EPE/yr</t>
        </is>
      </c>
      <c r="D106" s="396" t="inlineStr">
        <is>
          <t xml:space="preserve"> (tier gci ÷ Tier EPE) × 4  [annualized for threshold comparison])</t>
        </is>
      </c>
      <c r="E106" s="376">
        <f>IFERROR(E104/E105*4,0)</f>
        <v/>
      </c>
      <c r="F106" s="376">
        <f>IFERROR(F104/F105*4,0)</f>
        <v/>
      </c>
      <c r="G106" s="376">
        <f>IFERROR(G104/G105*4,0)</f>
        <v/>
      </c>
      <c r="H106" s="376">
        <f>IFERROR(H104/H105*4,0)</f>
        <v/>
      </c>
      <c r="I106" s="344">
        <f>IFERROR(I104/I105,0)</f>
        <v/>
      </c>
      <c r="J106" s="376">
        <f>IFERROR(J104/J105*4,0)</f>
        <v/>
      </c>
      <c r="K106" s="376">
        <f>IFERROR(K104/K105*4,0)</f>
        <v/>
      </c>
      <c r="L106" s="376">
        <f>IFERROR(L104/L105*4,0)</f>
        <v/>
      </c>
      <c r="M106" s="376">
        <f>IFERROR(M104/M105*4,0)</f>
        <v/>
      </c>
      <c r="N106" s="344">
        <f>IFERROR(N104/N105,0)</f>
        <v/>
      </c>
      <c r="O106" s="376">
        <f>IFERROR(O104/O105*4,0)</f>
        <v/>
      </c>
      <c r="P106" s="376">
        <f>IFERROR(P104/P105*4,0)</f>
        <v/>
      </c>
      <c r="Q106" s="376">
        <f>IFERROR(Q104/Q105*4,0)</f>
        <v/>
      </c>
      <c r="R106" s="376">
        <f>IFERROR(R104/R105*4,0)</f>
        <v/>
      </c>
      <c r="S106" s="344">
        <f>IFERROR(S104/S105,0)</f>
        <v/>
      </c>
      <c r="T106" s="376">
        <f>IFERROR(T104/T105*4,0)</f>
        <v/>
      </c>
      <c r="U106" s="376">
        <f>IFERROR(U104/U105*4,0)</f>
        <v/>
      </c>
      <c r="V106" s="376">
        <f>IFERROR(V104/V105*4,0)</f>
        <v/>
      </c>
      <c r="W106" s="376">
        <f>IFERROR(W104/W105*4,0)</f>
        <v/>
      </c>
      <c r="X106" s="344">
        <f>IFERROR(X104/X105,0)</f>
        <v/>
      </c>
      <c r="Y106" s="376">
        <f>IFERROR(Y104/Y105*4,0)</f>
        <v/>
      </c>
      <c r="Z106" s="376">
        <f>IFERROR(Z104/Z105*4,0)</f>
        <v/>
      </c>
      <c r="AA106" s="376">
        <f>IFERROR(AA104/AA105*4,0)</f>
        <v/>
      </c>
      <c r="AB106" s="376">
        <f>IFERROR(AB104/AB105*4,0)</f>
        <v/>
      </c>
      <c r="AC106" s="344">
        <f>IFERROR(AC104/AC105,0)</f>
        <v/>
      </c>
      <c r="AD106" s="376">
        <f>IFERROR(AD104/AD105*4,0)</f>
        <v/>
      </c>
      <c r="AE106" s="376">
        <f>IFERROR(AE104/AE105*4,0)</f>
        <v/>
      </c>
      <c r="AF106" s="376">
        <f>IFERROR(AF104/AF105*4,0)</f>
        <v/>
      </c>
      <c r="AG106" s="376">
        <f>IFERROR(AG104/AG105*4,0)</f>
        <v/>
      </c>
      <c r="AH106" s="344">
        <f>IFERROR(AH104/AH105,0)</f>
        <v/>
      </c>
      <c r="AI106" s="376">
        <f>IFERROR(AI104/AI105*4,0)</f>
        <v/>
      </c>
      <c r="AJ106" s="376">
        <f>IFERROR(AJ104/AJ105*4,0)</f>
        <v/>
      </c>
      <c r="AK106" s="376">
        <f>IFERROR(AK104/AK105*4,0)</f>
        <v/>
      </c>
      <c r="AL106" s="376">
        <f>IFERROR(AL104/AL105*4,0)</f>
        <v/>
      </c>
      <c r="AM106" s="344">
        <f>IFERROR(AM104/AM105,0)</f>
        <v/>
      </c>
      <c r="AN106" s="376">
        <f>IFERROR(AN104/AN105*4,0)</f>
        <v/>
      </c>
      <c r="AO106" s="376">
        <f>IFERROR(AO104/AO105*4,0)</f>
        <v/>
      </c>
      <c r="AP106" s="376">
        <f>IFERROR(AP104/AP105*4,0)</f>
        <v/>
      </c>
      <c r="AQ106" s="376">
        <f>IFERROR(AQ104/AQ105*4,0)</f>
        <v/>
      </c>
      <c r="AR106" s="344">
        <f>IFERROR(AR104/AR105,0)</f>
        <v/>
      </c>
    </row>
    <row r="107" ht="13.5" customHeight="1" s="290">
      <c r="A107" s="345" t="n"/>
      <c r="B107" s="370" t="inlineStr">
        <is>
          <t xml:space="preserve">  Split Threshold 1 — Rainmaker</t>
        </is>
      </c>
      <c r="C107" s="371" t="inlineStr">
        <is>
          <t>$K GCI/yr</t>
        </is>
      </c>
      <c r="D107" s="394" t="inlineStr">
        <is>
          <t>← Tab 03 row 264 col E</t>
        </is>
      </c>
      <c r="E107" s="361">
        <f>'03 Operational Assumptions'!E264</f>
        <v/>
      </c>
      <c r="F107" s="361">
        <f>'03 Operational Assumptions'!E264</f>
        <v/>
      </c>
      <c r="G107" s="361">
        <f>'03 Operational Assumptions'!E264</f>
        <v/>
      </c>
      <c r="H107" s="361">
        <f>'03 Operational Assumptions'!E264</f>
        <v/>
      </c>
      <c r="I107" s="361">
        <f>'03 Operational Assumptions'!E264</f>
        <v/>
      </c>
      <c r="J107" s="361">
        <f>'03 Operational Assumptions'!E264</f>
        <v/>
      </c>
      <c r="K107" s="361">
        <f>'03 Operational Assumptions'!E264</f>
        <v/>
      </c>
      <c r="L107" s="361">
        <f>'03 Operational Assumptions'!E264</f>
        <v/>
      </c>
      <c r="M107" s="361">
        <f>'03 Operational Assumptions'!E264</f>
        <v/>
      </c>
      <c r="N107" s="361">
        <f>'03 Operational Assumptions'!E264</f>
        <v/>
      </c>
      <c r="O107" s="361">
        <f>'03 Operational Assumptions'!E264</f>
        <v/>
      </c>
      <c r="P107" s="361">
        <f>'03 Operational Assumptions'!E264</f>
        <v/>
      </c>
      <c r="Q107" s="361">
        <f>'03 Operational Assumptions'!E264</f>
        <v/>
      </c>
      <c r="R107" s="361">
        <f>'03 Operational Assumptions'!E264</f>
        <v/>
      </c>
      <c r="S107" s="361">
        <f>'03 Operational Assumptions'!E264</f>
        <v/>
      </c>
      <c r="T107" s="361">
        <f>'03 Operational Assumptions'!E264</f>
        <v/>
      </c>
      <c r="U107" s="361">
        <f>'03 Operational Assumptions'!E264</f>
        <v/>
      </c>
      <c r="V107" s="361">
        <f>'03 Operational Assumptions'!E264</f>
        <v/>
      </c>
      <c r="W107" s="361">
        <f>'03 Operational Assumptions'!E264</f>
        <v/>
      </c>
      <c r="X107" s="361">
        <f>'03 Operational Assumptions'!E264</f>
        <v/>
      </c>
      <c r="Y107" s="361">
        <f>'03 Operational Assumptions'!E264</f>
        <v/>
      </c>
      <c r="Z107" s="361">
        <f>'03 Operational Assumptions'!E264</f>
        <v/>
      </c>
      <c r="AA107" s="361">
        <f>'03 Operational Assumptions'!E264</f>
        <v/>
      </c>
      <c r="AB107" s="361">
        <f>'03 Operational Assumptions'!E264</f>
        <v/>
      </c>
      <c r="AC107" s="361">
        <f>'03 Operational Assumptions'!E264</f>
        <v/>
      </c>
      <c r="AD107" s="361">
        <f>'03 Operational Assumptions'!E264</f>
        <v/>
      </c>
      <c r="AE107" s="361">
        <f>'03 Operational Assumptions'!E264</f>
        <v/>
      </c>
      <c r="AF107" s="361">
        <f>'03 Operational Assumptions'!E264</f>
        <v/>
      </c>
      <c r="AG107" s="361">
        <f>'03 Operational Assumptions'!E264</f>
        <v/>
      </c>
      <c r="AH107" s="361">
        <f>'03 Operational Assumptions'!E264</f>
        <v/>
      </c>
      <c r="AI107" s="361">
        <f>'03 Operational Assumptions'!E264</f>
        <v/>
      </c>
      <c r="AJ107" s="361">
        <f>'03 Operational Assumptions'!E264</f>
        <v/>
      </c>
      <c r="AK107" s="361">
        <f>'03 Operational Assumptions'!E264</f>
        <v/>
      </c>
      <c r="AL107" s="361">
        <f>'03 Operational Assumptions'!E264</f>
        <v/>
      </c>
      <c r="AM107" s="361">
        <f>'03 Operational Assumptions'!E264</f>
        <v/>
      </c>
      <c r="AN107" s="361">
        <f>'03 Operational Assumptions'!E264</f>
        <v/>
      </c>
      <c r="AO107" s="361">
        <f>'03 Operational Assumptions'!E264</f>
        <v/>
      </c>
      <c r="AP107" s="361">
        <f>'03 Operational Assumptions'!E264</f>
        <v/>
      </c>
      <c r="AQ107" s="361">
        <f>'03 Operational Assumptions'!E264</f>
        <v/>
      </c>
      <c r="AR107" s="361">
        <f>'03 Operational Assumptions'!E264</f>
        <v/>
      </c>
    </row>
    <row r="108" ht="13.5" customHeight="1" s="290">
      <c r="A108" s="345" t="n"/>
      <c r="B108" s="370" t="inlineStr">
        <is>
          <t xml:space="preserve">  Split % at T1 (S1) — Rainmaker</t>
        </is>
      </c>
      <c r="C108" s="371" t="inlineStr">
        <is>
          <t>%</t>
        </is>
      </c>
      <c r="D108" s="394" t="inlineStr">
        <is>
          <t>← Tab 03 row 264 col F</t>
        </is>
      </c>
      <c r="E108" s="361">
        <f>'03 Operational Assumptions'!F264</f>
        <v/>
      </c>
      <c r="F108" s="361">
        <f>'03 Operational Assumptions'!F264</f>
        <v/>
      </c>
      <c r="G108" s="361">
        <f>'03 Operational Assumptions'!F264</f>
        <v/>
      </c>
      <c r="H108" s="361">
        <f>'03 Operational Assumptions'!F264</f>
        <v/>
      </c>
      <c r="I108" s="361">
        <f>'03 Operational Assumptions'!F264</f>
        <v/>
      </c>
      <c r="J108" s="361">
        <f>'03 Operational Assumptions'!F264</f>
        <v/>
      </c>
      <c r="K108" s="361">
        <f>'03 Operational Assumptions'!F264</f>
        <v/>
      </c>
      <c r="L108" s="361">
        <f>'03 Operational Assumptions'!F264</f>
        <v/>
      </c>
      <c r="M108" s="361">
        <f>'03 Operational Assumptions'!F264</f>
        <v/>
      </c>
      <c r="N108" s="361">
        <f>'03 Operational Assumptions'!F264</f>
        <v/>
      </c>
      <c r="O108" s="361">
        <f>'03 Operational Assumptions'!F264</f>
        <v/>
      </c>
      <c r="P108" s="361">
        <f>'03 Operational Assumptions'!F264</f>
        <v/>
      </c>
      <c r="Q108" s="361">
        <f>'03 Operational Assumptions'!F264</f>
        <v/>
      </c>
      <c r="R108" s="361">
        <f>'03 Operational Assumptions'!F264</f>
        <v/>
      </c>
      <c r="S108" s="361">
        <f>'03 Operational Assumptions'!F264</f>
        <v/>
      </c>
      <c r="T108" s="361">
        <f>'03 Operational Assumptions'!F264</f>
        <v/>
      </c>
      <c r="U108" s="361">
        <f>'03 Operational Assumptions'!F264</f>
        <v/>
      </c>
      <c r="V108" s="361">
        <f>'03 Operational Assumptions'!F264</f>
        <v/>
      </c>
      <c r="W108" s="361">
        <f>'03 Operational Assumptions'!F264</f>
        <v/>
      </c>
      <c r="X108" s="361">
        <f>'03 Operational Assumptions'!F264</f>
        <v/>
      </c>
      <c r="Y108" s="361">
        <f>'03 Operational Assumptions'!F264</f>
        <v/>
      </c>
      <c r="Z108" s="361">
        <f>'03 Operational Assumptions'!F264</f>
        <v/>
      </c>
      <c r="AA108" s="361">
        <f>'03 Operational Assumptions'!F264</f>
        <v/>
      </c>
      <c r="AB108" s="361">
        <f>'03 Operational Assumptions'!F264</f>
        <v/>
      </c>
      <c r="AC108" s="361">
        <f>'03 Operational Assumptions'!F264</f>
        <v/>
      </c>
      <c r="AD108" s="361">
        <f>'03 Operational Assumptions'!F264</f>
        <v/>
      </c>
      <c r="AE108" s="361">
        <f>'03 Operational Assumptions'!F264</f>
        <v/>
      </c>
      <c r="AF108" s="361">
        <f>'03 Operational Assumptions'!F264</f>
        <v/>
      </c>
      <c r="AG108" s="361">
        <f>'03 Operational Assumptions'!F264</f>
        <v/>
      </c>
      <c r="AH108" s="361">
        <f>'03 Operational Assumptions'!F264</f>
        <v/>
      </c>
      <c r="AI108" s="361">
        <f>'03 Operational Assumptions'!F264</f>
        <v/>
      </c>
      <c r="AJ108" s="361">
        <f>'03 Operational Assumptions'!F264</f>
        <v/>
      </c>
      <c r="AK108" s="361">
        <f>'03 Operational Assumptions'!F264</f>
        <v/>
      </c>
      <c r="AL108" s="361">
        <f>'03 Operational Assumptions'!F264</f>
        <v/>
      </c>
      <c r="AM108" s="361">
        <f>'03 Operational Assumptions'!F264</f>
        <v/>
      </c>
      <c r="AN108" s="361">
        <f>'03 Operational Assumptions'!F264</f>
        <v/>
      </c>
      <c r="AO108" s="361">
        <f>'03 Operational Assumptions'!F264</f>
        <v/>
      </c>
      <c r="AP108" s="361">
        <f>'03 Operational Assumptions'!F264</f>
        <v/>
      </c>
      <c r="AQ108" s="361">
        <f>'03 Operational Assumptions'!F264</f>
        <v/>
      </c>
      <c r="AR108" s="361">
        <f>'03 Operational Assumptions'!F264</f>
        <v/>
      </c>
    </row>
    <row r="109" ht="13.5" customHeight="1" s="290">
      <c r="A109" s="345" t="n"/>
      <c r="B109" s="370" t="inlineStr">
        <is>
          <t xml:space="preserve">  Split Threshold 2 — Rainmaker</t>
        </is>
      </c>
      <c r="C109" s="371" t="inlineStr">
        <is>
          <t>$K GCI/yr</t>
        </is>
      </c>
      <c r="D109" s="394" t="inlineStr">
        <is>
          <t>← Tab 03 row 264 col G</t>
        </is>
      </c>
      <c r="E109" s="361">
        <f>'03 Operational Assumptions'!G264</f>
        <v/>
      </c>
      <c r="F109" s="361">
        <f>'03 Operational Assumptions'!G264</f>
        <v/>
      </c>
      <c r="G109" s="361">
        <f>'03 Operational Assumptions'!G264</f>
        <v/>
      </c>
      <c r="H109" s="361">
        <f>'03 Operational Assumptions'!G264</f>
        <v/>
      </c>
      <c r="I109" s="361">
        <f>'03 Operational Assumptions'!G264</f>
        <v/>
      </c>
      <c r="J109" s="361">
        <f>'03 Operational Assumptions'!G264</f>
        <v/>
      </c>
      <c r="K109" s="361">
        <f>'03 Operational Assumptions'!G264</f>
        <v/>
      </c>
      <c r="L109" s="361">
        <f>'03 Operational Assumptions'!G264</f>
        <v/>
      </c>
      <c r="M109" s="361">
        <f>'03 Operational Assumptions'!G264</f>
        <v/>
      </c>
      <c r="N109" s="361">
        <f>'03 Operational Assumptions'!G264</f>
        <v/>
      </c>
      <c r="O109" s="361">
        <f>'03 Operational Assumptions'!G264</f>
        <v/>
      </c>
      <c r="P109" s="361">
        <f>'03 Operational Assumptions'!G264</f>
        <v/>
      </c>
      <c r="Q109" s="361">
        <f>'03 Operational Assumptions'!G264</f>
        <v/>
      </c>
      <c r="R109" s="361">
        <f>'03 Operational Assumptions'!G264</f>
        <v/>
      </c>
      <c r="S109" s="361">
        <f>'03 Operational Assumptions'!G264</f>
        <v/>
      </c>
      <c r="T109" s="361">
        <f>'03 Operational Assumptions'!G264</f>
        <v/>
      </c>
      <c r="U109" s="361">
        <f>'03 Operational Assumptions'!G264</f>
        <v/>
      </c>
      <c r="V109" s="361">
        <f>'03 Operational Assumptions'!G264</f>
        <v/>
      </c>
      <c r="W109" s="361">
        <f>'03 Operational Assumptions'!G264</f>
        <v/>
      </c>
      <c r="X109" s="361">
        <f>'03 Operational Assumptions'!G264</f>
        <v/>
      </c>
      <c r="Y109" s="361">
        <f>'03 Operational Assumptions'!G264</f>
        <v/>
      </c>
      <c r="Z109" s="361">
        <f>'03 Operational Assumptions'!G264</f>
        <v/>
      </c>
      <c r="AA109" s="361">
        <f>'03 Operational Assumptions'!G264</f>
        <v/>
      </c>
      <c r="AB109" s="361">
        <f>'03 Operational Assumptions'!G264</f>
        <v/>
      </c>
      <c r="AC109" s="361">
        <f>'03 Operational Assumptions'!G264</f>
        <v/>
      </c>
      <c r="AD109" s="361">
        <f>'03 Operational Assumptions'!G264</f>
        <v/>
      </c>
      <c r="AE109" s="361">
        <f>'03 Operational Assumptions'!G264</f>
        <v/>
      </c>
      <c r="AF109" s="361">
        <f>'03 Operational Assumptions'!G264</f>
        <v/>
      </c>
      <c r="AG109" s="361">
        <f>'03 Operational Assumptions'!G264</f>
        <v/>
      </c>
      <c r="AH109" s="361">
        <f>'03 Operational Assumptions'!G264</f>
        <v/>
      </c>
      <c r="AI109" s="361">
        <f>'03 Operational Assumptions'!G264</f>
        <v/>
      </c>
      <c r="AJ109" s="361">
        <f>'03 Operational Assumptions'!G264</f>
        <v/>
      </c>
      <c r="AK109" s="361">
        <f>'03 Operational Assumptions'!G264</f>
        <v/>
      </c>
      <c r="AL109" s="361">
        <f>'03 Operational Assumptions'!G264</f>
        <v/>
      </c>
      <c r="AM109" s="361">
        <f>'03 Operational Assumptions'!G264</f>
        <v/>
      </c>
      <c r="AN109" s="361">
        <f>'03 Operational Assumptions'!G264</f>
        <v/>
      </c>
      <c r="AO109" s="361">
        <f>'03 Operational Assumptions'!G264</f>
        <v/>
      </c>
      <c r="AP109" s="361">
        <f>'03 Operational Assumptions'!G264</f>
        <v/>
      </c>
      <c r="AQ109" s="361">
        <f>'03 Operational Assumptions'!G264</f>
        <v/>
      </c>
      <c r="AR109" s="361">
        <f>'03 Operational Assumptions'!G264</f>
        <v/>
      </c>
    </row>
    <row r="110" ht="13.5" customHeight="1" s="290">
      <c r="A110" s="345" t="n"/>
      <c r="B110" s="370" t="inlineStr">
        <is>
          <t xml:space="preserve">  Split % at T2 (S2) — Rainmaker</t>
        </is>
      </c>
      <c r="C110" s="371" t="inlineStr">
        <is>
          <t>%</t>
        </is>
      </c>
      <c r="D110" s="394" t="inlineStr">
        <is>
          <t>← Tab 03 row 264 col H</t>
        </is>
      </c>
      <c r="E110" s="361">
        <f>'03 Operational Assumptions'!H264</f>
        <v/>
      </c>
      <c r="F110" s="361">
        <f>'03 Operational Assumptions'!H264</f>
        <v/>
      </c>
      <c r="G110" s="361">
        <f>'03 Operational Assumptions'!H264</f>
        <v/>
      </c>
      <c r="H110" s="361">
        <f>'03 Operational Assumptions'!H264</f>
        <v/>
      </c>
      <c r="I110" s="361">
        <f>'03 Operational Assumptions'!H264</f>
        <v/>
      </c>
      <c r="J110" s="361">
        <f>'03 Operational Assumptions'!H264</f>
        <v/>
      </c>
      <c r="K110" s="361">
        <f>'03 Operational Assumptions'!H264</f>
        <v/>
      </c>
      <c r="L110" s="361">
        <f>'03 Operational Assumptions'!H264</f>
        <v/>
      </c>
      <c r="M110" s="361">
        <f>'03 Operational Assumptions'!H264</f>
        <v/>
      </c>
      <c r="N110" s="361">
        <f>'03 Operational Assumptions'!H264</f>
        <v/>
      </c>
      <c r="O110" s="361">
        <f>'03 Operational Assumptions'!H264</f>
        <v/>
      </c>
      <c r="P110" s="361">
        <f>'03 Operational Assumptions'!H264</f>
        <v/>
      </c>
      <c r="Q110" s="361">
        <f>'03 Operational Assumptions'!H264</f>
        <v/>
      </c>
      <c r="R110" s="361">
        <f>'03 Operational Assumptions'!H264</f>
        <v/>
      </c>
      <c r="S110" s="361">
        <f>'03 Operational Assumptions'!H264</f>
        <v/>
      </c>
      <c r="T110" s="361">
        <f>'03 Operational Assumptions'!H264</f>
        <v/>
      </c>
      <c r="U110" s="361">
        <f>'03 Operational Assumptions'!H264</f>
        <v/>
      </c>
      <c r="V110" s="361">
        <f>'03 Operational Assumptions'!H264</f>
        <v/>
      </c>
      <c r="W110" s="361">
        <f>'03 Operational Assumptions'!H264</f>
        <v/>
      </c>
      <c r="X110" s="361">
        <f>'03 Operational Assumptions'!H264</f>
        <v/>
      </c>
      <c r="Y110" s="361">
        <f>'03 Operational Assumptions'!H264</f>
        <v/>
      </c>
      <c r="Z110" s="361">
        <f>'03 Operational Assumptions'!H264</f>
        <v/>
      </c>
      <c r="AA110" s="361">
        <f>'03 Operational Assumptions'!H264</f>
        <v/>
      </c>
      <c r="AB110" s="361">
        <f>'03 Operational Assumptions'!H264</f>
        <v/>
      </c>
      <c r="AC110" s="361">
        <f>'03 Operational Assumptions'!H264</f>
        <v/>
      </c>
      <c r="AD110" s="361">
        <f>'03 Operational Assumptions'!H264</f>
        <v/>
      </c>
      <c r="AE110" s="361">
        <f>'03 Operational Assumptions'!H264</f>
        <v/>
      </c>
      <c r="AF110" s="361">
        <f>'03 Operational Assumptions'!H264</f>
        <v/>
      </c>
      <c r="AG110" s="361">
        <f>'03 Operational Assumptions'!H264</f>
        <v/>
      </c>
      <c r="AH110" s="361">
        <f>'03 Operational Assumptions'!H264</f>
        <v/>
      </c>
      <c r="AI110" s="361">
        <f>'03 Operational Assumptions'!H264</f>
        <v/>
      </c>
      <c r="AJ110" s="361">
        <f>'03 Operational Assumptions'!H264</f>
        <v/>
      </c>
      <c r="AK110" s="361">
        <f>'03 Operational Assumptions'!H264</f>
        <v/>
      </c>
      <c r="AL110" s="361">
        <f>'03 Operational Assumptions'!H264</f>
        <v/>
      </c>
      <c r="AM110" s="361">
        <f>'03 Operational Assumptions'!H264</f>
        <v/>
      </c>
      <c r="AN110" s="361">
        <f>'03 Operational Assumptions'!H264</f>
        <v/>
      </c>
      <c r="AO110" s="361">
        <f>'03 Operational Assumptions'!H264</f>
        <v/>
      </c>
      <c r="AP110" s="361">
        <f>'03 Operational Assumptions'!H264</f>
        <v/>
      </c>
      <c r="AQ110" s="361">
        <f>'03 Operational Assumptions'!H264</f>
        <v/>
      </c>
      <c r="AR110" s="361">
        <f>'03 Operational Assumptions'!H264</f>
        <v/>
      </c>
    </row>
    <row r="111" ht="13.5" customHeight="1" s="290">
      <c r="A111" s="345" t="n"/>
      <c r="B111" s="370" t="inlineStr">
        <is>
          <t xml:space="preserve">  Split % Above T2 (S3) — Rainmaker</t>
        </is>
      </c>
      <c r="C111" s="371" t="inlineStr">
        <is>
          <t>%</t>
        </is>
      </c>
      <c r="D111" s="394" t="inlineStr">
        <is>
          <t>← Tab 03 row 264 col J</t>
        </is>
      </c>
      <c r="E111" s="361">
        <f>'03 Operational Assumptions'!J264</f>
        <v/>
      </c>
      <c r="F111" s="361">
        <f>'03 Operational Assumptions'!J264</f>
        <v/>
      </c>
      <c r="G111" s="361">
        <f>'03 Operational Assumptions'!J264</f>
        <v/>
      </c>
      <c r="H111" s="361">
        <f>'03 Operational Assumptions'!J264</f>
        <v/>
      </c>
      <c r="I111" s="361">
        <f>'03 Operational Assumptions'!J264</f>
        <v/>
      </c>
      <c r="J111" s="361">
        <f>'03 Operational Assumptions'!J264</f>
        <v/>
      </c>
      <c r="K111" s="361">
        <f>'03 Operational Assumptions'!J264</f>
        <v/>
      </c>
      <c r="L111" s="361">
        <f>'03 Operational Assumptions'!J264</f>
        <v/>
      </c>
      <c r="M111" s="361">
        <f>'03 Operational Assumptions'!J264</f>
        <v/>
      </c>
      <c r="N111" s="361">
        <f>'03 Operational Assumptions'!J264</f>
        <v/>
      </c>
      <c r="O111" s="361">
        <f>'03 Operational Assumptions'!J264</f>
        <v/>
      </c>
      <c r="P111" s="361">
        <f>'03 Operational Assumptions'!J264</f>
        <v/>
      </c>
      <c r="Q111" s="361">
        <f>'03 Operational Assumptions'!J264</f>
        <v/>
      </c>
      <c r="R111" s="361">
        <f>'03 Operational Assumptions'!J264</f>
        <v/>
      </c>
      <c r="S111" s="361">
        <f>'03 Operational Assumptions'!J264</f>
        <v/>
      </c>
      <c r="T111" s="361">
        <f>'03 Operational Assumptions'!J264</f>
        <v/>
      </c>
      <c r="U111" s="361">
        <f>'03 Operational Assumptions'!J264</f>
        <v/>
      </c>
      <c r="V111" s="361">
        <f>'03 Operational Assumptions'!J264</f>
        <v/>
      </c>
      <c r="W111" s="361">
        <f>'03 Operational Assumptions'!J264</f>
        <v/>
      </c>
      <c r="X111" s="361">
        <f>'03 Operational Assumptions'!J264</f>
        <v/>
      </c>
      <c r="Y111" s="361">
        <f>'03 Operational Assumptions'!J264</f>
        <v/>
      </c>
      <c r="Z111" s="361">
        <f>'03 Operational Assumptions'!J264</f>
        <v/>
      </c>
      <c r="AA111" s="361">
        <f>'03 Operational Assumptions'!J264</f>
        <v/>
      </c>
      <c r="AB111" s="361">
        <f>'03 Operational Assumptions'!J264</f>
        <v/>
      </c>
      <c r="AC111" s="361">
        <f>'03 Operational Assumptions'!J264</f>
        <v/>
      </c>
      <c r="AD111" s="361">
        <f>'03 Operational Assumptions'!J264</f>
        <v/>
      </c>
      <c r="AE111" s="361">
        <f>'03 Operational Assumptions'!J264</f>
        <v/>
      </c>
      <c r="AF111" s="361">
        <f>'03 Operational Assumptions'!J264</f>
        <v/>
      </c>
      <c r="AG111" s="361">
        <f>'03 Operational Assumptions'!J264</f>
        <v/>
      </c>
      <c r="AH111" s="361">
        <f>'03 Operational Assumptions'!J264</f>
        <v/>
      </c>
      <c r="AI111" s="361">
        <f>'03 Operational Assumptions'!J264</f>
        <v/>
      </c>
      <c r="AJ111" s="361">
        <f>'03 Operational Assumptions'!J264</f>
        <v/>
      </c>
      <c r="AK111" s="361">
        <f>'03 Operational Assumptions'!J264</f>
        <v/>
      </c>
      <c r="AL111" s="361">
        <f>'03 Operational Assumptions'!J264</f>
        <v/>
      </c>
      <c r="AM111" s="361">
        <f>'03 Operational Assumptions'!J264</f>
        <v/>
      </c>
      <c r="AN111" s="361">
        <f>'03 Operational Assumptions'!J264</f>
        <v/>
      </c>
      <c r="AO111" s="361">
        <f>'03 Operational Assumptions'!J264</f>
        <v/>
      </c>
      <c r="AP111" s="361">
        <f>'03 Operational Assumptions'!J264</f>
        <v/>
      </c>
      <c r="AQ111" s="361">
        <f>'03 Operational Assumptions'!J264</f>
        <v/>
      </c>
      <c r="AR111" s="361">
        <f>'03 Operational Assumptions'!J264</f>
        <v/>
      </c>
    </row>
    <row r="112" ht="13.5" customHeight="1" s="290">
      <c r="A112" s="395" t="n"/>
      <c r="B112" s="373" t="inlineStr">
        <is>
          <t xml:space="preserve">  Applied Split % — Rainmaker</t>
        </is>
      </c>
      <c r="C112" s="374" t="inlineStr">
        <is>
          <t>%</t>
        </is>
      </c>
      <c r="D112" s="396" t="inlineStr">
        <is>
          <t xml:space="preserve"> IF(gci/epe≤T1→S1, IF(≤T2→S2, S3)),TRUE())</t>
        </is>
      </c>
      <c r="E112" s="376">
        <f>IF(E106&lt;=E107,E108,IF(E106&lt;=E109,E110,E111))</f>
        <v/>
      </c>
      <c r="F112" s="376">
        <f>IF(F106&lt;=F107,F108,IF(F106&lt;=F109,F110,F111))</f>
        <v/>
      </c>
      <c r="G112" s="376">
        <f>IF(G106&lt;=G107,G108,IF(G106&lt;=G109,G110,G111))</f>
        <v/>
      </c>
      <c r="H112" s="376">
        <f>IF(H106&lt;=H107,H108,IF(H106&lt;=H109,H110,H111))</f>
        <v/>
      </c>
      <c r="I112" s="344">
        <f>IF(I106&lt;=I107,I108,IF(I106&lt;=I109,I110,I111))</f>
        <v/>
      </c>
      <c r="J112" s="376">
        <f>IF(J106&lt;=J107,J108,IF(J106&lt;=J109,J110,J111))</f>
        <v/>
      </c>
      <c r="K112" s="376">
        <f>IF(K106&lt;=K107,K108,IF(K106&lt;=K109,K110,K111))</f>
        <v/>
      </c>
      <c r="L112" s="376">
        <f>IF(L106&lt;=L107,L108,IF(L106&lt;=L109,L110,L111))</f>
        <v/>
      </c>
      <c r="M112" s="376">
        <f>IF(M106&lt;=M107,M108,IF(M106&lt;=M109,M110,M111))</f>
        <v/>
      </c>
      <c r="N112" s="344">
        <f>IF(N106&lt;=N107,N108,IF(N106&lt;=N109,N110,N111))</f>
        <v/>
      </c>
      <c r="O112" s="376">
        <f>IF(O106&lt;=O107,O108,IF(O106&lt;=O109,O110,O111))</f>
        <v/>
      </c>
      <c r="P112" s="376">
        <f>IF(P106&lt;=P107,P108,IF(P106&lt;=P109,P110,P111))</f>
        <v/>
      </c>
      <c r="Q112" s="376">
        <f>IF(Q106&lt;=Q107,Q108,IF(Q106&lt;=Q109,Q110,Q111))</f>
        <v/>
      </c>
      <c r="R112" s="376">
        <f>IF(R106&lt;=R107,R108,IF(R106&lt;=R109,R110,R111))</f>
        <v/>
      </c>
      <c r="S112" s="344">
        <f>IF(S106&lt;=S107,S108,IF(S106&lt;=S109,S110,S111))</f>
        <v/>
      </c>
      <c r="T112" s="376">
        <f>IF(T106&lt;=T107,T108,IF(T106&lt;=T109,T110,T111))</f>
        <v/>
      </c>
      <c r="U112" s="376">
        <f>IF(U106&lt;=U107,U108,IF(U106&lt;=U109,U110,U111))</f>
        <v/>
      </c>
      <c r="V112" s="376">
        <f>IF(V106&lt;=V107,V108,IF(V106&lt;=V109,V110,V111))</f>
        <v/>
      </c>
      <c r="W112" s="376">
        <f>IF(W106&lt;=W107,W108,IF(W106&lt;=W109,W110,W111))</f>
        <v/>
      </c>
      <c r="X112" s="344">
        <f>IF(X106&lt;=X107,X108,IF(X106&lt;=X109,X110,X111))</f>
        <v/>
      </c>
      <c r="Y112" s="376">
        <f>IF(Y106&lt;=Y107,Y108,IF(Y106&lt;=Y109,Y110,Y111))</f>
        <v/>
      </c>
      <c r="Z112" s="376">
        <f>IF(Z106&lt;=Z107,Z108,IF(Z106&lt;=Z109,Z110,Z111))</f>
        <v/>
      </c>
      <c r="AA112" s="376">
        <f>IF(AA106&lt;=AA107,AA108,IF(AA106&lt;=AA109,AA110,AA111))</f>
        <v/>
      </c>
      <c r="AB112" s="376">
        <f>IF(AB106&lt;=AB107,AB108,IF(AB106&lt;=AB109,AB110,AB111))</f>
        <v/>
      </c>
      <c r="AC112" s="344">
        <f>IF(AC106&lt;=AC107,AC108,IF(AC106&lt;=AC109,AC110,AC111))</f>
        <v/>
      </c>
      <c r="AD112" s="376">
        <f>IF(AD106&lt;=AD107,AD108,IF(AD106&lt;=AD109,AD110,AD111))</f>
        <v/>
      </c>
      <c r="AE112" s="376">
        <f>IF(AE106&lt;=AE107,AE108,IF(AE106&lt;=AE109,AE110,AE111))</f>
        <v/>
      </c>
      <c r="AF112" s="376">
        <f>IF(AF106&lt;=AF107,AF108,IF(AF106&lt;=AF109,AF110,AF111))</f>
        <v/>
      </c>
      <c r="AG112" s="376">
        <f>IF(AG106&lt;=AG107,AG108,IF(AG106&lt;=AG109,AG110,AG111))</f>
        <v/>
      </c>
      <c r="AH112" s="344">
        <f>IF(AH106&lt;=AH107,AH108,IF(AH106&lt;=AH109,AH110,AH111))</f>
        <v/>
      </c>
      <c r="AI112" s="376">
        <f>IF(AI106&lt;=AI107,AI108,IF(AI106&lt;=AI109,AI110,AI111))</f>
        <v/>
      </c>
      <c r="AJ112" s="376">
        <f>IF(AJ106&lt;=AJ107,AJ108,IF(AJ106&lt;=AJ109,AJ110,AJ111))</f>
        <v/>
      </c>
      <c r="AK112" s="376">
        <f>IF(AK106&lt;=AK107,AK108,IF(AK106&lt;=AK109,AK110,AK111))</f>
        <v/>
      </c>
      <c r="AL112" s="376">
        <f>IF(AL106&lt;=AL107,AL108,IF(AL106&lt;=AL109,AL110,AL111))</f>
        <v/>
      </c>
      <c r="AM112" s="344">
        <f>IF(AM106&lt;=AM107,AM108,IF(AM106&lt;=AM109,AM110,AM111))</f>
        <v/>
      </c>
      <c r="AN112" s="376">
        <f>IF(AN106&lt;=AN107,AN108,IF(AN106&lt;=AN109,AN110,AN111))</f>
        <v/>
      </c>
      <c r="AO112" s="376">
        <f>IF(AO106&lt;=AO107,AO108,IF(AO106&lt;=AO109,AO110,AO111))</f>
        <v/>
      </c>
      <c r="AP112" s="376">
        <f>IF(AP106&lt;=AP107,AP108,IF(AP106&lt;=AP109,AP110,AP111))</f>
        <v/>
      </c>
      <c r="AQ112" s="376">
        <f>IF(AQ106&lt;=AQ107,AQ108,IF(AQ106&lt;=AQ109,AQ110,AQ111))</f>
        <v/>
      </c>
      <c r="AR112" s="344">
        <f>IF(AR106&lt;=AR107,AR108,IF(AR106&lt;=AR109,AR110,AR111))</f>
        <v/>
      </c>
    </row>
    <row r="113" ht="13.5" customHeight="1" s="290">
      <c r="A113" s="395" t="n"/>
      <c r="B113" s="402" t="inlineStr">
        <is>
          <t xml:space="preserve">  ★ Producer Payout — Rainmaker</t>
        </is>
      </c>
      <c r="C113" s="374" t="inlineStr">
        <is>
          <t>$K</t>
        </is>
      </c>
      <c r="D113" s="396" t="inlineStr">
        <is>
          <t xml:space="preserve"> tier gci × Applied Split %</t>
        </is>
      </c>
      <c r="E113" s="403">
        <f>E104*E112</f>
        <v/>
      </c>
      <c r="F113" s="403">
        <f>F104*F112</f>
        <v/>
      </c>
      <c r="G113" s="403">
        <f>G104*G112</f>
        <v/>
      </c>
      <c r="H113" s="403">
        <f>H104*H112</f>
        <v/>
      </c>
      <c r="I113" s="387">
        <f>SUM(E113:H113)</f>
        <v/>
      </c>
      <c r="J113" s="403">
        <f>J104*J112</f>
        <v/>
      </c>
      <c r="K113" s="403">
        <f>K104*K112</f>
        <v/>
      </c>
      <c r="L113" s="403">
        <f>L104*L112</f>
        <v/>
      </c>
      <c r="M113" s="403">
        <f>M104*M112</f>
        <v/>
      </c>
      <c r="N113" s="387">
        <f>SUM(J113:M113)</f>
        <v/>
      </c>
      <c r="O113" s="403">
        <f>O104*O112</f>
        <v/>
      </c>
      <c r="P113" s="403">
        <f>P104*P112</f>
        <v/>
      </c>
      <c r="Q113" s="403">
        <f>Q104*Q112</f>
        <v/>
      </c>
      <c r="R113" s="403">
        <f>R104*R112</f>
        <v/>
      </c>
      <c r="S113" s="387">
        <f>SUM(O113:R113)</f>
        <v/>
      </c>
      <c r="T113" s="403">
        <f>T104*T112</f>
        <v/>
      </c>
      <c r="U113" s="403">
        <f>U104*U112</f>
        <v/>
      </c>
      <c r="V113" s="403">
        <f>V104*V112</f>
        <v/>
      </c>
      <c r="W113" s="403">
        <f>W104*W112</f>
        <v/>
      </c>
      <c r="X113" s="387">
        <f>SUM(T113:W113)</f>
        <v/>
      </c>
      <c r="Y113" s="403">
        <f>Y104*Y112</f>
        <v/>
      </c>
      <c r="Z113" s="403">
        <f>Z104*Z112</f>
        <v/>
      </c>
      <c r="AA113" s="403">
        <f>AA104*AA112</f>
        <v/>
      </c>
      <c r="AB113" s="403">
        <f>AB104*AB112</f>
        <v/>
      </c>
      <c r="AC113" s="387">
        <f>SUM(Y113:AB113)</f>
        <v/>
      </c>
      <c r="AD113" s="403">
        <f>AD104*AD112</f>
        <v/>
      </c>
      <c r="AE113" s="403">
        <f>AE104*AE112</f>
        <v/>
      </c>
      <c r="AF113" s="403">
        <f>AF104*AF112</f>
        <v/>
      </c>
      <c r="AG113" s="403">
        <f>AG104*AG112</f>
        <v/>
      </c>
      <c r="AH113" s="387">
        <f>SUM(AD113:AG113)</f>
        <v/>
      </c>
      <c r="AI113" s="403">
        <f>AI104*AI112</f>
        <v/>
      </c>
      <c r="AJ113" s="403">
        <f>AJ104*AJ112</f>
        <v/>
      </c>
      <c r="AK113" s="403">
        <f>AK104*AK112</f>
        <v/>
      </c>
      <c r="AL113" s="403">
        <f>AL104*AL112</f>
        <v/>
      </c>
      <c r="AM113" s="387">
        <f>SUM(AI113:AL113)</f>
        <v/>
      </c>
      <c r="AN113" s="403">
        <f>AN104*AN112</f>
        <v/>
      </c>
      <c r="AO113" s="403">
        <f>AO104*AO112</f>
        <v/>
      </c>
      <c r="AP113" s="403">
        <f>AP104*AP112</f>
        <v/>
      </c>
      <c r="AQ113" s="403">
        <f>AQ104*AQ112</f>
        <v/>
      </c>
      <c r="AR113" s="387">
        <f>SUM(AN113:AQ113)</f>
        <v/>
      </c>
    </row>
    <row r="114" ht="3.75" customHeight="1" s="290"/>
    <row r="115" ht="13.5" customHeight="1" s="290">
      <c r="A115" s="369" t="inlineStr">
        <is>
          <t xml:space="preserve">    ── Core ──</t>
        </is>
      </c>
    </row>
    <row r="116" ht="13.5" customHeight="1" s="290">
      <c r="A116" s="395" t="n"/>
      <c r="B116" s="373" t="inlineStr">
        <is>
          <t xml:space="preserve">  Tier GCI — Core</t>
        </is>
      </c>
      <c r="C116" s="374" t="inlineStr">
        <is>
          <t>$K</t>
        </is>
      </c>
      <c r="D116" s="396" t="inlineStr">
        <is>
          <t xml:space="preserve"> (tier share) × Net Debt &amp; Equity GCI</t>
        </is>
      </c>
      <c r="E116" s="376">
        <f>IFERROR('04 Producer Engine'!E132/'04 Producer Engine'!E211*'05 Revenue Engine'!E138,0)</f>
        <v/>
      </c>
      <c r="F116" s="376">
        <f>IFERROR('04 Producer Engine'!F132/'04 Producer Engine'!F211*'05 Revenue Engine'!F138,0)</f>
        <v/>
      </c>
      <c r="G116" s="376">
        <f>IFERROR('04 Producer Engine'!G132/'04 Producer Engine'!G211*'05 Revenue Engine'!G138,0)</f>
        <v/>
      </c>
      <c r="H116" s="376">
        <f>IFERROR('04 Producer Engine'!H132/'04 Producer Engine'!H211*'05 Revenue Engine'!H138,0)</f>
        <v/>
      </c>
      <c r="I116" s="344">
        <f>SUM(E116:H116)</f>
        <v/>
      </c>
      <c r="J116" s="376">
        <f>IFERROR('04 Producer Engine'!J132/'04 Producer Engine'!J211*'05 Revenue Engine'!J138,0)</f>
        <v/>
      </c>
      <c r="K116" s="376">
        <f>IFERROR('04 Producer Engine'!K132/'04 Producer Engine'!K211*'05 Revenue Engine'!K138,0)</f>
        <v/>
      </c>
      <c r="L116" s="376">
        <f>IFERROR('04 Producer Engine'!L132/'04 Producer Engine'!L211*'05 Revenue Engine'!L138,0)</f>
        <v/>
      </c>
      <c r="M116" s="376">
        <f>IFERROR('04 Producer Engine'!M132/'04 Producer Engine'!M211*'05 Revenue Engine'!M138,0)</f>
        <v/>
      </c>
      <c r="N116" s="344">
        <f>SUM(J116:M116)</f>
        <v/>
      </c>
      <c r="O116" s="376">
        <f>IFERROR('04 Producer Engine'!O132/'04 Producer Engine'!O211*'05 Revenue Engine'!O138,0)</f>
        <v/>
      </c>
      <c r="P116" s="376">
        <f>IFERROR('04 Producer Engine'!P132/'04 Producer Engine'!P211*'05 Revenue Engine'!P138,0)</f>
        <v/>
      </c>
      <c r="Q116" s="376">
        <f>IFERROR('04 Producer Engine'!Q132/'04 Producer Engine'!Q211*'05 Revenue Engine'!Q138,0)</f>
        <v/>
      </c>
      <c r="R116" s="376">
        <f>IFERROR('04 Producer Engine'!R132/'04 Producer Engine'!R211*'05 Revenue Engine'!R138,0)</f>
        <v/>
      </c>
      <c r="S116" s="344">
        <f>SUM(O116:R116)</f>
        <v/>
      </c>
      <c r="T116" s="376">
        <f>IFERROR('04 Producer Engine'!T132/'04 Producer Engine'!T211*'05 Revenue Engine'!T138,0)</f>
        <v/>
      </c>
      <c r="U116" s="376">
        <f>IFERROR('04 Producer Engine'!U132/'04 Producer Engine'!U211*'05 Revenue Engine'!U138,0)</f>
        <v/>
      </c>
      <c r="V116" s="376">
        <f>IFERROR('04 Producer Engine'!V132/'04 Producer Engine'!V211*'05 Revenue Engine'!V138,0)</f>
        <v/>
      </c>
      <c r="W116" s="376">
        <f>IFERROR('04 Producer Engine'!W132/'04 Producer Engine'!W211*'05 Revenue Engine'!W138,0)</f>
        <v/>
      </c>
      <c r="X116" s="344">
        <f>SUM(T116:W116)</f>
        <v/>
      </c>
      <c r="Y116" s="376">
        <f>IFERROR('04 Producer Engine'!Y132/'04 Producer Engine'!Y211*'05 Revenue Engine'!Y138,0)</f>
        <v/>
      </c>
      <c r="Z116" s="376">
        <f>IFERROR('04 Producer Engine'!Z132/'04 Producer Engine'!Z211*'05 Revenue Engine'!Z138,0)</f>
        <v/>
      </c>
      <c r="AA116" s="376">
        <f>IFERROR('04 Producer Engine'!AA132/'04 Producer Engine'!AA211*'05 Revenue Engine'!AA138,0)</f>
        <v/>
      </c>
      <c r="AB116" s="376">
        <f>IFERROR('04 Producer Engine'!AB132/'04 Producer Engine'!AB211*'05 Revenue Engine'!AB138,0)</f>
        <v/>
      </c>
      <c r="AC116" s="344">
        <f>SUM(Y116:AB116)</f>
        <v/>
      </c>
      <c r="AD116" s="376">
        <f>IFERROR('04 Producer Engine'!AD132/'04 Producer Engine'!AD211*'05 Revenue Engine'!AD138,0)</f>
        <v/>
      </c>
      <c r="AE116" s="376">
        <f>IFERROR('04 Producer Engine'!AE132/'04 Producer Engine'!AE211*'05 Revenue Engine'!AE138,0)</f>
        <v/>
      </c>
      <c r="AF116" s="376">
        <f>IFERROR('04 Producer Engine'!AF132/'04 Producer Engine'!AF211*'05 Revenue Engine'!AF138,0)</f>
        <v/>
      </c>
      <c r="AG116" s="376">
        <f>IFERROR('04 Producer Engine'!AG132/'04 Producer Engine'!AG211*'05 Revenue Engine'!AG138,0)</f>
        <v/>
      </c>
      <c r="AH116" s="344">
        <f>SUM(AD116:AG116)</f>
        <v/>
      </c>
      <c r="AI116" s="376">
        <f>IFERROR('04 Producer Engine'!AI132/'04 Producer Engine'!AI211*'05 Revenue Engine'!AI138,0)</f>
        <v/>
      </c>
      <c r="AJ116" s="376">
        <f>IFERROR('04 Producer Engine'!AJ132/'04 Producer Engine'!AJ211*'05 Revenue Engine'!AJ138,0)</f>
        <v/>
      </c>
      <c r="AK116" s="376">
        <f>IFERROR('04 Producer Engine'!AK132/'04 Producer Engine'!AK211*'05 Revenue Engine'!AK138,0)</f>
        <v/>
      </c>
      <c r="AL116" s="376">
        <f>IFERROR('04 Producer Engine'!AL132/'04 Producer Engine'!AL211*'05 Revenue Engine'!AL138,0)</f>
        <v/>
      </c>
      <c r="AM116" s="344">
        <f>SUM(AI116:AL116)</f>
        <v/>
      </c>
      <c r="AN116" s="376">
        <f>IFERROR('04 Producer Engine'!AN132/'04 Producer Engine'!AN211*'05 Revenue Engine'!AN138,0)</f>
        <v/>
      </c>
      <c r="AO116" s="376">
        <f>IFERROR('04 Producer Engine'!AO132/'04 Producer Engine'!AO211*'05 Revenue Engine'!AO138,0)</f>
        <v/>
      </c>
      <c r="AP116" s="376">
        <f>IFERROR('04 Producer Engine'!AP132/'04 Producer Engine'!AP211*'05 Revenue Engine'!AP138,0)</f>
        <v/>
      </c>
      <c r="AQ116" s="376">
        <f>IFERROR('04 Producer Engine'!AQ132/'04 Producer Engine'!AQ211*'05 Revenue Engine'!AQ138,0)</f>
        <v/>
      </c>
      <c r="AR116" s="344">
        <f>SUM(AN116:AQ116)</f>
        <v/>
      </c>
    </row>
    <row r="117" ht="13.5" customHeight="1" s="290">
      <c r="A117" s="345" t="n"/>
      <c r="B117" s="370" t="inlineStr">
        <is>
          <t xml:space="preserve">  EPE — Core</t>
        </is>
      </c>
      <c r="C117" s="371" t="inlineStr">
        <is>
          <t>EPE</t>
        </is>
      </c>
      <c r="D117" s="394" t="inlineStr">
        <is>
          <t>← Tab 04 row 132</t>
        </is>
      </c>
      <c r="E117" s="361">
        <f>'04 Producer Engine'!E132</f>
        <v/>
      </c>
      <c r="F117" s="361">
        <f>'04 Producer Engine'!F132</f>
        <v/>
      </c>
      <c r="G117" s="361">
        <f>'04 Producer Engine'!G132</f>
        <v/>
      </c>
      <c r="H117" s="361">
        <f>'04 Producer Engine'!H132</f>
        <v/>
      </c>
      <c r="I117" s="361">
        <f>AVERAGE(E117:H117)</f>
        <v/>
      </c>
      <c r="J117" s="361">
        <f>'04 Producer Engine'!J132</f>
        <v/>
      </c>
      <c r="K117" s="361">
        <f>'04 Producer Engine'!K132</f>
        <v/>
      </c>
      <c r="L117" s="361">
        <f>'04 Producer Engine'!L132</f>
        <v/>
      </c>
      <c r="M117" s="361">
        <f>'04 Producer Engine'!M132</f>
        <v/>
      </c>
      <c r="N117" s="361">
        <f>AVERAGE(J117:M117)</f>
        <v/>
      </c>
      <c r="O117" s="361">
        <f>'04 Producer Engine'!O132</f>
        <v/>
      </c>
      <c r="P117" s="361">
        <f>'04 Producer Engine'!P132</f>
        <v/>
      </c>
      <c r="Q117" s="361">
        <f>'04 Producer Engine'!Q132</f>
        <v/>
      </c>
      <c r="R117" s="361">
        <f>'04 Producer Engine'!R132</f>
        <v/>
      </c>
      <c r="S117" s="361">
        <f>AVERAGE(O117:R117)</f>
        <v/>
      </c>
      <c r="T117" s="361">
        <f>'04 Producer Engine'!T132</f>
        <v/>
      </c>
      <c r="U117" s="361">
        <f>'04 Producer Engine'!U132</f>
        <v/>
      </c>
      <c r="V117" s="361">
        <f>'04 Producer Engine'!V132</f>
        <v/>
      </c>
      <c r="W117" s="361">
        <f>'04 Producer Engine'!W132</f>
        <v/>
      </c>
      <c r="X117" s="361">
        <f>AVERAGE(T117:W117)</f>
        <v/>
      </c>
      <c r="Y117" s="361">
        <f>'04 Producer Engine'!Y132</f>
        <v/>
      </c>
      <c r="Z117" s="361">
        <f>'04 Producer Engine'!Z132</f>
        <v/>
      </c>
      <c r="AA117" s="361">
        <f>'04 Producer Engine'!AA132</f>
        <v/>
      </c>
      <c r="AB117" s="361">
        <f>'04 Producer Engine'!AB132</f>
        <v/>
      </c>
      <c r="AC117" s="361">
        <f>AVERAGE(Y117:AB117)</f>
        <v/>
      </c>
      <c r="AD117" s="361">
        <f>'04 Producer Engine'!AD132</f>
        <v/>
      </c>
      <c r="AE117" s="361">
        <f>'04 Producer Engine'!AE132</f>
        <v/>
      </c>
      <c r="AF117" s="361">
        <f>'04 Producer Engine'!AF132</f>
        <v/>
      </c>
      <c r="AG117" s="361">
        <f>'04 Producer Engine'!AG132</f>
        <v/>
      </c>
      <c r="AH117" s="361">
        <f>AVERAGE(AD117:AG117)</f>
        <v/>
      </c>
      <c r="AI117" s="361">
        <f>'04 Producer Engine'!AI132</f>
        <v/>
      </c>
      <c r="AJ117" s="361">
        <f>'04 Producer Engine'!AJ132</f>
        <v/>
      </c>
      <c r="AK117" s="361">
        <f>'04 Producer Engine'!AK132</f>
        <v/>
      </c>
      <c r="AL117" s="361">
        <f>'04 Producer Engine'!AL132</f>
        <v/>
      </c>
      <c r="AM117" s="361">
        <f>AVERAGE(AI117:AL117)</f>
        <v/>
      </c>
      <c r="AN117" s="361">
        <f>'04 Producer Engine'!AN132</f>
        <v/>
      </c>
      <c r="AO117" s="361">
        <f>'04 Producer Engine'!AO132</f>
        <v/>
      </c>
      <c r="AP117" s="361">
        <f>'04 Producer Engine'!AP132</f>
        <v/>
      </c>
      <c r="AQ117" s="361">
        <f>'04 Producer Engine'!AQ132</f>
        <v/>
      </c>
      <c r="AR117" s="361">
        <f>AVERAGE(AN117:AQ117)</f>
        <v/>
      </c>
    </row>
    <row r="118" ht="13.5" customHeight="1" s="290">
      <c r="A118" s="395" t="n"/>
      <c r="B118" s="373" t="inlineStr">
        <is>
          <t xml:space="preserve">  GCI per EPE Annualized — Core</t>
        </is>
      </c>
      <c r="C118" s="374" t="inlineStr">
        <is>
          <t>$K/EPE/yr</t>
        </is>
      </c>
      <c r="D118" s="396" t="inlineStr">
        <is>
          <t xml:space="preserve"> (tier gci ÷ Tier EPE) × 4  [annualized for threshold comparison])</t>
        </is>
      </c>
      <c r="E118" s="376">
        <f>IFERROR(E116/E117*4,0)</f>
        <v/>
      </c>
      <c r="F118" s="376">
        <f>IFERROR(F116/F117*4,0)</f>
        <v/>
      </c>
      <c r="G118" s="376">
        <f>IFERROR(G116/G117*4,0)</f>
        <v/>
      </c>
      <c r="H118" s="376">
        <f>IFERROR(H116/H117*4,0)</f>
        <v/>
      </c>
      <c r="I118" s="344">
        <f>IFERROR(I116/I117,0)</f>
        <v/>
      </c>
      <c r="J118" s="376">
        <f>IFERROR(J116/J117*4,0)</f>
        <v/>
      </c>
      <c r="K118" s="376">
        <f>IFERROR(K116/K117*4,0)</f>
        <v/>
      </c>
      <c r="L118" s="376">
        <f>IFERROR(L116/L117*4,0)</f>
        <v/>
      </c>
      <c r="M118" s="376">
        <f>IFERROR(M116/M117*4,0)</f>
        <v/>
      </c>
      <c r="N118" s="344">
        <f>IFERROR(N116/N117,0)</f>
        <v/>
      </c>
      <c r="O118" s="376">
        <f>IFERROR(O116/O117*4,0)</f>
        <v/>
      </c>
      <c r="P118" s="376">
        <f>IFERROR(P116/P117*4,0)</f>
        <v/>
      </c>
      <c r="Q118" s="376">
        <f>IFERROR(Q116/Q117*4,0)</f>
        <v/>
      </c>
      <c r="R118" s="376">
        <f>IFERROR(R116/R117*4,0)</f>
        <v/>
      </c>
      <c r="S118" s="344">
        <f>IFERROR(S116/S117,0)</f>
        <v/>
      </c>
      <c r="T118" s="376">
        <f>IFERROR(T116/T117*4,0)</f>
        <v/>
      </c>
      <c r="U118" s="376">
        <f>IFERROR(U116/U117*4,0)</f>
        <v/>
      </c>
      <c r="V118" s="376">
        <f>IFERROR(V116/V117*4,0)</f>
        <v/>
      </c>
      <c r="W118" s="376">
        <f>IFERROR(W116/W117*4,0)</f>
        <v/>
      </c>
      <c r="X118" s="344">
        <f>IFERROR(X116/X117,0)</f>
        <v/>
      </c>
      <c r="Y118" s="376">
        <f>IFERROR(Y116/Y117*4,0)</f>
        <v/>
      </c>
      <c r="Z118" s="376">
        <f>IFERROR(Z116/Z117*4,0)</f>
        <v/>
      </c>
      <c r="AA118" s="376">
        <f>IFERROR(AA116/AA117*4,0)</f>
        <v/>
      </c>
      <c r="AB118" s="376">
        <f>IFERROR(AB116/AB117*4,0)</f>
        <v/>
      </c>
      <c r="AC118" s="344">
        <f>IFERROR(AC116/AC117,0)</f>
        <v/>
      </c>
      <c r="AD118" s="376">
        <f>IFERROR(AD116/AD117*4,0)</f>
        <v/>
      </c>
      <c r="AE118" s="376">
        <f>IFERROR(AE116/AE117*4,0)</f>
        <v/>
      </c>
      <c r="AF118" s="376">
        <f>IFERROR(AF116/AF117*4,0)</f>
        <v/>
      </c>
      <c r="AG118" s="376">
        <f>IFERROR(AG116/AG117*4,0)</f>
        <v/>
      </c>
      <c r="AH118" s="344">
        <f>IFERROR(AH116/AH117,0)</f>
        <v/>
      </c>
      <c r="AI118" s="376">
        <f>IFERROR(AI116/AI117*4,0)</f>
        <v/>
      </c>
      <c r="AJ118" s="376">
        <f>IFERROR(AJ116/AJ117*4,0)</f>
        <v/>
      </c>
      <c r="AK118" s="376">
        <f>IFERROR(AK116/AK117*4,0)</f>
        <v/>
      </c>
      <c r="AL118" s="376">
        <f>IFERROR(AL116/AL117*4,0)</f>
        <v/>
      </c>
      <c r="AM118" s="344">
        <f>IFERROR(AM116/AM117,0)</f>
        <v/>
      </c>
      <c r="AN118" s="376">
        <f>IFERROR(AN116/AN117*4,0)</f>
        <v/>
      </c>
      <c r="AO118" s="376">
        <f>IFERROR(AO116/AO117*4,0)</f>
        <v/>
      </c>
      <c r="AP118" s="376">
        <f>IFERROR(AP116/AP117*4,0)</f>
        <v/>
      </c>
      <c r="AQ118" s="376">
        <f>IFERROR(AQ116/AQ117*4,0)</f>
        <v/>
      </c>
      <c r="AR118" s="344">
        <f>IFERROR(AR116/AR117,0)</f>
        <v/>
      </c>
    </row>
    <row r="119" ht="13.5" customHeight="1" s="290">
      <c r="A119" s="345" t="n"/>
      <c r="B119" s="370" t="inlineStr">
        <is>
          <t xml:space="preserve">  Split Threshold 1 — Core</t>
        </is>
      </c>
      <c r="C119" s="371" t="inlineStr">
        <is>
          <t>$K GCI/yr</t>
        </is>
      </c>
      <c r="D119" s="394" t="inlineStr">
        <is>
          <t>← Tab 03 row 265 col E</t>
        </is>
      </c>
      <c r="E119" s="361">
        <f>'03 Operational Assumptions'!E265</f>
        <v/>
      </c>
      <c r="F119" s="361">
        <f>'03 Operational Assumptions'!E265</f>
        <v/>
      </c>
      <c r="G119" s="361">
        <f>'03 Operational Assumptions'!E265</f>
        <v/>
      </c>
      <c r="H119" s="361">
        <f>'03 Operational Assumptions'!E265</f>
        <v/>
      </c>
      <c r="I119" s="361">
        <f>'03 Operational Assumptions'!E265</f>
        <v/>
      </c>
      <c r="J119" s="361">
        <f>'03 Operational Assumptions'!E265</f>
        <v/>
      </c>
      <c r="K119" s="361">
        <f>'03 Operational Assumptions'!E265</f>
        <v/>
      </c>
      <c r="L119" s="361">
        <f>'03 Operational Assumptions'!E265</f>
        <v/>
      </c>
      <c r="M119" s="361">
        <f>'03 Operational Assumptions'!E265</f>
        <v/>
      </c>
      <c r="N119" s="361">
        <f>'03 Operational Assumptions'!E265</f>
        <v/>
      </c>
      <c r="O119" s="361">
        <f>'03 Operational Assumptions'!E265</f>
        <v/>
      </c>
      <c r="P119" s="361">
        <f>'03 Operational Assumptions'!E265</f>
        <v/>
      </c>
      <c r="Q119" s="361">
        <f>'03 Operational Assumptions'!E265</f>
        <v/>
      </c>
      <c r="R119" s="361">
        <f>'03 Operational Assumptions'!E265</f>
        <v/>
      </c>
      <c r="S119" s="361">
        <f>'03 Operational Assumptions'!E265</f>
        <v/>
      </c>
      <c r="T119" s="361">
        <f>'03 Operational Assumptions'!E265</f>
        <v/>
      </c>
      <c r="U119" s="361">
        <f>'03 Operational Assumptions'!E265</f>
        <v/>
      </c>
      <c r="V119" s="361">
        <f>'03 Operational Assumptions'!E265</f>
        <v/>
      </c>
      <c r="W119" s="361">
        <f>'03 Operational Assumptions'!E265</f>
        <v/>
      </c>
      <c r="X119" s="361">
        <f>'03 Operational Assumptions'!E265</f>
        <v/>
      </c>
      <c r="Y119" s="361">
        <f>'03 Operational Assumptions'!E265</f>
        <v/>
      </c>
      <c r="Z119" s="361">
        <f>'03 Operational Assumptions'!E265</f>
        <v/>
      </c>
      <c r="AA119" s="361">
        <f>'03 Operational Assumptions'!E265</f>
        <v/>
      </c>
      <c r="AB119" s="361">
        <f>'03 Operational Assumptions'!E265</f>
        <v/>
      </c>
      <c r="AC119" s="361">
        <f>'03 Operational Assumptions'!E265</f>
        <v/>
      </c>
      <c r="AD119" s="361">
        <f>'03 Operational Assumptions'!E265</f>
        <v/>
      </c>
      <c r="AE119" s="361">
        <f>'03 Operational Assumptions'!E265</f>
        <v/>
      </c>
      <c r="AF119" s="361">
        <f>'03 Operational Assumptions'!E265</f>
        <v/>
      </c>
      <c r="AG119" s="361">
        <f>'03 Operational Assumptions'!E265</f>
        <v/>
      </c>
      <c r="AH119" s="361">
        <f>'03 Operational Assumptions'!E265</f>
        <v/>
      </c>
      <c r="AI119" s="361">
        <f>'03 Operational Assumptions'!E265</f>
        <v/>
      </c>
      <c r="AJ119" s="361">
        <f>'03 Operational Assumptions'!E265</f>
        <v/>
      </c>
      <c r="AK119" s="361">
        <f>'03 Operational Assumptions'!E265</f>
        <v/>
      </c>
      <c r="AL119" s="361">
        <f>'03 Operational Assumptions'!E265</f>
        <v/>
      </c>
      <c r="AM119" s="361">
        <f>'03 Operational Assumptions'!E265</f>
        <v/>
      </c>
      <c r="AN119" s="361">
        <f>'03 Operational Assumptions'!E265</f>
        <v/>
      </c>
      <c r="AO119" s="361">
        <f>'03 Operational Assumptions'!E265</f>
        <v/>
      </c>
      <c r="AP119" s="361">
        <f>'03 Operational Assumptions'!E265</f>
        <v/>
      </c>
      <c r="AQ119" s="361">
        <f>'03 Operational Assumptions'!E265</f>
        <v/>
      </c>
      <c r="AR119" s="361">
        <f>'03 Operational Assumptions'!E265</f>
        <v/>
      </c>
    </row>
    <row r="120" ht="13.5" customHeight="1" s="290">
      <c r="A120" s="345" t="n"/>
      <c r="B120" s="370" t="inlineStr">
        <is>
          <t xml:space="preserve">  Split % at T1 (S1) — Core</t>
        </is>
      </c>
      <c r="C120" s="371" t="inlineStr">
        <is>
          <t>%</t>
        </is>
      </c>
      <c r="D120" s="394" t="inlineStr">
        <is>
          <t>← Tab 03 row 265 col F</t>
        </is>
      </c>
      <c r="E120" s="361">
        <f>'03 Operational Assumptions'!F265</f>
        <v/>
      </c>
      <c r="F120" s="361">
        <f>'03 Operational Assumptions'!F265</f>
        <v/>
      </c>
      <c r="G120" s="361">
        <f>'03 Operational Assumptions'!F265</f>
        <v/>
      </c>
      <c r="H120" s="361">
        <f>'03 Operational Assumptions'!F265</f>
        <v/>
      </c>
      <c r="I120" s="361">
        <f>'03 Operational Assumptions'!F265</f>
        <v/>
      </c>
      <c r="J120" s="361">
        <f>'03 Operational Assumptions'!F265</f>
        <v/>
      </c>
      <c r="K120" s="361">
        <f>'03 Operational Assumptions'!F265</f>
        <v/>
      </c>
      <c r="L120" s="361">
        <f>'03 Operational Assumptions'!F265</f>
        <v/>
      </c>
      <c r="M120" s="361">
        <f>'03 Operational Assumptions'!F265</f>
        <v/>
      </c>
      <c r="N120" s="361">
        <f>'03 Operational Assumptions'!F265</f>
        <v/>
      </c>
      <c r="O120" s="361">
        <f>'03 Operational Assumptions'!F265</f>
        <v/>
      </c>
      <c r="P120" s="361">
        <f>'03 Operational Assumptions'!F265</f>
        <v/>
      </c>
      <c r="Q120" s="361">
        <f>'03 Operational Assumptions'!F265</f>
        <v/>
      </c>
      <c r="R120" s="361">
        <f>'03 Operational Assumptions'!F265</f>
        <v/>
      </c>
      <c r="S120" s="361">
        <f>'03 Operational Assumptions'!F265</f>
        <v/>
      </c>
      <c r="T120" s="361">
        <f>'03 Operational Assumptions'!F265</f>
        <v/>
      </c>
      <c r="U120" s="361">
        <f>'03 Operational Assumptions'!F265</f>
        <v/>
      </c>
      <c r="V120" s="361">
        <f>'03 Operational Assumptions'!F265</f>
        <v/>
      </c>
      <c r="W120" s="361">
        <f>'03 Operational Assumptions'!F265</f>
        <v/>
      </c>
      <c r="X120" s="361">
        <f>'03 Operational Assumptions'!F265</f>
        <v/>
      </c>
      <c r="Y120" s="361">
        <f>'03 Operational Assumptions'!F265</f>
        <v/>
      </c>
      <c r="Z120" s="361">
        <f>'03 Operational Assumptions'!F265</f>
        <v/>
      </c>
      <c r="AA120" s="361">
        <f>'03 Operational Assumptions'!F265</f>
        <v/>
      </c>
      <c r="AB120" s="361">
        <f>'03 Operational Assumptions'!F265</f>
        <v/>
      </c>
      <c r="AC120" s="361">
        <f>'03 Operational Assumptions'!F265</f>
        <v/>
      </c>
      <c r="AD120" s="361">
        <f>'03 Operational Assumptions'!F265</f>
        <v/>
      </c>
      <c r="AE120" s="361">
        <f>'03 Operational Assumptions'!F265</f>
        <v/>
      </c>
      <c r="AF120" s="361">
        <f>'03 Operational Assumptions'!F265</f>
        <v/>
      </c>
      <c r="AG120" s="361">
        <f>'03 Operational Assumptions'!F265</f>
        <v/>
      </c>
      <c r="AH120" s="361">
        <f>'03 Operational Assumptions'!F265</f>
        <v/>
      </c>
      <c r="AI120" s="361">
        <f>'03 Operational Assumptions'!F265</f>
        <v/>
      </c>
      <c r="AJ120" s="361">
        <f>'03 Operational Assumptions'!F265</f>
        <v/>
      </c>
      <c r="AK120" s="361">
        <f>'03 Operational Assumptions'!F265</f>
        <v/>
      </c>
      <c r="AL120" s="361">
        <f>'03 Operational Assumptions'!F265</f>
        <v/>
      </c>
      <c r="AM120" s="361">
        <f>'03 Operational Assumptions'!F265</f>
        <v/>
      </c>
      <c r="AN120" s="361">
        <f>'03 Operational Assumptions'!F265</f>
        <v/>
      </c>
      <c r="AO120" s="361">
        <f>'03 Operational Assumptions'!F265</f>
        <v/>
      </c>
      <c r="AP120" s="361">
        <f>'03 Operational Assumptions'!F265</f>
        <v/>
      </c>
      <c r="AQ120" s="361">
        <f>'03 Operational Assumptions'!F265</f>
        <v/>
      </c>
      <c r="AR120" s="361">
        <f>'03 Operational Assumptions'!F265</f>
        <v/>
      </c>
    </row>
    <row r="121" ht="13.5" customHeight="1" s="290">
      <c r="A121" s="345" t="n"/>
      <c r="B121" s="370" t="inlineStr">
        <is>
          <t xml:space="preserve">  Split Threshold 2 — Core</t>
        </is>
      </c>
      <c r="C121" s="371" t="inlineStr">
        <is>
          <t>$K GCI/yr</t>
        </is>
      </c>
      <c r="D121" s="394" t="inlineStr">
        <is>
          <t>← Tab 03 row 265 col G</t>
        </is>
      </c>
      <c r="E121" s="361">
        <f>'03 Operational Assumptions'!G265</f>
        <v/>
      </c>
      <c r="F121" s="361">
        <f>'03 Operational Assumptions'!G265</f>
        <v/>
      </c>
      <c r="G121" s="361">
        <f>'03 Operational Assumptions'!G265</f>
        <v/>
      </c>
      <c r="H121" s="361">
        <f>'03 Operational Assumptions'!G265</f>
        <v/>
      </c>
      <c r="I121" s="361">
        <f>'03 Operational Assumptions'!G265</f>
        <v/>
      </c>
      <c r="J121" s="361">
        <f>'03 Operational Assumptions'!G265</f>
        <v/>
      </c>
      <c r="K121" s="361">
        <f>'03 Operational Assumptions'!G265</f>
        <v/>
      </c>
      <c r="L121" s="361">
        <f>'03 Operational Assumptions'!G265</f>
        <v/>
      </c>
      <c r="M121" s="361">
        <f>'03 Operational Assumptions'!G265</f>
        <v/>
      </c>
      <c r="N121" s="361">
        <f>'03 Operational Assumptions'!G265</f>
        <v/>
      </c>
      <c r="O121" s="361">
        <f>'03 Operational Assumptions'!G265</f>
        <v/>
      </c>
      <c r="P121" s="361">
        <f>'03 Operational Assumptions'!G265</f>
        <v/>
      </c>
      <c r="Q121" s="361">
        <f>'03 Operational Assumptions'!G265</f>
        <v/>
      </c>
      <c r="R121" s="361">
        <f>'03 Operational Assumptions'!G265</f>
        <v/>
      </c>
      <c r="S121" s="361">
        <f>'03 Operational Assumptions'!G265</f>
        <v/>
      </c>
      <c r="T121" s="361">
        <f>'03 Operational Assumptions'!G265</f>
        <v/>
      </c>
      <c r="U121" s="361">
        <f>'03 Operational Assumptions'!G265</f>
        <v/>
      </c>
      <c r="V121" s="361">
        <f>'03 Operational Assumptions'!G265</f>
        <v/>
      </c>
      <c r="W121" s="361">
        <f>'03 Operational Assumptions'!G265</f>
        <v/>
      </c>
      <c r="X121" s="361">
        <f>'03 Operational Assumptions'!G265</f>
        <v/>
      </c>
      <c r="Y121" s="361">
        <f>'03 Operational Assumptions'!G265</f>
        <v/>
      </c>
      <c r="Z121" s="361">
        <f>'03 Operational Assumptions'!G265</f>
        <v/>
      </c>
      <c r="AA121" s="361">
        <f>'03 Operational Assumptions'!G265</f>
        <v/>
      </c>
      <c r="AB121" s="361">
        <f>'03 Operational Assumptions'!G265</f>
        <v/>
      </c>
      <c r="AC121" s="361">
        <f>'03 Operational Assumptions'!G265</f>
        <v/>
      </c>
      <c r="AD121" s="361">
        <f>'03 Operational Assumptions'!G265</f>
        <v/>
      </c>
      <c r="AE121" s="361">
        <f>'03 Operational Assumptions'!G265</f>
        <v/>
      </c>
      <c r="AF121" s="361">
        <f>'03 Operational Assumptions'!G265</f>
        <v/>
      </c>
      <c r="AG121" s="361">
        <f>'03 Operational Assumptions'!G265</f>
        <v/>
      </c>
      <c r="AH121" s="361">
        <f>'03 Operational Assumptions'!G265</f>
        <v/>
      </c>
      <c r="AI121" s="361">
        <f>'03 Operational Assumptions'!G265</f>
        <v/>
      </c>
      <c r="AJ121" s="361">
        <f>'03 Operational Assumptions'!G265</f>
        <v/>
      </c>
      <c r="AK121" s="361">
        <f>'03 Operational Assumptions'!G265</f>
        <v/>
      </c>
      <c r="AL121" s="361">
        <f>'03 Operational Assumptions'!G265</f>
        <v/>
      </c>
      <c r="AM121" s="361">
        <f>'03 Operational Assumptions'!G265</f>
        <v/>
      </c>
      <c r="AN121" s="361">
        <f>'03 Operational Assumptions'!G265</f>
        <v/>
      </c>
      <c r="AO121" s="361">
        <f>'03 Operational Assumptions'!G265</f>
        <v/>
      </c>
      <c r="AP121" s="361">
        <f>'03 Operational Assumptions'!G265</f>
        <v/>
      </c>
      <c r="AQ121" s="361">
        <f>'03 Operational Assumptions'!G265</f>
        <v/>
      </c>
      <c r="AR121" s="361">
        <f>'03 Operational Assumptions'!G265</f>
        <v/>
      </c>
    </row>
    <row r="122" ht="13.5" customHeight="1" s="290">
      <c r="A122" s="345" t="n"/>
      <c r="B122" s="370" t="inlineStr">
        <is>
          <t xml:space="preserve">  Split % at T2 (S2) — Core</t>
        </is>
      </c>
      <c r="C122" s="371" t="inlineStr">
        <is>
          <t>%</t>
        </is>
      </c>
      <c r="D122" s="394" t="inlineStr">
        <is>
          <t>← Tab 03 row 265 col H</t>
        </is>
      </c>
      <c r="E122" s="361">
        <f>'03 Operational Assumptions'!H265</f>
        <v/>
      </c>
      <c r="F122" s="361">
        <f>'03 Operational Assumptions'!H265</f>
        <v/>
      </c>
      <c r="G122" s="361">
        <f>'03 Operational Assumptions'!H265</f>
        <v/>
      </c>
      <c r="H122" s="361">
        <f>'03 Operational Assumptions'!H265</f>
        <v/>
      </c>
      <c r="I122" s="361">
        <f>'03 Operational Assumptions'!H265</f>
        <v/>
      </c>
      <c r="J122" s="361">
        <f>'03 Operational Assumptions'!H265</f>
        <v/>
      </c>
      <c r="K122" s="361">
        <f>'03 Operational Assumptions'!H265</f>
        <v/>
      </c>
      <c r="L122" s="361">
        <f>'03 Operational Assumptions'!H265</f>
        <v/>
      </c>
      <c r="M122" s="361">
        <f>'03 Operational Assumptions'!H265</f>
        <v/>
      </c>
      <c r="N122" s="361">
        <f>'03 Operational Assumptions'!H265</f>
        <v/>
      </c>
      <c r="O122" s="361">
        <f>'03 Operational Assumptions'!H265</f>
        <v/>
      </c>
      <c r="P122" s="361">
        <f>'03 Operational Assumptions'!H265</f>
        <v/>
      </c>
      <c r="Q122" s="361">
        <f>'03 Operational Assumptions'!H265</f>
        <v/>
      </c>
      <c r="R122" s="361">
        <f>'03 Operational Assumptions'!H265</f>
        <v/>
      </c>
      <c r="S122" s="361">
        <f>'03 Operational Assumptions'!H265</f>
        <v/>
      </c>
      <c r="T122" s="361">
        <f>'03 Operational Assumptions'!H265</f>
        <v/>
      </c>
      <c r="U122" s="361">
        <f>'03 Operational Assumptions'!H265</f>
        <v/>
      </c>
      <c r="V122" s="361">
        <f>'03 Operational Assumptions'!H265</f>
        <v/>
      </c>
      <c r="W122" s="361">
        <f>'03 Operational Assumptions'!H265</f>
        <v/>
      </c>
      <c r="X122" s="361">
        <f>'03 Operational Assumptions'!H265</f>
        <v/>
      </c>
      <c r="Y122" s="361">
        <f>'03 Operational Assumptions'!H265</f>
        <v/>
      </c>
      <c r="Z122" s="361">
        <f>'03 Operational Assumptions'!H265</f>
        <v/>
      </c>
      <c r="AA122" s="361">
        <f>'03 Operational Assumptions'!H265</f>
        <v/>
      </c>
      <c r="AB122" s="361">
        <f>'03 Operational Assumptions'!H265</f>
        <v/>
      </c>
      <c r="AC122" s="361">
        <f>'03 Operational Assumptions'!H265</f>
        <v/>
      </c>
      <c r="AD122" s="361">
        <f>'03 Operational Assumptions'!H265</f>
        <v/>
      </c>
      <c r="AE122" s="361">
        <f>'03 Operational Assumptions'!H265</f>
        <v/>
      </c>
      <c r="AF122" s="361">
        <f>'03 Operational Assumptions'!H265</f>
        <v/>
      </c>
      <c r="AG122" s="361">
        <f>'03 Operational Assumptions'!H265</f>
        <v/>
      </c>
      <c r="AH122" s="361">
        <f>'03 Operational Assumptions'!H265</f>
        <v/>
      </c>
      <c r="AI122" s="361">
        <f>'03 Operational Assumptions'!H265</f>
        <v/>
      </c>
      <c r="AJ122" s="361">
        <f>'03 Operational Assumptions'!H265</f>
        <v/>
      </c>
      <c r="AK122" s="361">
        <f>'03 Operational Assumptions'!H265</f>
        <v/>
      </c>
      <c r="AL122" s="361">
        <f>'03 Operational Assumptions'!H265</f>
        <v/>
      </c>
      <c r="AM122" s="361">
        <f>'03 Operational Assumptions'!H265</f>
        <v/>
      </c>
      <c r="AN122" s="361">
        <f>'03 Operational Assumptions'!H265</f>
        <v/>
      </c>
      <c r="AO122" s="361">
        <f>'03 Operational Assumptions'!H265</f>
        <v/>
      </c>
      <c r="AP122" s="361">
        <f>'03 Operational Assumptions'!H265</f>
        <v/>
      </c>
      <c r="AQ122" s="361">
        <f>'03 Operational Assumptions'!H265</f>
        <v/>
      </c>
      <c r="AR122" s="361">
        <f>'03 Operational Assumptions'!H265</f>
        <v/>
      </c>
    </row>
    <row r="123" ht="13.5" customHeight="1" s="290">
      <c r="A123" s="345" t="n"/>
      <c r="B123" s="370" t="inlineStr">
        <is>
          <t xml:space="preserve">  Split % Above T2 (S3) — Core</t>
        </is>
      </c>
      <c r="C123" s="371" t="inlineStr">
        <is>
          <t>%</t>
        </is>
      </c>
      <c r="D123" s="394" t="inlineStr">
        <is>
          <t>← Tab 03 row 265 col J</t>
        </is>
      </c>
      <c r="E123" s="361">
        <f>'03 Operational Assumptions'!J265</f>
        <v/>
      </c>
      <c r="F123" s="361">
        <f>'03 Operational Assumptions'!J265</f>
        <v/>
      </c>
      <c r="G123" s="361">
        <f>'03 Operational Assumptions'!J265</f>
        <v/>
      </c>
      <c r="H123" s="361">
        <f>'03 Operational Assumptions'!J265</f>
        <v/>
      </c>
      <c r="I123" s="361">
        <f>'03 Operational Assumptions'!J265</f>
        <v/>
      </c>
      <c r="J123" s="361">
        <f>'03 Operational Assumptions'!J265</f>
        <v/>
      </c>
      <c r="K123" s="361">
        <f>'03 Operational Assumptions'!J265</f>
        <v/>
      </c>
      <c r="L123" s="361">
        <f>'03 Operational Assumptions'!J265</f>
        <v/>
      </c>
      <c r="M123" s="361">
        <f>'03 Operational Assumptions'!J265</f>
        <v/>
      </c>
      <c r="N123" s="361">
        <f>'03 Operational Assumptions'!J265</f>
        <v/>
      </c>
      <c r="O123" s="361">
        <f>'03 Operational Assumptions'!J265</f>
        <v/>
      </c>
      <c r="P123" s="361">
        <f>'03 Operational Assumptions'!J265</f>
        <v/>
      </c>
      <c r="Q123" s="361">
        <f>'03 Operational Assumptions'!J265</f>
        <v/>
      </c>
      <c r="R123" s="361">
        <f>'03 Operational Assumptions'!J265</f>
        <v/>
      </c>
      <c r="S123" s="361">
        <f>'03 Operational Assumptions'!J265</f>
        <v/>
      </c>
      <c r="T123" s="361">
        <f>'03 Operational Assumptions'!J265</f>
        <v/>
      </c>
      <c r="U123" s="361">
        <f>'03 Operational Assumptions'!J265</f>
        <v/>
      </c>
      <c r="V123" s="361">
        <f>'03 Operational Assumptions'!J265</f>
        <v/>
      </c>
      <c r="W123" s="361">
        <f>'03 Operational Assumptions'!J265</f>
        <v/>
      </c>
      <c r="X123" s="361">
        <f>'03 Operational Assumptions'!J265</f>
        <v/>
      </c>
      <c r="Y123" s="361">
        <f>'03 Operational Assumptions'!J265</f>
        <v/>
      </c>
      <c r="Z123" s="361">
        <f>'03 Operational Assumptions'!J265</f>
        <v/>
      </c>
      <c r="AA123" s="361">
        <f>'03 Operational Assumptions'!J265</f>
        <v/>
      </c>
      <c r="AB123" s="361">
        <f>'03 Operational Assumptions'!J265</f>
        <v/>
      </c>
      <c r="AC123" s="361">
        <f>'03 Operational Assumptions'!J265</f>
        <v/>
      </c>
      <c r="AD123" s="361">
        <f>'03 Operational Assumptions'!J265</f>
        <v/>
      </c>
      <c r="AE123" s="361">
        <f>'03 Operational Assumptions'!J265</f>
        <v/>
      </c>
      <c r="AF123" s="361">
        <f>'03 Operational Assumptions'!J265</f>
        <v/>
      </c>
      <c r="AG123" s="361">
        <f>'03 Operational Assumptions'!J265</f>
        <v/>
      </c>
      <c r="AH123" s="361">
        <f>'03 Operational Assumptions'!J265</f>
        <v/>
      </c>
      <c r="AI123" s="361">
        <f>'03 Operational Assumptions'!J265</f>
        <v/>
      </c>
      <c r="AJ123" s="361">
        <f>'03 Operational Assumptions'!J265</f>
        <v/>
      </c>
      <c r="AK123" s="361">
        <f>'03 Operational Assumptions'!J265</f>
        <v/>
      </c>
      <c r="AL123" s="361">
        <f>'03 Operational Assumptions'!J265</f>
        <v/>
      </c>
      <c r="AM123" s="361">
        <f>'03 Operational Assumptions'!J265</f>
        <v/>
      </c>
      <c r="AN123" s="361">
        <f>'03 Operational Assumptions'!J265</f>
        <v/>
      </c>
      <c r="AO123" s="361">
        <f>'03 Operational Assumptions'!J265</f>
        <v/>
      </c>
      <c r="AP123" s="361">
        <f>'03 Operational Assumptions'!J265</f>
        <v/>
      </c>
      <c r="AQ123" s="361">
        <f>'03 Operational Assumptions'!J265</f>
        <v/>
      </c>
      <c r="AR123" s="361">
        <f>'03 Operational Assumptions'!J265</f>
        <v/>
      </c>
    </row>
    <row r="124" ht="13.5" customHeight="1" s="290">
      <c r="A124" s="395" t="n"/>
      <c r="B124" s="373" t="inlineStr">
        <is>
          <t xml:space="preserve">  Applied Split % — Core</t>
        </is>
      </c>
      <c r="C124" s="374" t="inlineStr">
        <is>
          <t>%</t>
        </is>
      </c>
      <c r="D124" s="396" t="inlineStr">
        <is>
          <t xml:space="preserve"> IF(gci/epe≤T1→S1, IF(≤T2→S2, S3)),TRUE())</t>
        </is>
      </c>
      <c r="E124" s="376">
        <f>IF(E118&lt;=E119,E120,IF(E118&lt;=E121,E122,E123))</f>
        <v/>
      </c>
      <c r="F124" s="376">
        <f>IF(F118&lt;=F119,F120,IF(F118&lt;=F121,F122,F123))</f>
        <v/>
      </c>
      <c r="G124" s="376">
        <f>IF(G118&lt;=G119,G120,IF(G118&lt;=G121,G122,G123))</f>
        <v/>
      </c>
      <c r="H124" s="376">
        <f>IF(H118&lt;=H119,H120,IF(H118&lt;=H121,H122,H123))</f>
        <v/>
      </c>
      <c r="I124" s="344">
        <f>IF(I118&lt;=I119,I120,IF(I118&lt;=I121,I122,I123))</f>
        <v/>
      </c>
      <c r="J124" s="376">
        <f>IF(J118&lt;=J119,J120,IF(J118&lt;=J121,J122,J123))</f>
        <v/>
      </c>
      <c r="K124" s="376">
        <f>IF(K118&lt;=K119,K120,IF(K118&lt;=K121,K122,K123))</f>
        <v/>
      </c>
      <c r="L124" s="376">
        <f>IF(L118&lt;=L119,L120,IF(L118&lt;=L121,L122,L123))</f>
        <v/>
      </c>
      <c r="M124" s="376">
        <f>IF(M118&lt;=M119,M120,IF(M118&lt;=M121,M122,M123))</f>
        <v/>
      </c>
      <c r="N124" s="344">
        <f>IF(N118&lt;=N119,N120,IF(N118&lt;=N121,N122,N123))</f>
        <v/>
      </c>
      <c r="O124" s="376">
        <f>IF(O118&lt;=O119,O120,IF(O118&lt;=O121,O122,O123))</f>
        <v/>
      </c>
      <c r="P124" s="376">
        <f>IF(P118&lt;=P119,P120,IF(P118&lt;=P121,P122,P123))</f>
        <v/>
      </c>
      <c r="Q124" s="376">
        <f>IF(Q118&lt;=Q119,Q120,IF(Q118&lt;=Q121,Q122,Q123))</f>
        <v/>
      </c>
      <c r="R124" s="376">
        <f>IF(R118&lt;=R119,R120,IF(R118&lt;=R121,R122,R123))</f>
        <v/>
      </c>
      <c r="S124" s="344">
        <f>IF(S118&lt;=S119,S120,IF(S118&lt;=S121,S122,S123))</f>
        <v/>
      </c>
      <c r="T124" s="376">
        <f>IF(T118&lt;=T119,T120,IF(T118&lt;=T121,T122,T123))</f>
        <v/>
      </c>
      <c r="U124" s="376">
        <f>IF(U118&lt;=U119,U120,IF(U118&lt;=U121,U122,U123))</f>
        <v/>
      </c>
      <c r="V124" s="376">
        <f>IF(V118&lt;=V119,V120,IF(V118&lt;=V121,V122,V123))</f>
        <v/>
      </c>
      <c r="W124" s="376">
        <f>IF(W118&lt;=W119,W120,IF(W118&lt;=W121,W122,W123))</f>
        <v/>
      </c>
      <c r="X124" s="344">
        <f>IF(X118&lt;=X119,X120,IF(X118&lt;=X121,X122,X123))</f>
        <v/>
      </c>
      <c r="Y124" s="376">
        <f>IF(Y118&lt;=Y119,Y120,IF(Y118&lt;=Y121,Y122,Y123))</f>
        <v/>
      </c>
      <c r="Z124" s="376">
        <f>IF(Z118&lt;=Z119,Z120,IF(Z118&lt;=Z121,Z122,Z123))</f>
        <v/>
      </c>
      <c r="AA124" s="376">
        <f>IF(AA118&lt;=AA119,AA120,IF(AA118&lt;=AA121,AA122,AA123))</f>
        <v/>
      </c>
      <c r="AB124" s="376">
        <f>IF(AB118&lt;=AB119,AB120,IF(AB118&lt;=AB121,AB122,AB123))</f>
        <v/>
      </c>
      <c r="AC124" s="344">
        <f>IF(AC118&lt;=AC119,AC120,IF(AC118&lt;=AC121,AC122,AC123))</f>
        <v/>
      </c>
      <c r="AD124" s="376">
        <f>IF(AD118&lt;=AD119,AD120,IF(AD118&lt;=AD121,AD122,AD123))</f>
        <v/>
      </c>
      <c r="AE124" s="376">
        <f>IF(AE118&lt;=AE119,AE120,IF(AE118&lt;=AE121,AE122,AE123))</f>
        <v/>
      </c>
      <c r="AF124" s="376">
        <f>IF(AF118&lt;=AF119,AF120,IF(AF118&lt;=AF121,AF122,AF123))</f>
        <v/>
      </c>
      <c r="AG124" s="376">
        <f>IF(AG118&lt;=AG119,AG120,IF(AG118&lt;=AG121,AG122,AG123))</f>
        <v/>
      </c>
      <c r="AH124" s="344">
        <f>IF(AH118&lt;=AH119,AH120,IF(AH118&lt;=AH121,AH122,AH123))</f>
        <v/>
      </c>
      <c r="AI124" s="376">
        <f>IF(AI118&lt;=AI119,AI120,IF(AI118&lt;=AI121,AI122,AI123))</f>
        <v/>
      </c>
      <c r="AJ124" s="376">
        <f>IF(AJ118&lt;=AJ119,AJ120,IF(AJ118&lt;=AJ121,AJ122,AJ123))</f>
        <v/>
      </c>
      <c r="AK124" s="376">
        <f>IF(AK118&lt;=AK119,AK120,IF(AK118&lt;=AK121,AK122,AK123))</f>
        <v/>
      </c>
      <c r="AL124" s="376">
        <f>IF(AL118&lt;=AL119,AL120,IF(AL118&lt;=AL121,AL122,AL123))</f>
        <v/>
      </c>
      <c r="AM124" s="344">
        <f>IF(AM118&lt;=AM119,AM120,IF(AM118&lt;=AM121,AM122,AM123))</f>
        <v/>
      </c>
      <c r="AN124" s="376">
        <f>IF(AN118&lt;=AN119,AN120,IF(AN118&lt;=AN121,AN122,AN123))</f>
        <v/>
      </c>
      <c r="AO124" s="376">
        <f>IF(AO118&lt;=AO119,AO120,IF(AO118&lt;=AO121,AO122,AO123))</f>
        <v/>
      </c>
      <c r="AP124" s="376">
        <f>IF(AP118&lt;=AP119,AP120,IF(AP118&lt;=AP121,AP122,AP123))</f>
        <v/>
      </c>
      <c r="AQ124" s="376">
        <f>IF(AQ118&lt;=AQ119,AQ120,IF(AQ118&lt;=AQ121,AQ122,AQ123))</f>
        <v/>
      </c>
      <c r="AR124" s="344">
        <f>IF(AR118&lt;=AR119,AR120,IF(AR118&lt;=AR121,AR122,AR123))</f>
        <v/>
      </c>
    </row>
    <row r="125" ht="13.5" customHeight="1" s="290">
      <c r="A125" s="395" t="n"/>
      <c r="B125" s="402" t="inlineStr">
        <is>
          <t xml:space="preserve">  ★ Producer Payout — Core</t>
        </is>
      </c>
      <c r="C125" s="374" t="inlineStr">
        <is>
          <t>$K</t>
        </is>
      </c>
      <c r="D125" s="396" t="inlineStr">
        <is>
          <t xml:space="preserve"> tier gci × Applied Split %</t>
        </is>
      </c>
      <c r="E125" s="403">
        <f>E116*E124</f>
        <v/>
      </c>
      <c r="F125" s="403">
        <f>F116*F124</f>
        <v/>
      </c>
      <c r="G125" s="403">
        <f>G116*G124</f>
        <v/>
      </c>
      <c r="H125" s="403">
        <f>H116*H124</f>
        <v/>
      </c>
      <c r="I125" s="387">
        <f>SUM(E125:H125)</f>
        <v/>
      </c>
      <c r="J125" s="403">
        <f>J116*J124</f>
        <v/>
      </c>
      <c r="K125" s="403">
        <f>K116*K124</f>
        <v/>
      </c>
      <c r="L125" s="403">
        <f>L116*L124</f>
        <v/>
      </c>
      <c r="M125" s="403">
        <f>M116*M124</f>
        <v/>
      </c>
      <c r="N125" s="387">
        <f>SUM(J125:M125)</f>
        <v/>
      </c>
      <c r="O125" s="403">
        <f>O116*O124</f>
        <v/>
      </c>
      <c r="P125" s="403">
        <f>P116*P124</f>
        <v/>
      </c>
      <c r="Q125" s="403">
        <f>Q116*Q124</f>
        <v/>
      </c>
      <c r="R125" s="403">
        <f>R116*R124</f>
        <v/>
      </c>
      <c r="S125" s="387">
        <f>SUM(O125:R125)</f>
        <v/>
      </c>
      <c r="T125" s="403">
        <f>T116*T124</f>
        <v/>
      </c>
      <c r="U125" s="403">
        <f>U116*U124</f>
        <v/>
      </c>
      <c r="V125" s="403">
        <f>V116*V124</f>
        <v/>
      </c>
      <c r="W125" s="403">
        <f>W116*W124</f>
        <v/>
      </c>
      <c r="X125" s="387">
        <f>SUM(T125:W125)</f>
        <v/>
      </c>
      <c r="Y125" s="403">
        <f>Y116*Y124</f>
        <v/>
      </c>
      <c r="Z125" s="403">
        <f>Z116*Z124</f>
        <v/>
      </c>
      <c r="AA125" s="403">
        <f>AA116*AA124</f>
        <v/>
      </c>
      <c r="AB125" s="403">
        <f>AB116*AB124</f>
        <v/>
      </c>
      <c r="AC125" s="387">
        <f>SUM(Y125:AB125)</f>
        <v/>
      </c>
      <c r="AD125" s="403">
        <f>AD116*AD124</f>
        <v/>
      </c>
      <c r="AE125" s="403">
        <f>AE116*AE124</f>
        <v/>
      </c>
      <c r="AF125" s="403">
        <f>AF116*AF124</f>
        <v/>
      </c>
      <c r="AG125" s="403">
        <f>AG116*AG124</f>
        <v/>
      </c>
      <c r="AH125" s="387">
        <f>SUM(AD125:AG125)</f>
        <v/>
      </c>
      <c r="AI125" s="403">
        <f>AI116*AI124</f>
        <v/>
      </c>
      <c r="AJ125" s="403">
        <f>AJ116*AJ124</f>
        <v/>
      </c>
      <c r="AK125" s="403">
        <f>AK116*AK124</f>
        <v/>
      </c>
      <c r="AL125" s="403">
        <f>AL116*AL124</f>
        <v/>
      </c>
      <c r="AM125" s="387">
        <f>SUM(AI125:AL125)</f>
        <v/>
      </c>
      <c r="AN125" s="403">
        <f>AN116*AN124</f>
        <v/>
      </c>
      <c r="AO125" s="403">
        <f>AO116*AO124</f>
        <v/>
      </c>
      <c r="AP125" s="403">
        <f>AP116*AP124</f>
        <v/>
      </c>
      <c r="AQ125" s="403">
        <f>AQ116*AQ124</f>
        <v/>
      </c>
      <c r="AR125" s="387">
        <f>SUM(AN125:AQ125)</f>
        <v/>
      </c>
    </row>
    <row r="126" ht="3.75" customHeight="1" s="290"/>
    <row r="127" ht="13.5" customHeight="1" s="290">
      <c r="A127" s="369" t="inlineStr">
        <is>
          <t xml:space="preserve">    ── Junior ──</t>
        </is>
      </c>
    </row>
    <row r="128" ht="13.5" customHeight="1" s="290">
      <c r="A128" s="395" t="n"/>
      <c r="B128" s="373" t="inlineStr">
        <is>
          <t xml:space="preserve">  Tier GCI — Junior</t>
        </is>
      </c>
      <c r="C128" s="374" t="inlineStr">
        <is>
          <t>$K</t>
        </is>
      </c>
      <c r="D128" s="396" t="inlineStr">
        <is>
          <t xml:space="preserve"> (tier share) × Net Debt &amp; Equity GCI</t>
        </is>
      </c>
      <c r="E128" s="376">
        <f>IFERROR('04 Producer Engine'!E145/'04 Producer Engine'!E211*'05 Revenue Engine'!E138,0)</f>
        <v/>
      </c>
      <c r="F128" s="376">
        <f>IFERROR('04 Producer Engine'!F145/'04 Producer Engine'!F211*'05 Revenue Engine'!F138,0)</f>
        <v/>
      </c>
      <c r="G128" s="376">
        <f>IFERROR('04 Producer Engine'!G145/'04 Producer Engine'!G211*'05 Revenue Engine'!G138,0)</f>
        <v/>
      </c>
      <c r="H128" s="376">
        <f>IFERROR('04 Producer Engine'!H145/'04 Producer Engine'!H211*'05 Revenue Engine'!H138,0)</f>
        <v/>
      </c>
      <c r="I128" s="344">
        <f>SUM(E128:H128)</f>
        <v/>
      </c>
      <c r="J128" s="376">
        <f>IFERROR('04 Producer Engine'!J145/'04 Producer Engine'!J211*'05 Revenue Engine'!J138,0)</f>
        <v/>
      </c>
      <c r="K128" s="376">
        <f>IFERROR('04 Producer Engine'!K145/'04 Producer Engine'!K211*'05 Revenue Engine'!K138,0)</f>
        <v/>
      </c>
      <c r="L128" s="376">
        <f>IFERROR('04 Producer Engine'!L145/'04 Producer Engine'!L211*'05 Revenue Engine'!L138,0)</f>
        <v/>
      </c>
      <c r="M128" s="376">
        <f>IFERROR('04 Producer Engine'!M145/'04 Producer Engine'!M211*'05 Revenue Engine'!M138,0)</f>
        <v/>
      </c>
      <c r="N128" s="344">
        <f>SUM(J128:M128)</f>
        <v/>
      </c>
      <c r="O128" s="376">
        <f>IFERROR('04 Producer Engine'!O145/'04 Producer Engine'!O211*'05 Revenue Engine'!O138,0)</f>
        <v/>
      </c>
      <c r="P128" s="376">
        <f>IFERROR('04 Producer Engine'!P145/'04 Producer Engine'!P211*'05 Revenue Engine'!P138,0)</f>
        <v/>
      </c>
      <c r="Q128" s="376">
        <f>IFERROR('04 Producer Engine'!Q145/'04 Producer Engine'!Q211*'05 Revenue Engine'!Q138,0)</f>
        <v/>
      </c>
      <c r="R128" s="376">
        <f>IFERROR('04 Producer Engine'!R145/'04 Producer Engine'!R211*'05 Revenue Engine'!R138,0)</f>
        <v/>
      </c>
      <c r="S128" s="344">
        <f>SUM(O128:R128)</f>
        <v/>
      </c>
      <c r="T128" s="376">
        <f>IFERROR('04 Producer Engine'!T145/'04 Producer Engine'!T211*'05 Revenue Engine'!T138,0)</f>
        <v/>
      </c>
      <c r="U128" s="376">
        <f>IFERROR('04 Producer Engine'!U145/'04 Producer Engine'!U211*'05 Revenue Engine'!U138,0)</f>
        <v/>
      </c>
      <c r="V128" s="376">
        <f>IFERROR('04 Producer Engine'!V145/'04 Producer Engine'!V211*'05 Revenue Engine'!V138,0)</f>
        <v/>
      </c>
      <c r="W128" s="376">
        <f>IFERROR('04 Producer Engine'!W145/'04 Producer Engine'!W211*'05 Revenue Engine'!W138,0)</f>
        <v/>
      </c>
      <c r="X128" s="344">
        <f>SUM(T128:W128)</f>
        <v/>
      </c>
      <c r="Y128" s="376">
        <f>IFERROR('04 Producer Engine'!Y145/'04 Producer Engine'!Y211*'05 Revenue Engine'!Y138,0)</f>
        <v/>
      </c>
      <c r="Z128" s="376">
        <f>IFERROR('04 Producer Engine'!Z145/'04 Producer Engine'!Z211*'05 Revenue Engine'!Z138,0)</f>
        <v/>
      </c>
      <c r="AA128" s="376">
        <f>IFERROR('04 Producer Engine'!AA145/'04 Producer Engine'!AA211*'05 Revenue Engine'!AA138,0)</f>
        <v/>
      </c>
      <c r="AB128" s="376">
        <f>IFERROR('04 Producer Engine'!AB145/'04 Producer Engine'!AB211*'05 Revenue Engine'!AB138,0)</f>
        <v/>
      </c>
      <c r="AC128" s="344">
        <f>SUM(Y128:AB128)</f>
        <v/>
      </c>
      <c r="AD128" s="376">
        <f>IFERROR('04 Producer Engine'!AD145/'04 Producer Engine'!AD211*'05 Revenue Engine'!AD138,0)</f>
        <v/>
      </c>
      <c r="AE128" s="376">
        <f>IFERROR('04 Producer Engine'!AE145/'04 Producer Engine'!AE211*'05 Revenue Engine'!AE138,0)</f>
        <v/>
      </c>
      <c r="AF128" s="376">
        <f>IFERROR('04 Producer Engine'!AF145/'04 Producer Engine'!AF211*'05 Revenue Engine'!AF138,0)</f>
        <v/>
      </c>
      <c r="AG128" s="376">
        <f>IFERROR('04 Producer Engine'!AG145/'04 Producer Engine'!AG211*'05 Revenue Engine'!AG138,0)</f>
        <v/>
      </c>
      <c r="AH128" s="344">
        <f>SUM(AD128:AG128)</f>
        <v/>
      </c>
      <c r="AI128" s="376">
        <f>IFERROR('04 Producer Engine'!AI145/'04 Producer Engine'!AI211*'05 Revenue Engine'!AI138,0)</f>
        <v/>
      </c>
      <c r="AJ128" s="376">
        <f>IFERROR('04 Producer Engine'!AJ145/'04 Producer Engine'!AJ211*'05 Revenue Engine'!AJ138,0)</f>
        <v/>
      </c>
      <c r="AK128" s="376">
        <f>IFERROR('04 Producer Engine'!AK145/'04 Producer Engine'!AK211*'05 Revenue Engine'!AK138,0)</f>
        <v/>
      </c>
      <c r="AL128" s="376">
        <f>IFERROR('04 Producer Engine'!AL145/'04 Producer Engine'!AL211*'05 Revenue Engine'!AL138,0)</f>
        <v/>
      </c>
      <c r="AM128" s="344">
        <f>SUM(AI128:AL128)</f>
        <v/>
      </c>
      <c r="AN128" s="376">
        <f>IFERROR('04 Producer Engine'!AN145/'04 Producer Engine'!AN211*'05 Revenue Engine'!AN138,0)</f>
        <v/>
      </c>
      <c r="AO128" s="376">
        <f>IFERROR('04 Producer Engine'!AO145/'04 Producer Engine'!AO211*'05 Revenue Engine'!AO138,0)</f>
        <v/>
      </c>
      <c r="AP128" s="376">
        <f>IFERROR('04 Producer Engine'!AP145/'04 Producer Engine'!AP211*'05 Revenue Engine'!AP138,0)</f>
        <v/>
      </c>
      <c r="AQ128" s="376">
        <f>IFERROR('04 Producer Engine'!AQ145/'04 Producer Engine'!AQ211*'05 Revenue Engine'!AQ138,0)</f>
        <v/>
      </c>
      <c r="AR128" s="344">
        <f>SUM(AN128:AQ128)</f>
        <v/>
      </c>
    </row>
    <row r="129" ht="13.5" customHeight="1" s="290">
      <c r="A129" s="345" t="n"/>
      <c r="B129" s="370" t="inlineStr">
        <is>
          <t xml:space="preserve">  EPE — Junior</t>
        </is>
      </c>
      <c r="C129" s="371" t="inlineStr">
        <is>
          <t>EPE</t>
        </is>
      </c>
      <c r="D129" s="394" t="inlineStr">
        <is>
          <t>← Tab 04 row 145</t>
        </is>
      </c>
      <c r="E129" s="361">
        <f>'04 Producer Engine'!E145</f>
        <v/>
      </c>
      <c r="F129" s="361">
        <f>'04 Producer Engine'!F145</f>
        <v/>
      </c>
      <c r="G129" s="361">
        <f>'04 Producer Engine'!G145</f>
        <v/>
      </c>
      <c r="H129" s="361">
        <f>'04 Producer Engine'!H145</f>
        <v/>
      </c>
      <c r="I129" s="361">
        <f>AVERAGE(E129:H129)</f>
        <v/>
      </c>
      <c r="J129" s="361">
        <f>'04 Producer Engine'!J145</f>
        <v/>
      </c>
      <c r="K129" s="361">
        <f>'04 Producer Engine'!K145</f>
        <v/>
      </c>
      <c r="L129" s="361">
        <f>'04 Producer Engine'!L145</f>
        <v/>
      </c>
      <c r="M129" s="361">
        <f>'04 Producer Engine'!M145</f>
        <v/>
      </c>
      <c r="N129" s="361">
        <f>AVERAGE(J129:M129)</f>
        <v/>
      </c>
      <c r="O129" s="361">
        <f>'04 Producer Engine'!O145</f>
        <v/>
      </c>
      <c r="P129" s="361">
        <f>'04 Producer Engine'!P145</f>
        <v/>
      </c>
      <c r="Q129" s="361">
        <f>'04 Producer Engine'!Q145</f>
        <v/>
      </c>
      <c r="R129" s="361">
        <f>'04 Producer Engine'!R145</f>
        <v/>
      </c>
      <c r="S129" s="361">
        <f>AVERAGE(O129:R129)</f>
        <v/>
      </c>
      <c r="T129" s="361">
        <f>'04 Producer Engine'!T145</f>
        <v/>
      </c>
      <c r="U129" s="361">
        <f>'04 Producer Engine'!U145</f>
        <v/>
      </c>
      <c r="V129" s="361">
        <f>'04 Producer Engine'!V145</f>
        <v/>
      </c>
      <c r="W129" s="361">
        <f>'04 Producer Engine'!W145</f>
        <v/>
      </c>
      <c r="X129" s="361">
        <f>AVERAGE(T129:W129)</f>
        <v/>
      </c>
      <c r="Y129" s="361">
        <f>'04 Producer Engine'!Y145</f>
        <v/>
      </c>
      <c r="Z129" s="361">
        <f>'04 Producer Engine'!Z145</f>
        <v/>
      </c>
      <c r="AA129" s="361">
        <f>'04 Producer Engine'!AA145</f>
        <v/>
      </c>
      <c r="AB129" s="361">
        <f>'04 Producer Engine'!AB145</f>
        <v/>
      </c>
      <c r="AC129" s="361">
        <f>AVERAGE(Y129:AB129)</f>
        <v/>
      </c>
      <c r="AD129" s="361">
        <f>'04 Producer Engine'!AD145</f>
        <v/>
      </c>
      <c r="AE129" s="361">
        <f>'04 Producer Engine'!AE145</f>
        <v/>
      </c>
      <c r="AF129" s="361">
        <f>'04 Producer Engine'!AF145</f>
        <v/>
      </c>
      <c r="AG129" s="361">
        <f>'04 Producer Engine'!AG145</f>
        <v/>
      </c>
      <c r="AH129" s="361">
        <f>AVERAGE(AD129:AG129)</f>
        <v/>
      </c>
      <c r="AI129" s="361">
        <f>'04 Producer Engine'!AI145</f>
        <v/>
      </c>
      <c r="AJ129" s="361">
        <f>'04 Producer Engine'!AJ145</f>
        <v/>
      </c>
      <c r="AK129" s="361">
        <f>'04 Producer Engine'!AK145</f>
        <v/>
      </c>
      <c r="AL129" s="361">
        <f>'04 Producer Engine'!AL145</f>
        <v/>
      </c>
      <c r="AM129" s="361">
        <f>AVERAGE(AI129:AL129)</f>
        <v/>
      </c>
      <c r="AN129" s="361">
        <f>'04 Producer Engine'!AN145</f>
        <v/>
      </c>
      <c r="AO129" s="361">
        <f>'04 Producer Engine'!AO145</f>
        <v/>
      </c>
      <c r="AP129" s="361">
        <f>'04 Producer Engine'!AP145</f>
        <v/>
      </c>
      <c r="AQ129" s="361">
        <f>'04 Producer Engine'!AQ145</f>
        <v/>
      </c>
      <c r="AR129" s="361">
        <f>AVERAGE(AN129:AQ129)</f>
        <v/>
      </c>
    </row>
    <row r="130" ht="13.5" customHeight="1" s="290">
      <c r="A130" s="395" t="n"/>
      <c r="B130" s="373" t="inlineStr">
        <is>
          <t xml:space="preserve">  GCI per EPE Annualized — Junior</t>
        </is>
      </c>
      <c r="C130" s="374" t="inlineStr">
        <is>
          <t>$K/EPE/yr</t>
        </is>
      </c>
      <c r="D130" s="396" t="inlineStr">
        <is>
          <t xml:space="preserve"> (tier gci ÷ Tier EPE) × 4  [annualized for threshold comparison])</t>
        </is>
      </c>
      <c r="E130" s="376">
        <f>IFERROR(E128/E129*4,0)</f>
        <v/>
      </c>
      <c r="F130" s="376">
        <f>IFERROR(F128/F129*4,0)</f>
        <v/>
      </c>
      <c r="G130" s="376">
        <f>IFERROR(G128/G129*4,0)</f>
        <v/>
      </c>
      <c r="H130" s="376">
        <f>IFERROR(H128/H129*4,0)</f>
        <v/>
      </c>
      <c r="I130" s="344">
        <f>IFERROR(I128/I129,0)</f>
        <v/>
      </c>
      <c r="J130" s="376">
        <f>IFERROR(J128/J129*4,0)</f>
        <v/>
      </c>
      <c r="K130" s="376">
        <f>IFERROR(K128/K129*4,0)</f>
        <v/>
      </c>
      <c r="L130" s="376">
        <f>IFERROR(L128/L129*4,0)</f>
        <v/>
      </c>
      <c r="M130" s="376">
        <f>IFERROR(M128/M129*4,0)</f>
        <v/>
      </c>
      <c r="N130" s="344">
        <f>IFERROR(N128/N129,0)</f>
        <v/>
      </c>
      <c r="O130" s="376">
        <f>IFERROR(O128/O129*4,0)</f>
        <v/>
      </c>
      <c r="P130" s="376">
        <f>IFERROR(P128/P129*4,0)</f>
        <v/>
      </c>
      <c r="Q130" s="376">
        <f>IFERROR(Q128/Q129*4,0)</f>
        <v/>
      </c>
      <c r="R130" s="376">
        <f>IFERROR(R128/R129*4,0)</f>
        <v/>
      </c>
      <c r="S130" s="344">
        <f>IFERROR(S128/S129,0)</f>
        <v/>
      </c>
      <c r="T130" s="376">
        <f>IFERROR(T128/T129*4,0)</f>
        <v/>
      </c>
      <c r="U130" s="376">
        <f>IFERROR(U128/U129*4,0)</f>
        <v/>
      </c>
      <c r="V130" s="376">
        <f>IFERROR(V128/V129*4,0)</f>
        <v/>
      </c>
      <c r="W130" s="376">
        <f>IFERROR(W128/W129*4,0)</f>
        <v/>
      </c>
      <c r="X130" s="344">
        <f>IFERROR(X128/X129,0)</f>
        <v/>
      </c>
      <c r="Y130" s="376">
        <f>IFERROR(Y128/Y129*4,0)</f>
        <v/>
      </c>
      <c r="Z130" s="376">
        <f>IFERROR(Z128/Z129*4,0)</f>
        <v/>
      </c>
      <c r="AA130" s="376">
        <f>IFERROR(AA128/AA129*4,0)</f>
        <v/>
      </c>
      <c r="AB130" s="376">
        <f>IFERROR(AB128/AB129*4,0)</f>
        <v/>
      </c>
      <c r="AC130" s="344">
        <f>IFERROR(AC128/AC129,0)</f>
        <v/>
      </c>
      <c r="AD130" s="376">
        <f>IFERROR(AD128/AD129*4,0)</f>
        <v/>
      </c>
      <c r="AE130" s="376">
        <f>IFERROR(AE128/AE129*4,0)</f>
        <v/>
      </c>
      <c r="AF130" s="376">
        <f>IFERROR(AF128/AF129*4,0)</f>
        <v/>
      </c>
      <c r="AG130" s="376">
        <f>IFERROR(AG128/AG129*4,0)</f>
        <v/>
      </c>
      <c r="AH130" s="344">
        <f>IFERROR(AH128/AH129,0)</f>
        <v/>
      </c>
      <c r="AI130" s="376">
        <f>IFERROR(AI128/AI129*4,0)</f>
        <v/>
      </c>
      <c r="AJ130" s="376">
        <f>IFERROR(AJ128/AJ129*4,0)</f>
        <v/>
      </c>
      <c r="AK130" s="376">
        <f>IFERROR(AK128/AK129*4,0)</f>
        <v/>
      </c>
      <c r="AL130" s="376">
        <f>IFERROR(AL128/AL129*4,0)</f>
        <v/>
      </c>
      <c r="AM130" s="344">
        <f>IFERROR(AM128/AM129,0)</f>
        <v/>
      </c>
      <c r="AN130" s="376">
        <f>IFERROR(AN128/AN129*4,0)</f>
        <v/>
      </c>
      <c r="AO130" s="376">
        <f>IFERROR(AO128/AO129*4,0)</f>
        <v/>
      </c>
      <c r="AP130" s="376">
        <f>IFERROR(AP128/AP129*4,0)</f>
        <v/>
      </c>
      <c r="AQ130" s="376">
        <f>IFERROR(AQ128/AQ129*4,0)</f>
        <v/>
      </c>
      <c r="AR130" s="344">
        <f>IFERROR(AR128/AR129,0)</f>
        <v/>
      </c>
    </row>
    <row r="131" ht="13.5" customHeight="1" s="290">
      <c r="A131" s="345" t="n"/>
      <c r="B131" s="370" t="inlineStr">
        <is>
          <t xml:space="preserve">  Split Threshold 1 — Junior</t>
        </is>
      </c>
      <c r="C131" s="371" t="inlineStr">
        <is>
          <t>$K GCI/yr</t>
        </is>
      </c>
      <c r="D131" s="394" t="inlineStr">
        <is>
          <t>← Tab 03 row 266 col E</t>
        </is>
      </c>
      <c r="E131" s="361">
        <f>'03 Operational Assumptions'!E266</f>
        <v/>
      </c>
      <c r="F131" s="361">
        <f>'03 Operational Assumptions'!E266</f>
        <v/>
      </c>
      <c r="G131" s="361">
        <f>'03 Operational Assumptions'!E266</f>
        <v/>
      </c>
      <c r="H131" s="361">
        <f>'03 Operational Assumptions'!E266</f>
        <v/>
      </c>
      <c r="I131" s="361">
        <f>'03 Operational Assumptions'!E266</f>
        <v/>
      </c>
      <c r="J131" s="361">
        <f>'03 Operational Assumptions'!E266</f>
        <v/>
      </c>
      <c r="K131" s="361">
        <f>'03 Operational Assumptions'!E266</f>
        <v/>
      </c>
      <c r="L131" s="361">
        <f>'03 Operational Assumptions'!E266</f>
        <v/>
      </c>
      <c r="M131" s="361">
        <f>'03 Operational Assumptions'!E266</f>
        <v/>
      </c>
      <c r="N131" s="361">
        <f>'03 Operational Assumptions'!E266</f>
        <v/>
      </c>
      <c r="O131" s="361">
        <f>'03 Operational Assumptions'!E266</f>
        <v/>
      </c>
      <c r="P131" s="361">
        <f>'03 Operational Assumptions'!E266</f>
        <v/>
      </c>
      <c r="Q131" s="361">
        <f>'03 Operational Assumptions'!E266</f>
        <v/>
      </c>
      <c r="R131" s="361">
        <f>'03 Operational Assumptions'!E266</f>
        <v/>
      </c>
      <c r="S131" s="361">
        <f>'03 Operational Assumptions'!E266</f>
        <v/>
      </c>
      <c r="T131" s="361">
        <f>'03 Operational Assumptions'!E266</f>
        <v/>
      </c>
      <c r="U131" s="361">
        <f>'03 Operational Assumptions'!E266</f>
        <v/>
      </c>
      <c r="V131" s="361">
        <f>'03 Operational Assumptions'!E266</f>
        <v/>
      </c>
      <c r="W131" s="361">
        <f>'03 Operational Assumptions'!E266</f>
        <v/>
      </c>
      <c r="X131" s="361">
        <f>'03 Operational Assumptions'!E266</f>
        <v/>
      </c>
      <c r="Y131" s="361">
        <f>'03 Operational Assumptions'!E266</f>
        <v/>
      </c>
      <c r="Z131" s="361">
        <f>'03 Operational Assumptions'!E266</f>
        <v/>
      </c>
      <c r="AA131" s="361">
        <f>'03 Operational Assumptions'!E266</f>
        <v/>
      </c>
      <c r="AB131" s="361">
        <f>'03 Operational Assumptions'!E266</f>
        <v/>
      </c>
      <c r="AC131" s="361">
        <f>'03 Operational Assumptions'!E266</f>
        <v/>
      </c>
      <c r="AD131" s="361">
        <f>'03 Operational Assumptions'!E266</f>
        <v/>
      </c>
      <c r="AE131" s="361">
        <f>'03 Operational Assumptions'!E266</f>
        <v/>
      </c>
      <c r="AF131" s="361">
        <f>'03 Operational Assumptions'!E266</f>
        <v/>
      </c>
      <c r="AG131" s="361">
        <f>'03 Operational Assumptions'!E266</f>
        <v/>
      </c>
      <c r="AH131" s="361">
        <f>'03 Operational Assumptions'!E266</f>
        <v/>
      </c>
      <c r="AI131" s="361">
        <f>'03 Operational Assumptions'!E266</f>
        <v/>
      </c>
      <c r="AJ131" s="361">
        <f>'03 Operational Assumptions'!E266</f>
        <v/>
      </c>
      <c r="AK131" s="361">
        <f>'03 Operational Assumptions'!E266</f>
        <v/>
      </c>
      <c r="AL131" s="361">
        <f>'03 Operational Assumptions'!E266</f>
        <v/>
      </c>
      <c r="AM131" s="361">
        <f>'03 Operational Assumptions'!E266</f>
        <v/>
      </c>
      <c r="AN131" s="361">
        <f>'03 Operational Assumptions'!E266</f>
        <v/>
      </c>
      <c r="AO131" s="361">
        <f>'03 Operational Assumptions'!E266</f>
        <v/>
      </c>
      <c r="AP131" s="361">
        <f>'03 Operational Assumptions'!E266</f>
        <v/>
      </c>
      <c r="AQ131" s="361">
        <f>'03 Operational Assumptions'!E266</f>
        <v/>
      </c>
      <c r="AR131" s="361">
        <f>'03 Operational Assumptions'!E266</f>
        <v/>
      </c>
    </row>
    <row r="132" ht="13.5" customHeight="1" s="290">
      <c r="A132" s="345" t="n"/>
      <c r="B132" s="370" t="inlineStr">
        <is>
          <t xml:space="preserve">  Split % at T1 (S1) — Junior</t>
        </is>
      </c>
      <c r="C132" s="371" t="inlineStr">
        <is>
          <t>%</t>
        </is>
      </c>
      <c r="D132" s="394" t="inlineStr">
        <is>
          <t>← Tab 03 row 266 col F</t>
        </is>
      </c>
      <c r="E132" s="361">
        <f>'03 Operational Assumptions'!F266</f>
        <v/>
      </c>
      <c r="F132" s="361">
        <f>'03 Operational Assumptions'!F266</f>
        <v/>
      </c>
      <c r="G132" s="361">
        <f>'03 Operational Assumptions'!F266</f>
        <v/>
      </c>
      <c r="H132" s="361">
        <f>'03 Operational Assumptions'!F266</f>
        <v/>
      </c>
      <c r="I132" s="361">
        <f>'03 Operational Assumptions'!F266</f>
        <v/>
      </c>
      <c r="J132" s="361">
        <f>'03 Operational Assumptions'!F266</f>
        <v/>
      </c>
      <c r="K132" s="361">
        <f>'03 Operational Assumptions'!F266</f>
        <v/>
      </c>
      <c r="L132" s="361">
        <f>'03 Operational Assumptions'!F266</f>
        <v/>
      </c>
      <c r="M132" s="361">
        <f>'03 Operational Assumptions'!F266</f>
        <v/>
      </c>
      <c r="N132" s="361">
        <f>'03 Operational Assumptions'!F266</f>
        <v/>
      </c>
      <c r="O132" s="361">
        <f>'03 Operational Assumptions'!F266</f>
        <v/>
      </c>
      <c r="P132" s="361">
        <f>'03 Operational Assumptions'!F266</f>
        <v/>
      </c>
      <c r="Q132" s="361">
        <f>'03 Operational Assumptions'!F266</f>
        <v/>
      </c>
      <c r="R132" s="361">
        <f>'03 Operational Assumptions'!F266</f>
        <v/>
      </c>
      <c r="S132" s="361">
        <f>'03 Operational Assumptions'!F266</f>
        <v/>
      </c>
      <c r="T132" s="361">
        <f>'03 Operational Assumptions'!F266</f>
        <v/>
      </c>
      <c r="U132" s="361">
        <f>'03 Operational Assumptions'!F266</f>
        <v/>
      </c>
      <c r="V132" s="361">
        <f>'03 Operational Assumptions'!F266</f>
        <v/>
      </c>
      <c r="W132" s="361">
        <f>'03 Operational Assumptions'!F266</f>
        <v/>
      </c>
      <c r="X132" s="361">
        <f>'03 Operational Assumptions'!F266</f>
        <v/>
      </c>
      <c r="Y132" s="361">
        <f>'03 Operational Assumptions'!F266</f>
        <v/>
      </c>
      <c r="Z132" s="361">
        <f>'03 Operational Assumptions'!F266</f>
        <v/>
      </c>
      <c r="AA132" s="361">
        <f>'03 Operational Assumptions'!F266</f>
        <v/>
      </c>
      <c r="AB132" s="361">
        <f>'03 Operational Assumptions'!F266</f>
        <v/>
      </c>
      <c r="AC132" s="361">
        <f>'03 Operational Assumptions'!F266</f>
        <v/>
      </c>
      <c r="AD132" s="361">
        <f>'03 Operational Assumptions'!F266</f>
        <v/>
      </c>
      <c r="AE132" s="361">
        <f>'03 Operational Assumptions'!F266</f>
        <v/>
      </c>
      <c r="AF132" s="361">
        <f>'03 Operational Assumptions'!F266</f>
        <v/>
      </c>
      <c r="AG132" s="361">
        <f>'03 Operational Assumptions'!F266</f>
        <v/>
      </c>
      <c r="AH132" s="361">
        <f>'03 Operational Assumptions'!F266</f>
        <v/>
      </c>
      <c r="AI132" s="361">
        <f>'03 Operational Assumptions'!F266</f>
        <v/>
      </c>
      <c r="AJ132" s="361">
        <f>'03 Operational Assumptions'!F266</f>
        <v/>
      </c>
      <c r="AK132" s="361">
        <f>'03 Operational Assumptions'!F266</f>
        <v/>
      </c>
      <c r="AL132" s="361">
        <f>'03 Operational Assumptions'!F266</f>
        <v/>
      </c>
      <c r="AM132" s="361">
        <f>'03 Operational Assumptions'!F266</f>
        <v/>
      </c>
      <c r="AN132" s="361">
        <f>'03 Operational Assumptions'!F266</f>
        <v/>
      </c>
      <c r="AO132" s="361">
        <f>'03 Operational Assumptions'!F266</f>
        <v/>
      </c>
      <c r="AP132" s="361">
        <f>'03 Operational Assumptions'!F266</f>
        <v/>
      </c>
      <c r="AQ132" s="361">
        <f>'03 Operational Assumptions'!F266</f>
        <v/>
      </c>
      <c r="AR132" s="361">
        <f>'03 Operational Assumptions'!F266</f>
        <v/>
      </c>
    </row>
    <row r="133" ht="13.5" customHeight="1" s="290">
      <c r="A133" s="345" t="n"/>
      <c r="B133" s="370" t="inlineStr">
        <is>
          <t xml:space="preserve">  Split Threshold 2 — Junior</t>
        </is>
      </c>
      <c r="C133" s="371" t="inlineStr">
        <is>
          <t>$K GCI/yr</t>
        </is>
      </c>
      <c r="D133" s="394" t="inlineStr">
        <is>
          <t>← Tab 03 row 266 col G</t>
        </is>
      </c>
      <c r="E133" s="361">
        <f>'03 Operational Assumptions'!G266</f>
        <v/>
      </c>
      <c r="F133" s="361">
        <f>'03 Operational Assumptions'!G266</f>
        <v/>
      </c>
      <c r="G133" s="361">
        <f>'03 Operational Assumptions'!G266</f>
        <v/>
      </c>
      <c r="H133" s="361">
        <f>'03 Operational Assumptions'!G266</f>
        <v/>
      </c>
      <c r="I133" s="361">
        <f>'03 Operational Assumptions'!G266</f>
        <v/>
      </c>
      <c r="J133" s="361">
        <f>'03 Operational Assumptions'!G266</f>
        <v/>
      </c>
      <c r="K133" s="361">
        <f>'03 Operational Assumptions'!G266</f>
        <v/>
      </c>
      <c r="L133" s="361">
        <f>'03 Operational Assumptions'!G266</f>
        <v/>
      </c>
      <c r="M133" s="361">
        <f>'03 Operational Assumptions'!G266</f>
        <v/>
      </c>
      <c r="N133" s="361">
        <f>'03 Operational Assumptions'!G266</f>
        <v/>
      </c>
      <c r="O133" s="361">
        <f>'03 Operational Assumptions'!G266</f>
        <v/>
      </c>
      <c r="P133" s="361">
        <f>'03 Operational Assumptions'!G266</f>
        <v/>
      </c>
      <c r="Q133" s="361">
        <f>'03 Operational Assumptions'!G266</f>
        <v/>
      </c>
      <c r="R133" s="361">
        <f>'03 Operational Assumptions'!G266</f>
        <v/>
      </c>
      <c r="S133" s="361">
        <f>'03 Operational Assumptions'!G266</f>
        <v/>
      </c>
      <c r="T133" s="361">
        <f>'03 Operational Assumptions'!G266</f>
        <v/>
      </c>
      <c r="U133" s="361">
        <f>'03 Operational Assumptions'!G266</f>
        <v/>
      </c>
      <c r="V133" s="361">
        <f>'03 Operational Assumptions'!G266</f>
        <v/>
      </c>
      <c r="W133" s="361">
        <f>'03 Operational Assumptions'!G266</f>
        <v/>
      </c>
      <c r="X133" s="361">
        <f>'03 Operational Assumptions'!G266</f>
        <v/>
      </c>
      <c r="Y133" s="361">
        <f>'03 Operational Assumptions'!G266</f>
        <v/>
      </c>
      <c r="Z133" s="361">
        <f>'03 Operational Assumptions'!G266</f>
        <v/>
      </c>
      <c r="AA133" s="361">
        <f>'03 Operational Assumptions'!G266</f>
        <v/>
      </c>
      <c r="AB133" s="361">
        <f>'03 Operational Assumptions'!G266</f>
        <v/>
      </c>
      <c r="AC133" s="361">
        <f>'03 Operational Assumptions'!G266</f>
        <v/>
      </c>
      <c r="AD133" s="361">
        <f>'03 Operational Assumptions'!G266</f>
        <v/>
      </c>
      <c r="AE133" s="361">
        <f>'03 Operational Assumptions'!G266</f>
        <v/>
      </c>
      <c r="AF133" s="361">
        <f>'03 Operational Assumptions'!G266</f>
        <v/>
      </c>
      <c r="AG133" s="361">
        <f>'03 Operational Assumptions'!G266</f>
        <v/>
      </c>
      <c r="AH133" s="361">
        <f>'03 Operational Assumptions'!G266</f>
        <v/>
      </c>
      <c r="AI133" s="361">
        <f>'03 Operational Assumptions'!G266</f>
        <v/>
      </c>
      <c r="AJ133" s="361">
        <f>'03 Operational Assumptions'!G266</f>
        <v/>
      </c>
      <c r="AK133" s="361">
        <f>'03 Operational Assumptions'!G266</f>
        <v/>
      </c>
      <c r="AL133" s="361">
        <f>'03 Operational Assumptions'!G266</f>
        <v/>
      </c>
      <c r="AM133" s="361">
        <f>'03 Operational Assumptions'!G266</f>
        <v/>
      </c>
      <c r="AN133" s="361">
        <f>'03 Operational Assumptions'!G266</f>
        <v/>
      </c>
      <c r="AO133" s="361">
        <f>'03 Operational Assumptions'!G266</f>
        <v/>
      </c>
      <c r="AP133" s="361">
        <f>'03 Operational Assumptions'!G266</f>
        <v/>
      </c>
      <c r="AQ133" s="361">
        <f>'03 Operational Assumptions'!G266</f>
        <v/>
      </c>
      <c r="AR133" s="361">
        <f>'03 Operational Assumptions'!G266</f>
        <v/>
      </c>
    </row>
    <row r="134" ht="13.5" customHeight="1" s="290">
      <c r="A134" s="345" t="n"/>
      <c r="B134" s="370" t="inlineStr">
        <is>
          <t xml:space="preserve">  Split % at T2 (S2) — Junior</t>
        </is>
      </c>
      <c r="C134" s="371" t="inlineStr">
        <is>
          <t>%</t>
        </is>
      </c>
      <c r="D134" s="394" t="inlineStr">
        <is>
          <t>← Tab 03 row 266 col H</t>
        </is>
      </c>
      <c r="E134" s="361">
        <f>'03 Operational Assumptions'!H266</f>
        <v/>
      </c>
      <c r="F134" s="361">
        <f>'03 Operational Assumptions'!H266</f>
        <v/>
      </c>
      <c r="G134" s="361">
        <f>'03 Operational Assumptions'!H266</f>
        <v/>
      </c>
      <c r="H134" s="361">
        <f>'03 Operational Assumptions'!H266</f>
        <v/>
      </c>
      <c r="I134" s="361">
        <f>'03 Operational Assumptions'!H266</f>
        <v/>
      </c>
      <c r="J134" s="361">
        <f>'03 Operational Assumptions'!H266</f>
        <v/>
      </c>
      <c r="K134" s="361">
        <f>'03 Operational Assumptions'!H266</f>
        <v/>
      </c>
      <c r="L134" s="361">
        <f>'03 Operational Assumptions'!H266</f>
        <v/>
      </c>
      <c r="M134" s="361">
        <f>'03 Operational Assumptions'!H266</f>
        <v/>
      </c>
      <c r="N134" s="361">
        <f>'03 Operational Assumptions'!H266</f>
        <v/>
      </c>
      <c r="O134" s="361">
        <f>'03 Operational Assumptions'!H266</f>
        <v/>
      </c>
      <c r="P134" s="361">
        <f>'03 Operational Assumptions'!H266</f>
        <v/>
      </c>
      <c r="Q134" s="361">
        <f>'03 Operational Assumptions'!H266</f>
        <v/>
      </c>
      <c r="R134" s="361">
        <f>'03 Operational Assumptions'!H266</f>
        <v/>
      </c>
      <c r="S134" s="361">
        <f>'03 Operational Assumptions'!H266</f>
        <v/>
      </c>
      <c r="T134" s="361">
        <f>'03 Operational Assumptions'!H266</f>
        <v/>
      </c>
      <c r="U134" s="361">
        <f>'03 Operational Assumptions'!H266</f>
        <v/>
      </c>
      <c r="V134" s="361">
        <f>'03 Operational Assumptions'!H266</f>
        <v/>
      </c>
      <c r="W134" s="361">
        <f>'03 Operational Assumptions'!H266</f>
        <v/>
      </c>
      <c r="X134" s="361">
        <f>'03 Operational Assumptions'!H266</f>
        <v/>
      </c>
      <c r="Y134" s="361">
        <f>'03 Operational Assumptions'!H266</f>
        <v/>
      </c>
      <c r="Z134" s="361">
        <f>'03 Operational Assumptions'!H266</f>
        <v/>
      </c>
      <c r="AA134" s="361">
        <f>'03 Operational Assumptions'!H266</f>
        <v/>
      </c>
      <c r="AB134" s="361">
        <f>'03 Operational Assumptions'!H266</f>
        <v/>
      </c>
      <c r="AC134" s="361">
        <f>'03 Operational Assumptions'!H266</f>
        <v/>
      </c>
      <c r="AD134" s="361">
        <f>'03 Operational Assumptions'!H266</f>
        <v/>
      </c>
      <c r="AE134" s="361">
        <f>'03 Operational Assumptions'!H266</f>
        <v/>
      </c>
      <c r="AF134" s="361">
        <f>'03 Operational Assumptions'!H266</f>
        <v/>
      </c>
      <c r="AG134" s="361">
        <f>'03 Operational Assumptions'!H266</f>
        <v/>
      </c>
      <c r="AH134" s="361">
        <f>'03 Operational Assumptions'!H266</f>
        <v/>
      </c>
      <c r="AI134" s="361">
        <f>'03 Operational Assumptions'!H266</f>
        <v/>
      </c>
      <c r="AJ134" s="361">
        <f>'03 Operational Assumptions'!H266</f>
        <v/>
      </c>
      <c r="AK134" s="361">
        <f>'03 Operational Assumptions'!H266</f>
        <v/>
      </c>
      <c r="AL134" s="361">
        <f>'03 Operational Assumptions'!H266</f>
        <v/>
      </c>
      <c r="AM134" s="361">
        <f>'03 Operational Assumptions'!H266</f>
        <v/>
      </c>
      <c r="AN134" s="361">
        <f>'03 Operational Assumptions'!H266</f>
        <v/>
      </c>
      <c r="AO134" s="361">
        <f>'03 Operational Assumptions'!H266</f>
        <v/>
      </c>
      <c r="AP134" s="361">
        <f>'03 Operational Assumptions'!H266</f>
        <v/>
      </c>
      <c r="AQ134" s="361">
        <f>'03 Operational Assumptions'!H266</f>
        <v/>
      </c>
      <c r="AR134" s="361">
        <f>'03 Operational Assumptions'!H266</f>
        <v/>
      </c>
    </row>
    <row r="135" ht="13.5" customHeight="1" s="290">
      <c r="A135" s="345" t="n"/>
      <c r="B135" s="370" t="inlineStr">
        <is>
          <t xml:space="preserve">  Split % Above T2 (S3) — Junior</t>
        </is>
      </c>
      <c r="C135" s="371" t="inlineStr">
        <is>
          <t>%</t>
        </is>
      </c>
      <c r="D135" s="394" t="inlineStr">
        <is>
          <t>← Tab 03 row 266 col J</t>
        </is>
      </c>
      <c r="E135" s="361">
        <f>'03 Operational Assumptions'!J266</f>
        <v/>
      </c>
      <c r="F135" s="361">
        <f>'03 Operational Assumptions'!J266</f>
        <v/>
      </c>
      <c r="G135" s="361">
        <f>'03 Operational Assumptions'!J266</f>
        <v/>
      </c>
      <c r="H135" s="361">
        <f>'03 Operational Assumptions'!J266</f>
        <v/>
      </c>
      <c r="I135" s="361">
        <f>'03 Operational Assumptions'!J266</f>
        <v/>
      </c>
      <c r="J135" s="361">
        <f>'03 Operational Assumptions'!J266</f>
        <v/>
      </c>
      <c r="K135" s="361">
        <f>'03 Operational Assumptions'!J266</f>
        <v/>
      </c>
      <c r="L135" s="361">
        <f>'03 Operational Assumptions'!J266</f>
        <v/>
      </c>
      <c r="M135" s="361">
        <f>'03 Operational Assumptions'!J266</f>
        <v/>
      </c>
      <c r="N135" s="361">
        <f>'03 Operational Assumptions'!J266</f>
        <v/>
      </c>
      <c r="O135" s="361">
        <f>'03 Operational Assumptions'!J266</f>
        <v/>
      </c>
      <c r="P135" s="361">
        <f>'03 Operational Assumptions'!J266</f>
        <v/>
      </c>
      <c r="Q135" s="361">
        <f>'03 Operational Assumptions'!J266</f>
        <v/>
      </c>
      <c r="R135" s="361">
        <f>'03 Operational Assumptions'!J266</f>
        <v/>
      </c>
      <c r="S135" s="361">
        <f>'03 Operational Assumptions'!J266</f>
        <v/>
      </c>
      <c r="T135" s="361">
        <f>'03 Operational Assumptions'!J266</f>
        <v/>
      </c>
      <c r="U135" s="361">
        <f>'03 Operational Assumptions'!J266</f>
        <v/>
      </c>
      <c r="V135" s="361">
        <f>'03 Operational Assumptions'!J266</f>
        <v/>
      </c>
      <c r="W135" s="361">
        <f>'03 Operational Assumptions'!J266</f>
        <v/>
      </c>
      <c r="X135" s="361">
        <f>'03 Operational Assumptions'!J266</f>
        <v/>
      </c>
      <c r="Y135" s="361">
        <f>'03 Operational Assumptions'!J266</f>
        <v/>
      </c>
      <c r="Z135" s="361">
        <f>'03 Operational Assumptions'!J266</f>
        <v/>
      </c>
      <c r="AA135" s="361">
        <f>'03 Operational Assumptions'!J266</f>
        <v/>
      </c>
      <c r="AB135" s="361">
        <f>'03 Operational Assumptions'!J266</f>
        <v/>
      </c>
      <c r="AC135" s="361">
        <f>'03 Operational Assumptions'!J266</f>
        <v/>
      </c>
      <c r="AD135" s="361">
        <f>'03 Operational Assumptions'!J266</f>
        <v/>
      </c>
      <c r="AE135" s="361">
        <f>'03 Operational Assumptions'!J266</f>
        <v/>
      </c>
      <c r="AF135" s="361">
        <f>'03 Operational Assumptions'!J266</f>
        <v/>
      </c>
      <c r="AG135" s="361">
        <f>'03 Operational Assumptions'!J266</f>
        <v/>
      </c>
      <c r="AH135" s="361">
        <f>'03 Operational Assumptions'!J266</f>
        <v/>
      </c>
      <c r="AI135" s="361">
        <f>'03 Operational Assumptions'!J266</f>
        <v/>
      </c>
      <c r="AJ135" s="361">
        <f>'03 Operational Assumptions'!J266</f>
        <v/>
      </c>
      <c r="AK135" s="361">
        <f>'03 Operational Assumptions'!J266</f>
        <v/>
      </c>
      <c r="AL135" s="361">
        <f>'03 Operational Assumptions'!J266</f>
        <v/>
      </c>
      <c r="AM135" s="361">
        <f>'03 Operational Assumptions'!J266</f>
        <v/>
      </c>
      <c r="AN135" s="361">
        <f>'03 Operational Assumptions'!J266</f>
        <v/>
      </c>
      <c r="AO135" s="361">
        <f>'03 Operational Assumptions'!J266</f>
        <v/>
      </c>
      <c r="AP135" s="361">
        <f>'03 Operational Assumptions'!J266</f>
        <v/>
      </c>
      <c r="AQ135" s="361">
        <f>'03 Operational Assumptions'!J266</f>
        <v/>
      </c>
      <c r="AR135" s="361">
        <f>'03 Operational Assumptions'!J266</f>
        <v/>
      </c>
    </row>
    <row r="136" ht="13.5" customHeight="1" s="290">
      <c r="A136" s="395" t="n"/>
      <c r="B136" s="373" t="inlineStr">
        <is>
          <t xml:space="preserve">  Applied Split % — Junior</t>
        </is>
      </c>
      <c r="C136" s="374" t="inlineStr">
        <is>
          <t>%</t>
        </is>
      </c>
      <c r="D136" s="396" t="inlineStr">
        <is>
          <t xml:space="preserve"> IF(gci/epe≤T1→S1, IF(≤T2→S2, S3)),TRUE())</t>
        </is>
      </c>
      <c r="E136" s="376">
        <f>IF(E130&lt;=E131,E132,IF(E130&lt;=E133,E134,E135))</f>
        <v/>
      </c>
      <c r="F136" s="376">
        <f>IF(F130&lt;=F131,F132,IF(F130&lt;=F133,F134,F135))</f>
        <v/>
      </c>
      <c r="G136" s="376">
        <f>IF(G130&lt;=G131,G132,IF(G130&lt;=G133,G134,G135))</f>
        <v/>
      </c>
      <c r="H136" s="376">
        <f>IF(H130&lt;=H131,H132,IF(H130&lt;=H133,H134,H135))</f>
        <v/>
      </c>
      <c r="I136" s="344">
        <f>IF(I130&lt;=I131,I132,IF(I130&lt;=I133,I134,I135))</f>
        <v/>
      </c>
      <c r="J136" s="376">
        <f>IF(J130&lt;=J131,J132,IF(J130&lt;=J133,J134,J135))</f>
        <v/>
      </c>
      <c r="K136" s="376">
        <f>IF(K130&lt;=K131,K132,IF(K130&lt;=K133,K134,K135))</f>
        <v/>
      </c>
      <c r="L136" s="376">
        <f>IF(L130&lt;=L131,L132,IF(L130&lt;=L133,L134,L135))</f>
        <v/>
      </c>
      <c r="M136" s="376">
        <f>IF(M130&lt;=M131,M132,IF(M130&lt;=M133,M134,M135))</f>
        <v/>
      </c>
      <c r="N136" s="344">
        <f>IF(N130&lt;=N131,N132,IF(N130&lt;=N133,N134,N135))</f>
        <v/>
      </c>
      <c r="O136" s="376">
        <f>IF(O130&lt;=O131,O132,IF(O130&lt;=O133,O134,O135))</f>
        <v/>
      </c>
      <c r="P136" s="376">
        <f>IF(P130&lt;=P131,P132,IF(P130&lt;=P133,P134,P135))</f>
        <v/>
      </c>
      <c r="Q136" s="376">
        <f>IF(Q130&lt;=Q131,Q132,IF(Q130&lt;=Q133,Q134,Q135))</f>
        <v/>
      </c>
      <c r="R136" s="376">
        <f>IF(R130&lt;=R131,R132,IF(R130&lt;=R133,R134,R135))</f>
        <v/>
      </c>
      <c r="S136" s="344">
        <f>IF(S130&lt;=S131,S132,IF(S130&lt;=S133,S134,S135))</f>
        <v/>
      </c>
      <c r="T136" s="376">
        <f>IF(T130&lt;=T131,T132,IF(T130&lt;=T133,T134,T135))</f>
        <v/>
      </c>
      <c r="U136" s="376">
        <f>IF(U130&lt;=U131,U132,IF(U130&lt;=U133,U134,U135))</f>
        <v/>
      </c>
      <c r="V136" s="376">
        <f>IF(V130&lt;=V131,V132,IF(V130&lt;=V133,V134,V135))</f>
        <v/>
      </c>
      <c r="W136" s="376">
        <f>IF(W130&lt;=W131,W132,IF(W130&lt;=W133,W134,W135))</f>
        <v/>
      </c>
      <c r="X136" s="344">
        <f>IF(X130&lt;=X131,X132,IF(X130&lt;=X133,X134,X135))</f>
        <v/>
      </c>
      <c r="Y136" s="376">
        <f>IF(Y130&lt;=Y131,Y132,IF(Y130&lt;=Y133,Y134,Y135))</f>
        <v/>
      </c>
      <c r="Z136" s="376">
        <f>IF(Z130&lt;=Z131,Z132,IF(Z130&lt;=Z133,Z134,Z135))</f>
        <v/>
      </c>
      <c r="AA136" s="376">
        <f>IF(AA130&lt;=AA131,AA132,IF(AA130&lt;=AA133,AA134,AA135))</f>
        <v/>
      </c>
      <c r="AB136" s="376">
        <f>IF(AB130&lt;=AB131,AB132,IF(AB130&lt;=AB133,AB134,AB135))</f>
        <v/>
      </c>
      <c r="AC136" s="344">
        <f>IF(AC130&lt;=AC131,AC132,IF(AC130&lt;=AC133,AC134,AC135))</f>
        <v/>
      </c>
      <c r="AD136" s="376">
        <f>IF(AD130&lt;=AD131,AD132,IF(AD130&lt;=AD133,AD134,AD135))</f>
        <v/>
      </c>
      <c r="AE136" s="376">
        <f>IF(AE130&lt;=AE131,AE132,IF(AE130&lt;=AE133,AE134,AE135))</f>
        <v/>
      </c>
      <c r="AF136" s="376">
        <f>IF(AF130&lt;=AF131,AF132,IF(AF130&lt;=AF133,AF134,AF135))</f>
        <v/>
      </c>
      <c r="AG136" s="376">
        <f>IF(AG130&lt;=AG131,AG132,IF(AG130&lt;=AG133,AG134,AG135))</f>
        <v/>
      </c>
      <c r="AH136" s="344">
        <f>IF(AH130&lt;=AH131,AH132,IF(AH130&lt;=AH133,AH134,AH135))</f>
        <v/>
      </c>
      <c r="AI136" s="376">
        <f>IF(AI130&lt;=AI131,AI132,IF(AI130&lt;=AI133,AI134,AI135))</f>
        <v/>
      </c>
      <c r="AJ136" s="376">
        <f>IF(AJ130&lt;=AJ131,AJ132,IF(AJ130&lt;=AJ133,AJ134,AJ135))</f>
        <v/>
      </c>
      <c r="AK136" s="376">
        <f>IF(AK130&lt;=AK131,AK132,IF(AK130&lt;=AK133,AK134,AK135))</f>
        <v/>
      </c>
      <c r="AL136" s="376">
        <f>IF(AL130&lt;=AL131,AL132,IF(AL130&lt;=AL133,AL134,AL135))</f>
        <v/>
      </c>
      <c r="AM136" s="344">
        <f>IF(AM130&lt;=AM131,AM132,IF(AM130&lt;=AM133,AM134,AM135))</f>
        <v/>
      </c>
      <c r="AN136" s="376">
        <f>IF(AN130&lt;=AN131,AN132,IF(AN130&lt;=AN133,AN134,AN135))</f>
        <v/>
      </c>
      <c r="AO136" s="376">
        <f>IF(AO130&lt;=AO131,AO132,IF(AO130&lt;=AO133,AO134,AO135))</f>
        <v/>
      </c>
      <c r="AP136" s="376">
        <f>IF(AP130&lt;=AP131,AP132,IF(AP130&lt;=AP133,AP134,AP135))</f>
        <v/>
      </c>
      <c r="AQ136" s="376">
        <f>IF(AQ130&lt;=AQ131,AQ132,IF(AQ130&lt;=AQ133,AQ134,AQ135))</f>
        <v/>
      </c>
      <c r="AR136" s="344">
        <f>IF(AR130&lt;=AR131,AR132,IF(AR130&lt;=AR133,AR134,AR135))</f>
        <v/>
      </c>
    </row>
    <row r="137" ht="13.5" customHeight="1" s="290">
      <c r="A137" s="395" t="n"/>
      <c r="B137" s="402" t="inlineStr">
        <is>
          <t xml:space="preserve">  ★ Producer Payout — Junior</t>
        </is>
      </c>
      <c r="C137" s="374" t="inlineStr">
        <is>
          <t>$K</t>
        </is>
      </c>
      <c r="D137" s="396" t="inlineStr">
        <is>
          <t xml:space="preserve"> tier gci × Applied Split %</t>
        </is>
      </c>
      <c r="E137" s="403">
        <f>E128*E136</f>
        <v/>
      </c>
      <c r="F137" s="403">
        <f>F128*F136</f>
        <v/>
      </c>
      <c r="G137" s="403">
        <f>G128*G136</f>
        <v/>
      </c>
      <c r="H137" s="403">
        <f>H128*H136</f>
        <v/>
      </c>
      <c r="I137" s="387">
        <f>SUM(E137:H137)</f>
        <v/>
      </c>
      <c r="J137" s="403">
        <f>J128*J136</f>
        <v/>
      </c>
      <c r="K137" s="403">
        <f>K128*K136</f>
        <v/>
      </c>
      <c r="L137" s="403">
        <f>L128*L136</f>
        <v/>
      </c>
      <c r="M137" s="403">
        <f>M128*M136</f>
        <v/>
      </c>
      <c r="N137" s="387">
        <f>SUM(J137:M137)</f>
        <v/>
      </c>
      <c r="O137" s="403">
        <f>O128*O136</f>
        <v/>
      </c>
      <c r="P137" s="403">
        <f>P128*P136</f>
        <v/>
      </c>
      <c r="Q137" s="403">
        <f>Q128*Q136</f>
        <v/>
      </c>
      <c r="R137" s="403">
        <f>R128*R136</f>
        <v/>
      </c>
      <c r="S137" s="387">
        <f>SUM(O137:R137)</f>
        <v/>
      </c>
      <c r="T137" s="403">
        <f>T128*T136</f>
        <v/>
      </c>
      <c r="U137" s="403">
        <f>U128*U136</f>
        <v/>
      </c>
      <c r="V137" s="403">
        <f>V128*V136</f>
        <v/>
      </c>
      <c r="W137" s="403">
        <f>W128*W136</f>
        <v/>
      </c>
      <c r="X137" s="387">
        <f>SUM(T137:W137)</f>
        <v/>
      </c>
      <c r="Y137" s="403">
        <f>Y128*Y136</f>
        <v/>
      </c>
      <c r="Z137" s="403">
        <f>Z128*Z136</f>
        <v/>
      </c>
      <c r="AA137" s="403">
        <f>AA128*AA136</f>
        <v/>
      </c>
      <c r="AB137" s="403">
        <f>AB128*AB136</f>
        <v/>
      </c>
      <c r="AC137" s="387">
        <f>SUM(Y137:AB137)</f>
        <v/>
      </c>
      <c r="AD137" s="403">
        <f>AD128*AD136</f>
        <v/>
      </c>
      <c r="AE137" s="403">
        <f>AE128*AE136</f>
        <v/>
      </c>
      <c r="AF137" s="403">
        <f>AF128*AF136</f>
        <v/>
      </c>
      <c r="AG137" s="403">
        <f>AG128*AG136</f>
        <v/>
      </c>
      <c r="AH137" s="387">
        <f>SUM(AD137:AG137)</f>
        <v/>
      </c>
      <c r="AI137" s="403">
        <f>AI128*AI136</f>
        <v/>
      </c>
      <c r="AJ137" s="403">
        <f>AJ128*AJ136</f>
        <v/>
      </c>
      <c r="AK137" s="403">
        <f>AK128*AK136</f>
        <v/>
      </c>
      <c r="AL137" s="403">
        <f>AL128*AL136</f>
        <v/>
      </c>
      <c r="AM137" s="387">
        <f>SUM(AI137:AL137)</f>
        <v/>
      </c>
      <c r="AN137" s="403">
        <f>AN128*AN136</f>
        <v/>
      </c>
      <c r="AO137" s="403">
        <f>AO128*AO136</f>
        <v/>
      </c>
      <c r="AP137" s="403">
        <f>AP128*AP136</f>
        <v/>
      </c>
      <c r="AQ137" s="403">
        <f>AQ128*AQ136</f>
        <v/>
      </c>
      <c r="AR137" s="387">
        <f>SUM(AN137:AQ137)</f>
        <v/>
      </c>
    </row>
    <row r="138" ht="3.75" customHeight="1" s="290"/>
    <row r="139" ht="15" customHeight="1" s="290">
      <c r="A139" s="418" t="inlineStr">
        <is>
          <t xml:space="preserve">    Debt &amp; Equity — LINE TOTALS</t>
        </is>
      </c>
    </row>
    <row r="140" ht="13.5" customHeight="1" s="290">
      <c r="A140" s="397" t="n"/>
      <c r="B140" s="398" t="inlineStr">
        <is>
          <t xml:space="preserve">  Total Producer Payout — Debt &amp; Equity</t>
        </is>
      </c>
      <c r="C140" s="399" t="inlineStr">
        <is>
          <t>$K</t>
        </is>
      </c>
      <c r="D140" s="397" t="n"/>
      <c r="E140" s="401">
        <f>SUM(E113,E125,E137)</f>
        <v/>
      </c>
      <c r="F140" s="401">
        <f>SUM(F113,F125,F137)</f>
        <v/>
      </c>
      <c r="G140" s="401">
        <f>SUM(G113,G125,G137)</f>
        <v/>
      </c>
      <c r="H140" s="401">
        <f>SUM(H113,H125,H137)</f>
        <v/>
      </c>
      <c r="I140" s="387">
        <f>SUM(E140:H140)</f>
        <v/>
      </c>
      <c r="J140" s="401">
        <f>SUM(J113,J125,J137)</f>
        <v/>
      </c>
      <c r="K140" s="401">
        <f>SUM(K113,K125,K137)</f>
        <v/>
      </c>
      <c r="L140" s="401">
        <f>SUM(L113,L125,L137)</f>
        <v/>
      </c>
      <c r="M140" s="401">
        <f>SUM(M113,M125,M137)</f>
        <v/>
      </c>
      <c r="N140" s="387">
        <f>SUM(J140:M140)</f>
        <v/>
      </c>
      <c r="O140" s="401">
        <f>SUM(O113,O125,O137)</f>
        <v/>
      </c>
      <c r="P140" s="401">
        <f>SUM(P113,P125,P137)</f>
        <v/>
      </c>
      <c r="Q140" s="401">
        <f>SUM(Q113,Q125,Q137)</f>
        <v/>
      </c>
      <c r="R140" s="401">
        <f>SUM(R113,R125,R137)</f>
        <v/>
      </c>
      <c r="S140" s="387">
        <f>SUM(O140:R140)</f>
        <v/>
      </c>
      <c r="T140" s="401">
        <f>SUM(T113,T125,T137)</f>
        <v/>
      </c>
      <c r="U140" s="401">
        <f>SUM(U113,U125,U137)</f>
        <v/>
      </c>
      <c r="V140" s="401">
        <f>SUM(V113,V125,V137)</f>
        <v/>
      </c>
      <c r="W140" s="401">
        <f>SUM(W113,W125,W137)</f>
        <v/>
      </c>
      <c r="X140" s="387">
        <f>SUM(T140:W140)</f>
        <v/>
      </c>
      <c r="Y140" s="401">
        <f>SUM(Y113,Y125,Y137)</f>
        <v/>
      </c>
      <c r="Z140" s="401">
        <f>SUM(Z113,Z125,Z137)</f>
        <v/>
      </c>
      <c r="AA140" s="401">
        <f>SUM(AA113,AA125,AA137)</f>
        <v/>
      </c>
      <c r="AB140" s="401">
        <f>SUM(AB113,AB125,AB137)</f>
        <v/>
      </c>
      <c r="AC140" s="387">
        <f>SUM(Y140:AB140)</f>
        <v/>
      </c>
      <c r="AD140" s="401">
        <f>SUM(AD113,AD125,AD137)</f>
        <v/>
      </c>
      <c r="AE140" s="401">
        <f>SUM(AE113,AE125,AE137)</f>
        <v/>
      </c>
      <c r="AF140" s="401">
        <f>SUM(AF113,AF125,AF137)</f>
        <v/>
      </c>
      <c r="AG140" s="401">
        <f>SUM(AG113,AG125,AG137)</f>
        <v/>
      </c>
      <c r="AH140" s="387">
        <f>SUM(AD140:AG140)</f>
        <v/>
      </c>
      <c r="AI140" s="401">
        <f>SUM(AI113,AI125,AI137)</f>
        <v/>
      </c>
      <c r="AJ140" s="401">
        <f>SUM(AJ113,AJ125,AJ137)</f>
        <v/>
      </c>
      <c r="AK140" s="401">
        <f>SUM(AK113,AK125,AK137)</f>
        <v/>
      </c>
      <c r="AL140" s="401">
        <f>SUM(AL113,AL125,AL137)</f>
        <v/>
      </c>
      <c r="AM140" s="387">
        <f>SUM(AI140:AL140)</f>
        <v/>
      </c>
      <c r="AN140" s="401">
        <f>SUM(AN113,AN125,AN137)</f>
        <v/>
      </c>
      <c r="AO140" s="401">
        <f>SUM(AO113,AO125,AO137)</f>
        <v/>
      </c>
      <c r="AP140" s="401">
        <f>SUM(AP113,AP125,AP137)</f>
        <v/>
      </c>
      <c r="AQ140" s="401">
        <f>SUM(AQ113,AQ125,AQ137)</f>
        <v/>
      </c>
      <c r="AR140" s="387">
        <f>SUM(AN140:AQ140)</f>
        <v/>
      </c>
    </row>
    <row r="141" ht="13.5" customHeight="1" s="290">
      <c r="A141" s="345" t="n"/>
      <c r="B141" s="370" t="inlineStr">
        <is>
          <t xml:space="preserve">  Line GCI — Debt &amp; Equity</t>
        </is>
      </c>
      <c r="C141" s="371" t="inlineStr">
        <is>
          <t>$K</t>
        </is>
      </c>
      <c r="D141" s="394" t="inlineStr">
        <is>
          <t>← Tab 05 row 138  (Net Debt &amp; Equity GCI)</t>
        </is>
      </c>
      <c r="E141" s="361">
        <f>'05 Revenue Engine'!E138</f>
        <v/>
      </c>
      <c r="F141" s="361">
        <f>'05 Revenue Engine'!F138</f>
        <v/>
      </c>
      <c r="G141" s="361">
        <f>'05 Revenue Engine'!G138</f>
        <v/>
      </c>
      <c r="H141" s="361">
        <f>'05 Revenue Engine'!H138</f>
        <v/>
      </c>
      <c r="I141" s="361">
        <f>SUM(E141:H141)</f>
        <v/>
      </c>
      <c r="J141" s="361">
        <f>'05 Revenue Engine'!J138</f>
        <v/>
      </c>
      <c r="K141" s="361">
        <f>'05 Revenue Engine'!K138</f>
        <v/>
      </c>
      <c r="L141" s="361">
        <f>'05 Revenue Engine'!L138</f>
        <v/>
      </c>
      <c r="M141" s="361">
        <f>'05 Revenue Engine'!M138</f>
        <v/>
      </c>
      <c r="N141" s="361">
        <f>SUM(J141:M141)</f>
        <v/>
      </c>
      <c r="O141" s="361">
        <f>'05 Revenue Engine'!O138</f>
        <v/>
      </c>
      <c r="P141" s="361">
        <f>'05 Revenue Engine'!P138</f>
        <v/>
      </c>
      <c r="Q141" s="361">
        <f>'05 Revenue Engine'!Q138</f>
        <v/>
      </c>
      <c r="R141" s="361">
        <f>'05 Revenue Engine'!R138</f>
        <v/>
      </c>
      <c r="S141" s="361">
        <f>SUM(O141:R141)</f>
        <v/>
      </c>
      <c r="T141" s="361">
        <f>'05 Revenue Engine'!T138</f>
        <v/>
      </c>
      <c r="U141" s="361">
        <f>'05 Revenue Engine'!U138</f>
        <v/>
      </c>
      <c r="V141" s="361">
        <f>'05 Revenue Engine'!V138</f>
        <v/>
      </c>
      <c r="W141" s="361">
        <f>'05 Revenue Engine'!W138</f>
        <v/>
      </c>
      <c r="X141" s="361">
        <f>SUM(T141:W141)</f>
        <v/>
      </c>
      <c r="Y141" s="361">
        <f>'05 Revenue Engine'!Y138</f>
        <v/>
      </c>
      <c r="Z141" s="361">
        <f>'05 Revenue Engine'!Z138</f>
        <v/>
      </c>
      <c r="AA141" s="361">
        <f>'05 Revenue Engine'!AA138</f>
        <v/>
      </c>
      <c r="AB141" s="361">
        <f>'05 Revenue Engine'!AB138</f>
        <v/>
      </c>
      <c r="AC141" s="361">
        <f>SUM(Y141:AB141)</f>
        <v/>
      </c>
      <c r="AD141" s="361">
        <f>'05 Revenue Engine'!AD138</f>
        <v/>
      </c>
      <c r="AE141" s="361">
        <f>'05 Revenue Engine'!AE138</f>
        <v/>
      </c>
      <c r="AF141" s="361">
        <f>'05 Revenue Engine'!AF138</f>
        <v/>
      </c>
      <c r="AG141" s="361">
        <f>'05 Revenue Engine'!AG138</f>
        <v/>
      </c>
      <c r="AH141" s="361">
        <f>SUM(AD141:AG141)</f>
        <v/>
      </c>
      <c r="AI141" s="361">
        <f>'05 Revenue Engine'!AI138</f>
        <v/>
      </c>
      <c r="AJ141" s="361">
        <f>'05 Revenue Engine'!AJ138</f>
        <v/>
      </c>
      <c r="AK141" s="361">
        <f>'05 Revenue Engine'!AK138</f>
        <v/>
      </c>
      <c r="AL141" s="361">
        <f>'05 Revenue Engine'!AL138</f>
        <v/>
      </c>
      <c r="AM141" s="361">
        <f>SUM(AI141:AL141)</f>
        <v/>
      </c>
      <c r="AN141" s="361">
        <f>'05 Revenue Engine'!AN138</f>
        <v/>
      </c>
      <c r="AO141" s="361">
        <f>'05 Revenue Engine'!AO138</f>
        <v/>
      </c>
      <c r="AP141" s="361">
        <f>'05 Revenue Engine'!AP138</f>
        <v/>
      </c>
      <c r="AQ141" s="361">
        <f>'05 Revenue Engine'!AQ138</f>
        <v/>
      </c>
      <c r="AR141" s="361">
        <f>SUM(AN141:AQ141)</f>
        <v/>
      </c>
    </row>
    <row r="142" ht="15" customHeight="1" s="290">
      <c r="A142" s="397" t="n"/>
      <c r="B142" s="398" t="inlineStr">
        <is>
          <t xml:space="preserve">  Line Company Dollar — Debt &amp; Equity</t>
        </is>
      </c>
      <c r="C142" s="399" t="inlineStr">
        <is>
          <t>$K</t>
        </is>
      </c>
      <c r="D142" s="400" t="inlineStr">
        <is>
          <t xml:space="preserve"> line gci − Total Payout</t>
        </is>
      </c>
      <c r="E142" s="401">
        <f>E141-E140</f>
        <v/>
      </c>
      <c r="F142" s="401">
        <f>F141-F140</f>
        <v/>
      </c>
      <c r="G142" s="401">
        <f>G141-G140</f>
        <v/>
      </c>
      <c r="H142" s="401">
        <f>H141-H140</f>
        <v/>
      </c>
      <c r="I142" s="387">
        <f>SUM(E142:H142)</f>
        <v/>
      </c>
      <c r="J142" s="401">
        <f>J141-J140</f>
        <v/>
      </c>
      <c r="K142" s="401">
        <f>K141-K140</f>
        <v/>
      </c>
      <c r="L142" s="401">
        <f>L141-L140</f>
        <v/>
      </c>
      <c r="M142" s="401">
        <f>M141-M140</f>
        <v/>
      </c>
      <c r="N142" s="387">
        <f>SUM(J142:M142)</f>
        <v/>
      </c>
      <c r="O142" s="401">
        <f>O141-O140</f>
        <v/>
      </c>
      <c r="P142" s="401">
        <f>P141-P140</f>
        <v/>
      </c>
      <c r="Q142" s="401">
        <f>Q141-Q140</f>
        <v/>
      </c>
      <c r="R142" s="401">
        <f>R141-R140</f>
        <v/>
      </c>
      <c r="S142" s="387">
        <f>SUM(O142:R142)</f>
        <v/>
      </c>
      <c r="T142" s="401">
        <f>T141-T140</f>
        <v/>
      </c>
      <c r="U142" s="401">
        <f>U141-U140</f>
        <v/>
      </c>
      <c r="V142" s="401">
        <f>V141-V140</f>
        <v/>
      </c>
      <c r="W142" s="401">
        <f>W141-W140</f>
        <v/>
      </c>
      <c r="X142" s="387">
        <f>SUM(T142:W142)</f>
        <v/>
      </c>
      <c r="Y142" s="401">
        <f>Y141-Y140</f>
        <v/>
      </c>
      <c r="Z142" s="401">
        <f>Z141-Z140</f>
        <v/>
      </c>
      <c r="AA142" s="401">
        <f>AA141-AA140</f>
        <v/>
      </c>
      <c r="AB142" s="401">
        <f>AB141-AB140</f>
        <v/>
      </c>
      <c r="AC142" s="387">
        <f>SUM(Y142:AB142)</f>
        <v/>
      </c>
      <c r="AD142" s="401">
        <f>AD141-AD140</f>
        <v/>
      </c>
      <c r="AE142" s="401">
        <f>AE141-AE140</f>
        <v/>
      </c>
      <c r="AF142" s="401">
        <f>AF141-AF140</f>
        <v/>
      </c>
      <c r="AG142" s="401">
        <f>AG141-AG140</f>
        <v/>
      </c>
      <c r="AH142" s="387">
        <f>SUM(AD142:AG142)</f>
        <v/>
      </c>
      <c r="AI142" s="401">
        <f>AI141-AI140</f>
        <v/>
      </c>
      <c r="AJ142" s="401">
        <f>AJ141-AJ140</f>
        <v/>
      </c>
      <c r="AK142" s="401">
        <f>AK141-AK140</f>
        <v/>
      </c>
      <c r="AL142" s="401">
        <f>AL141-AL140</f>
        <v/>
      </c>
      <c r="AM142" s="387">
        <f>SUM(AI142:AL142)</f>
        <v/>
      </c>
      <c r="AN142" s="401">
        <f>AN141-AN140</f>
        <v/>
      </c>
      <c r="AO142" s="401">
        <f>AO141-AO140</f>
        <v/>
      </c>
      <c r="AP142" s="401">
        <f>AP141-AP140</f>
        <v/>
      </c>
      <c r="AQ142" s="401">
        <f>AQ141-AQ140</f>
        <v/>
      </c>
      <c r="AR142" s="387">
        <f>SUM(AN142:AQ142)</f>
        <v/>
      </c>
    </row>
    <row r="143" ht="13.5" customHeight="1" s="290">
      <c r="A143" s="395" t="n"/>
      <c r="B143" s="373" t="inlineStr">
        <is>
          <t xml:space="preserve">  Effective Payout Ratio — Debt &amp; Equity</t>
        </is>
      </c>
      <c r="C143" s="374" t="inlineStr">
        <is>
          <t>%</t>
        </is>
      </c>
      <c r="D143" s="396" t="inlineStr">
        <is>
          <t xml:space="preserve"> payout ÷ Line GCI</t>
        </is>
      </c>
      <c r="E143" s="376">
        <f>IFERROR(E140/E141,0)</f>
        <v/>
      </c>
      <c r="F143" s="376">
        <f>IFERROR(F140/F141,0)</f>
        <v/>
      </c>
      <c r="G143" s="376">
        <f>IFERROR(G140/G141,0)</f>
        <v/>
      </c>
      <c r="H143" s="376">
        <f>IFERROR(H140/H141,0)</f>
        <v/>
      </c>
      <c r="I143" s="344">
        <f>IFERROR(I140/I141,0)</f>
        <v/>
      </c>
      <c r="J143" s="376">
        <f>IFERROR(J140/J141,0)</f>
        <v/>
      </c>
      <c r="K143" s="376">
        <f>IFERROR(K140/K141,0)</f>
        <v/>
      </c>
      <c r="L143" s="376">
        <f>IFERROR(L140/L141,0)</f>
        <v/>
      </c>
      <c r="M143" s="376">
        <f>IFERROR(M140/M141,0)</f>
        <v/>
      </c>
      <c r="N143" s="344">
        <f>IFERROR(N140/N141,0)</f>
        <v/>
      </c>
      <c r="O143" s="376">
        <f>IFERROR(O140/O141,0)</f>
        <v/>
      </c>
      <c r="P143" s="376">
        <f>IFERROR(P140/P141,0)</f>
        <v/>
      </c>
      <c r="Q143" s="376">
        <f>IFERROR(Q140/Q141,0)</f>
        <v/>
      </c>
      <c r="R143" s="376">
        <f>IFERROR(R140/R141,0)</f>
        <v/>
      </c>
      <c r="S143" s="344">
        <f>IFERROR(S140/S141,0)</f>
        <v/>
      </c>
      <c r="T143" s="376">
        <f>IFERROR(T140/T141,0)</f>
        <v/>
      </c>
      <c r="U143" s="376">
        <f>IFERROR(U140/U141,0)</f>
        <v/>
      </c>
      <c r="V143" s="376">
        <f>IFERROR(V140/V141,0)</f>
        <v/>
      </c>
      <c r="W143" s="376">
        <f>IFERROR(W140/W141,0)</f>
        <v/>
      </c>
      <c r="X143" s="344">
        <f>IFERROR(X140/X141,0)</f>
        <v/>
      </c>
      <c r="Y143" s="376">
        <f>IFERROR(Y140/Y141,0)</f>
        <v/>
      </c>
      <c r="Z143" s="376">
        <f>IFERROR(Z140/Z141,0)</f>
        <v/>
      </c>
      <c r="AA143" s="376">
        <f>IFERROR(AA140/AA141,0)</f>
        <v/>
      </c>
      <c r="AB143" s="376">
        <f>IFERROR(AB140/AB141,0)</f>
        <v/>
      </c>
      <c r="AC143" s="344">
        <f>IFERROR(AC140/AC141,0)</f>
        <v/>
      </c>
      <c r="AD143" s="376">
        <f>IFERROR(AD140/AD141,0)</f>
        <v/>
      </c>
      <c r="AE143" s="376">
        <f>IFERROR(AE140/AE141,0)</f>
        <v/>
      </c>
      <c r="AF143" s="376">
        <f>IFERROR(AF140/AF141,0)</f>
        <v/>
      </c>
      <c r="AG143" s="376">
        <f>IFERROR(AG140/AG141,0)</f>
        <v/>
      </c>
      <c r="AH143" s="344">
        <f>IFERROR(AH140/AH141,0)</f>
        <v/>
      </c>
      <c r="AI143" s="376">
        <f>IFERROR(AI140/AI141,0)</f>
        <v/>
      </c>
      <c r="AJ143" s="376">
        <f>IFERROR(AJ140/AJ141,0)</f>
        <v/>
      </c>
      <c r="AK143" s="376">
        <f>IFERROR(AK140/AK141,0)</f>
        <v/>
      </c>
      <c r="AL143" s="376">
        <f>IFERROR(AL140/AL141,0)</f>
        <v/>
      </c>
      <c r="AM143" s="344">
        <f>IFERROR(AM140/AM141,0)</f>
        <v/>
      </c>
      <c r="AN143" s="376">
        <f>IFERROR(AN140/AN141,0)</f>
        <v/>
      </c>
      <c r="AO143" s="376">
        <f>IFERROR(AO140/AO141,0)</f>
        <v/>
      </c>
      <c r="AP143" s="376">
        <f>IFERROR(AP140/AP141,0)</f>
        <v/>
      </c>
      <c r="AQ143" s="376">
        <f>IFERROR(AQ140/AQ141,0)</f>
        <v/>
      </c>
      <c r="AR143" s="344">
        <f>IFERROR(AR140/AR141,0)</f>
        <v/>
      </c>
    </row>
    <row r="144" ht="4.5" customHeight="1" s="290"/>
    <row r="145" ht="3" customHeight="1" s="290">
      <c r="A145" s="293" t="n"/>
    </row>
    <row r="146" ht="4.5" customHeight="1" s="290"/>
    <row r="147" ht="15.75" customHeight="1" s="290">
      <c r="A147" s="338" t="inlineStr">
        <is>
          <t xml:space="preserve">  SECTION B — ADVISORY COMPENSATION  (Salary-Based — Not Split-Based)</t>
        </is>
      </c>
    </row>
    <row r="148" ht="3.75" customHeight="1" s="290"/>
    <row r="149" ht="12.75" customHeight="1" s="290">
      <c r="A149" s="348" t="inlineStr">
        <is>
          <t xml:space="preserve">  Advisory professionals are salaried. Salary from Tab 03 static table (col E = $K/yr). Merit increase applied annually. Bonus = Salary × Bonus %. Quarterly cost = Annual / 4. Advisory comp ratio = Total advisory comp ÷ Advisory revenue.</t>
        </is>
      </c>
    </row>
    <row r="150" ht="3.75" customHeight="1" s="290"/>
    <row r="151" ht="13.5" customHeight="1" s="290">
      <c r="A151" s="369" t="inlineStr">
        <is>
          <t xml:space="preserve">    ── Senior Appraiser ──</t>
        </is>
      </c>
    </row>
    <row r="152" ht="13.5" customHeight="1" s="290">
      <c r="A152" s="345" t="n"/>
      <c r="B152" s="370" t="inlineStr">
        <is>
          <t xml:space="preserve">  Advisory FTEs — Senior Appraiser</t>
        </is>
      </c>
      <c r="C152" s="371" t="inlineStr">
        <is>
          <t>FTE</t>
        </is>
      </c>
      <c r="D152" s="394" t="inlineStr">
        <is>
          <t>← Tab 04 row 171</t>
        </is>
      </c>
      <c r="E152" s="361">
        <f>'04 Producer Engine'!E171</f>
        <v/>
      </c>
      <c r="F152" s="361">
        <f>'04 Producer Engine'!F171</f>
        <v/>
      </c>
      <c r="G152" s="361">
        <f>'04 Producer Engine'!G171</f>
        <v/>
      </c>
      <c r="H152" s="361">
        <f>'04 Producer Engine'!H171</f>
        <v/>
      </c>
      <c r="I152" s="361">
        <f>AVERAGE(E152:H152)</f>
        <v/>
      </c>
      <c r="J152" s="361">
        <f>'04 Producer Engine'!J171</f>
        <v/>
      </c>
      <c r="K152" s="361">
        <f>'04 Producer Engine'!K171</f>
        <v/>
      </c>
      <c r="L152" s="361">
        <f>'04 Producer Engine'!L171</f>
        <v/>
      </c>
      <c r="M152" s="361">
        <f>'04 Producer Engine'!M171</f>
        <v/>
      </c>
      <c r="N152" s="361">
        <f>AVERAGE(J152:M152)</f>
        <v/>
      </c>
      <c r="O152" s="361">
        <f>'04 Producer Engine'!O171</f>
        <v/>
      </c>
      <c r="P152" s="361">
        <f>'04 Producer Engine'!P171</f>
        <v/>
      </c>
      <c r="Q152" s="361">
        <f>'04 Producer Engine'!Q171</f>
        <v/>
      </c>
      <c r="R152" s="361">
        <f>'04 Producer Engine'!R171</f>
        <v/>
      </c>
      <c r="S152" s="361">
        <f>AVERAGE(O152:R152)</f>
        <v/>
      </c>
      <c r="T152" s="361">
        <f>'04 Producer Engine'!T171</f>
        <v/>
      </c>
      <c r="U152" s="361">
        <f>'04 Producer Engine'!U171</f>
        <v/>
      </c>
      <c r="V152" s="361">
        <f>'04 Producer Engine'!V171</f>
        <v/>
      </c>
      <c r="W152" s="361">
        <f>'04 Producer Engine'!W171</f>
        <v/>
      </c>
      <c r="X152" s="361">
        <f>AVERAGE(T152:W152)</f>
        <v/>
      </c>
      <c r="Y152" s="361">
        <f>'04 Producer Engine'!Y171</f>
        <v/>
      </c>
      <c r="Z152" s="361">
        <f>'04 Producer Engine'!Z171</f>
        <v/>
      </c>
      <c r="AA152" s="361">
        <f>'04 Producer Engine'!AA171</f>
        <v/>
      </c>
      <c r="AB152" s="361">
        <f>'04 Producer Engine'!AB171</f>
        <v/>
      </c>
      <c r="AC152" s="361">
        <f>AVERAGE(Y152:AB152)</f>
        <v/>
      </c>
      <c r="AD152" s="361">
        <f>'04 Producer Engine'!AD171</f>
        <v/>
      </c>
      <c r="AE152" s="361">
        <f>'04 Producer Engine'!AE171</f>
        <v/>
      </c>
      <c r="AF152" s="361">
        <f>'04 Producer Engine'!AF171</f>
        <v/>
      </c>
      <c r="AG152" s="361">
        <f>'04 Producer Engine'!AG171</f>
        <v/>
      </c>
      <c r="AH152" s="361">
        <f>AVERAGE(AD152:AG152)</f>
        <v/>
      </c>
      <c r="AI152" s="361">
        <f>'04 Producer Engine'!AI171</f>
        <v/>
      </c>
      <c r="AJ152" s="361">
        <f>'04 Producer Engine'!AJ171</f>
        <v/>
      </c>
      <c r="AK152" s="361">
        <f>'04 Producer Engine'!AK171</f>
        <v/>
      </c>
      <c r="AL152" s="361">
        <f>'04 Producer Engine'!AL171</f>
        <v/>
      </c>
      <c r="AM152" s="361">
        <f>AVERAGE(AI152:AL152)</f>
        <v/>
      </c>
      <c r="AN152" s="361">
        <f>'04 Producer Engine'!AN171</f>
        <v/>
      </c>
      <c r="AO152" s="361">
        <f>'04 Producer Engine'!AO171</f>
        <v/>
      </c>
      <c r="AP152" s="361">
        <f>'04 Producer Engine'!AP171</f>
        <v/>
      </c>
      <c r="AQ152" s="361">
        <f>'04 Producer Engine'!AQ171</f>
        <v/>
      </c>
      <c r="AR152" s="361">
        <f>AVERAGE(AN152:AQ152)</f>
        <v/>
      </c>
    </row>
    <row r="153" ht="13.5" customHeight="1" s="290">
      <c r="A153" s="345" t="n"/>
      <c r="B153" s="370" t="inlineStr">
        <is>
          <t xml:space="preserve">  Base Salary — Senior Appraiser</t>
        </is>
      </c>
      <c r="C153" s="371" t="inlineStr">
        <is>
          <t>$K/yr</t>
        </is>
      </c>
      <c r="D153" s="394" t="inlineStr">
        <is>
          <t>← Tab 03 row 273 col E</t>
        </is>
      </c>
      <c r="E153" s="361">
        <f>'03 Operational Assumptions'!E273</f>
        <v/>
      </c>
      <c r="F153" s="361">
        <f>'03 Operational Assumptions'!E273</f>
        <v/>
      </c>
      <c r="G153" s="361">
        <f>'03 Operational Assumptions'!E273</f>
        <v/>
      </c>
      <c r="H153" s="361">
        <f>'03 Operational Assumptions'!E273</f>
        <v/>
      </c>
      <c r="I153" s="361">
        <f>'03 Operational Assumptions'!E273</f>
        <v/>
      </c>
      <c r="J153" s="361">
        <f>'03 Operational Assumptions'!E273</f>
        <v/>
      </c>
      <c r="K153" s="361">
        <f>'03 Operational Assumptions'!E273</f>
        <v/>
      </c>
      <c r="L153" s="361">
        <f>'03 Operational Assumptions'!E273</f>
        <v/>
      </c>
      <c r="M153" s="361">
        <f>'03 Operational Assumptions'!E273</f>
        <v/>
      </c>
      <c r="N153" s="361">
        <f>'03 Operational Assumptions'!E273</f>
        <v/>
      </c>
      <c r="O153" s="361">
        <f>'03 Operational Assumptions'!E273</f>
        <v/>
      </c>
      <c r="P153" s="361">
        <f>'03 Operational Assumptions'!E273</f>
        <v/>
      </c>
      <c r="Q153" s="361">
        <f>'03 Operational Assumptions'!E273</f>
        <v/>
      </c>
      <c r="R153" s="361">
        <f>'03 Operational Assumptions'!E273</f>
        <v/>
      </c>
      <c r="S153" s="361">
        <f>'03 Operational Assumptions'!E273</f>
        <v/>
      </c>
      <c r="T153" s="361">
        <f>'03 Operational Assumptions'!E273</f>
        <v/>
      </c>
      <c r="U153" s="361">
        <f>'03 Operational Assumptions'!E273</f>
        <v/>
      </c>
      <c r="V153" s="361">
        <f>'03 Operational Assumptions'!E273</f>
        <v/>
      </c>
      <c r="W153" s="361">
        <f>'03 Operational Assumptions'!E273</f>
        <v/>
      </c>
      <c r="X153" s="361">
        <f>'03 Operational Assumptions'!E273</f>
        <v/>
      </c>
      <c r="Y153" s="361">
        <f>'03 Operational Assumptions'!E273</f>
        <v/>
      </c>
      <c r="Z153" s="361">
        <f>'03 Operational Assumptions'!E273</f>
        <v/>
      </c>
      <c r="AA153" s="361">
        <f>'03 Operational Assumptions'!E273</f>
        <v/>
      </c>
      <c r="AB153" s="361">
        <f>'03 Operational Assumptions'!E273</f>
        <v/>
      </c>
      <c r="AC153" s="361">
        <f>'03 Operational Assumptions'!E273</f>
        <v/>
      </c>
      <c r="AD153" s="361">
        <f>'03 Operational Assumptions'!E273</f>
        <v/>
      </c>
      <c r="AE153" s="361">
        <f>'03 Operational Assumptions'!E273</f>
        <v/>
      </c>
      <c r="AF153" s="361">
        <f>'03 Operational Assumptions'!E273</f>
        <v/>
      </c>
      <c r="AG153" s="361">
        <f>'03 Operational Assumptions'!E273</f>
        <v/>
      </c>
      <c r="AH153" s="361">
        <f>'03 Operational Assumptions'!E273</f>
        <v/>
      </c>
      <c r="AI153" s="361">
        <f>'03 Operational Assumptions'!E273</f>
        <v/>
      </c>
      <c r="AJ153" s="361">
        <f>'03 Operational Assumptions'!E273</f>
        <v/>
      </c>
      <c r="AK153" s="361">
        <f>'03 Operational Assumptions'!E273</f>
        <v/>
      </c>
      <c r="AL153" s="361">
        <f>'03 Operational Assumptions'!E273</f>
        <v/>
      </c>
      <c r="AM153" s="361">
        <f>'03 Operational Assumptions'!E273</f>
        <v/>
      </c>
      <c r="AN153" s="361">
        <f>'03 Operational Assumptions'!E273</f>
        <v/>
      </c>
      <c r="AO153" s="361">
        <f>'03 Operational Assumptions'!E273</f>
        <v/>
      </c>
      <c r="AP153" s="361">
        <f>'03 Operational Assumptions'!E273</f>
        <v/>
      </c>
      <c r="AQ153" s="361">
        <f>'03 Operational Assumptions'!E273</f>
        <v/>
      </c>
      <c r="AR153" s="361">
        <f>'03 Operational Assumptions'!E273</f>
        <v/>
      </c>
    </row>
    <row r="154" ht="13.5" customHeight="1" s="290">
      <c r="A154" s="345" t="n"/>
      <c r="B154" s="370" t="inlineStr">
        <is>
          <t xml:space="preserve">  Bonus % of Base — Senior Appraiser</t>
        </is>
      </c>
      <c r="C154" s="371" t="inlineStr">
        <is>
          <t>%</t>
        </is>
      </c>
      <c r="D154" s="394" t="inlineStr">
        <is>
          <t>← Tab 03 row 273 col G</t>
        </is>
      </c>
      <c r="E154" s="361">
        <f>'03 Operational Assumptions'!G273</f>
        <v/>
      </c>
      <c r="F154" s="361">
        <f>'03 Operational Assumptions'!G273</f>
        <v/>
      </c>
      <c r="G154" s="361">
        <f>'03 Operational Assumptions'!G273</f>
        <v/>
      </c>
      <c r="H154" s="361">
        <f>'03 Operational Assumptions'!G273</f>
        <v/>
      </c>
      <c r="I154" s="361">
        <f>'03 Operational Assumptions'!G273</f>
        <v/>
      </c>
      <c r="J154" s="361">
        <f>'03 Operational Assumptions'!G273</f>
        <v/>
      </c>
      <c r="K154" s="361">
        <f>'03 Operational Assumptions'!G273</f>
        <v/>
      </c>
      <c r="L154" s="361">
        <f>'03 Operational Assumptions'!G273</f>
        <v/>
      </c>
      <c r="M154" s="361">
        <f>'03 Operational Assumptions'!G273</f>
        <v/>
      </c>
      <c r="N154" s="361">
        <f>'03 Operational Assumptions'!G273</f>
        <v/>
      </c>
      <c r="O154" s="361">
        <f>'03 Operational Assumptions'!G273</f>
        <v/>
      </c>
      <c r="P154" s="361">
        <f>'03 Operational Assumptions'!G273</f>
        <v/>
      </c>
      <c r="Q154" s="361">
        <f>'03 Operational Assumptions'!G273</f>
        <v/>
      </c>
      <c r="R154" s="361">
        <f>'03 Operational Assumptions'!G273</f>
        <v/>
      </c>
      <c r="S154" s="361">
        <f>'03 Operational Assumptions'!G273</f>
        <v/>
      </c>
      <c r="T154" s="361">
        <f>'03 Operational Assumptions'!G273</f>
        <v/>
      </c>
      <c r="U154" s="361">
        <f>'03 Operational Assumptions'!G273</f>
        <v/>
      </c>
      <c r="V154" s="361">
        <f>'03 Operational Assumptions'!G273</f>
        <v/>
      </c>
      <c r="W154" s="361">
        <f>'03 Operational Assumptions'!G273</f>
        <v/>
      </c>
      <c r="X154" s="361">
        <f>'03 Operational Assumptions'!G273</f>
        <v/>
      </c>
      <c r="Y154" s="361">
        <f>'03 Operational Assumptions'!G273</f>
        <v/>
      </c>
      <c r="Z154" s="361">
        <f>'03 Operational Assumptions'!G273</f>
        <v/>
      </c>
      <c r="AA154" s="361">
        <f>'03 Operational Assumptions'!G273</f>
        <v/>
      </c>
      <c r="AB154" s="361">
        <f>'03 Operational Assumptions'!G273</f>
        <v/>
      </c>
      <c r="AC154" s="361">
        <f>'03 Operational Assumptions'!G273</f>
        <v/>
      </c>
      <c r="AD154" s="361">
        <f>'03 Operational Assumptions'!G273</f>
        <v/>
      </c>
      <c r="AE154" s="361">
        <f>'03 Operational Assumptions'!G273</f>
        <v/>
      </c>
      <c r="AF154" s="361">
        <f>'03 Operational Assumptions'!G273</f>
        <v/>
      </c>
      <c r="AG154" s="361">
        <f>'03 Operational Assumptions'!G273</f>
        <v/>
      </c>
      <c r="AH154" s="361">
        <f>'03 Operational Assumptions'!G273</f>
        <v/>
      </c>
      <c r="AI154" s="361">
        <f>'03 Operational Assumptions'!G273</f>
        <v/>
      </c>
      <c r="AJ154" s="361">
        <f>'03 Operational Assumptions'!G273</f>
        <v/>
      </c>
      <c r="AK154" s="361">
        <f>'03 Operational Assumptions'!G273</f>
        <v/>
      </c>
      <c r="AL154" s="361">
        <f>'03 Operational Assumptions'!G273</f>
        <v/>
      </c>
      <c r="AM154" s="361">
        <f>'03 Operational Assumptions'!G273</f>
        <v/>
      </c>
      <c r="AN154" s="361">
        <f>'03 Operational Assumptions'!G273</f>
        <v/>
      </c>
      <c r="AO154" s="361">
        <f>'03 Operational Assumptions'!G273</f>
        <v/>
      </c>
      <c r="AP154" s="361">
        <f>'03 Operational Assumptions'!G273</f>
        <v/>
      </c>
      <c r="AQ154" s="361">
        <f>'03 Operational Assumptions'!G273</f>
        <v/>
      </c>
      <c r="AR154" s="361">
        <f>'03 Operational Assumptions'!G273</f>
        <v/>
      </c>
    </row>
    <row r="155" ht="13.5" customHeight="1" s="290">
      <c r="A155" s="395" t="n"/>
      <c r="B155" s="373" t="inlineStr">
        <is>
          <t xml:space="preserve">  Salary Cost — Senior Appraiser</t>
        </is>
      </c>
      <c r="C155" s="374" t="inlineStr">
        <is>
          <t>$K/qtr</t>
        </is>
      </c>
      <c r="D155" s="396" t="inlineStr">
        <is>
          <t xml:space="preserve"> ftes × Annual Salary ÷ 4</t>
        </is>
      </c>
      <c r="E155" s="376">
        <f>E152*E153/4</f>
        <v/>
      </c>
      <c r="F155" s="376">
        <f>F152*F153/4</f>
        <v/>
      </c>
      <c r="G155" s="376">
        <f>G152*G153/4</f>
        <v/>
      </c>
      <c r="H155" s="376">
        <f>H152*H153/4</f>
        <v/>
      </c>
      <c r="I155" s="344">
        <f>SUM(E155:H155)</f>
        <v/>
      </c>
      <c r="J155" s="376">
        <f>J152*J153/4</f>
        <v/>
      </c>
      <c r="K155" s="376">
        <f>K152*K153/4</f>
        <v/>
      </c>
      <c r="L155" s="376">
        <f>L152*L153/4</f>
        <v/>
      </c>
      <c r="M155" s="376">
        <f>M152*M153/4</f>
        <v/>
      </c>
      <c r="N155" s="344">
        <f>SUM(J155:M155)</f>
        <v/>
      </c>
      <c r="O155" s="376">
        <f>O152*O153/4</f>
        <v/>
      </c>
      <c r="P155" s="376">
        <f>P152*P153/4</f>
        <v/>
      </c>
      <c r="Q155" s="376">
        <f>Q152*Q153/4</f>
        <v/>
      </c>
      <c r="R155" s="376">
        <f>R152*R153/4</f>
        <v/>
      </c>
      <c r="S155" s="344">
        <f>SUM(O155:R155)</f>
        <v/>
      </c>
      <c r="T155" s="376">
        <f>T152*T153/4</f>
        <v/>
      </c>
      <c r="U155" s="376">
        <f>U152*U153/4</f>
        <v/>
      </c>
      <c r="V155" s="376">
        <f>V152*V153/4</f>
        <v/>
      </c>
      <c r="W155" s="376">
        <f>W152*W153/4</f>
        <v/>
      </c>
      <c r="X155" s="344">
        <f>SUM(T155:W155)</f>
        <v/>
      </c>
      <c r="Y155" s="376">
        <f>Y152*Y153/4</f>
        <v/>
      </c>
      <c r="Z155" s="376">
        <f>Z152*Z153/4</f>
        <v/>
      </c>
      <c r="AA155" s="376">
        <f>AA152*AA153/4</f>
        <v/>
      </c>
      <c r="AB155" s="376">
        <f>AB152*AB153/4</f>
        <v/>
      </c>
      <c r="AC155" s="344">
        <f>SUM(Y155:AB155)</f>
        <v/>
      </c>
      <c r="AD155" s="376">
        <f>AD152*AD153/4</f>
        <v/>
      </c>
      <c r="AE155" s="376">
        <f>AE152*AE153/4</f>
        <v/>
      </c>
      <c r="AF155" s="376">
        <f>AF152*AF153/4</f>
        <v/>
      </c>
      <c r="AG155" s="376">
        <f>AG152*AG153/4</f>
        <v/>
      </c>
      <c r="AH155" s="344">
        <f>SUM(AD155:AG155)</f>
        <v/>
      </c>
      <c r="AI155" s="376">
        <f>AI152*AI153/4</f>
        <v/>
      </c>
      <c r="AJ155" s="376">
        <f>AJ152*AJ153/4</f>
        <v/>
      </c>
      <c r="AK155" s="376">
        <f>AK152*AK153/4</f>
        <v/>
      </c>
      <c r="AL155" s="376">
        <f>AL152*AL153/4</f>
        <v/>
      </c>
      <c r="AM155" s="344">
        <f>SUM(AI155:AL155)</f>
        <v/>
      </c>
      <c r="AN155" s="376">
        <f>AN152*AN153/4</f>
        <v/>
      </c>
      <c r="AO155" s="376">
        <f>AO152*AO153/4</f>
        <v/>
      </c>
      <c r="AP155" s="376">
        <f>AP152*AP153/4</f>
        <v/>
      </c>
      <c r="AQ155" s="376">
        <f>AQ152*AQ153/4</f>
        <v/>
      </c>
      <c r="AR155" s="344">
        <f>SUM(AN155:AQ155)</f>
        <v/>
      </c>
    </row>
    <row r="156" ht="13.5" customHeight="1" s="290">
      <c r="A156" s="395" t="n"/>
      <c r="B156" s="373" t="inlineStr">
        <is>
          <t xml:space="preserve">  Bonus Cost — Senior Appraiser</t>
        </is>
      </c>
      <c r="C156" s="374" t="inlineStr">
        <is>
          <t>$K/qtr</t>
        </is>
      </c>
      <c r="D156" s="396" t="inlineStr">
        <is>
          <t xml:space="preserve"> salary cost × Bonus %</t>
        </is>
      </c>
      <c r="E156" s="376">
        <f>E155*E154</f>
        <v/>
      </c>
      <c r="F156" s="376">
        <f>F155*F154</f>
        <v/>
      </c>
      <c r="G156" s="376">
        <f>G155*G154</f>
        <v/>
      </c>
      <c r="H156" s="376">
        <f>H155*H154</f>
        <v/>
      </c>
      <c r="I156" s="344">
        <f>SUM(E156:H156)</f>
        <v/>
      </c>
      <c r="J156" s="376">
        <f>J155*J154</f>
        <v/>
      </c>
      <c r="K156" s="376">
        <f>K155*K154</f>
        <v/>
      </c>
      <c r="L156" s="376">
        <f>L155*L154</f>
        <v/>
      </c>
      <c r="M156" s="376">
        <f>M155*M154</f>
        <v/>
      </c>
      <c r="N156" s="344">
        <f>SUM(J156:M156)</f>
        <v/>
      </c>
      <c r="O156" s="376">
        <f>O155*O154</f>
        <v/>
      </c>
      <c r="P156" s="376">
        <f>P155*P154</f>
        <v/>
      </c>
      <c r="Q156" s="376">
        <f>Q155*Q154</f>
        <v/>
      </c>
      <c r="R156" s="376">
        <f>R155*R154</f>
        <v/>
      </c>
      <c r="S156" s="344">
        <f>SUM(O156:R156)</f>
        <v/>
      </c>
      <c r="T156" s="376">
        <f>T155*T154</f>
        <v/>
      </c>
      <c r="U156" s="376">
        <f>U155*U154</f>
        <v/>
      </c>
      <c r="V156" s="376">
        <f>V155*V154</f>
        <v/>
      </c>
      <c r="W156" s="376">
        <f>W155*W154</f>
        <v/>
      </c>
      <c r="X156" s="344">
        <f>SUM(T156:W156)</f>
        <v/>
      </c>
      <c r="Y156" s="376">
        <f>Y155*Y154</f>
        <v/>
      </c>
      <c r="Z156" s="376">
        <f>Z155*Z154</f>
        <v/>
      </c>
      <c r="AA156" s="376">
        <f>AA155*AA154</f>
        <v/>
      </c>
      <c r="AB156" s="376">
        <f>AB155*AB154</f>
        <v/>
      </c>
      <c r="AC156" s="344">
        <f>SUM(Y156:AB156)</f>
        <v/>
      </c>
      <c r="AD156" s="376">
        <f>AD155*AD154</f>
        <v/>
      </c>
      <c r="AE156" s="376">
        <f>AE155*AE154</f>
        <v/>
      </c>
      <c r="AF156" s="376">
        <f>AF155*AF154</f>
        <v/>
      </c>
      <c r="AG156" s="376">
        <f>AG155*AG154</f>
        <v/>
      </c>
      <c r="AH156" s="344">
        <f>SUM(AD156:AG156)</f>
        <v/>
      </c>
      <c r="AI156" s="376">
        <f>AI155*AI154</f>
        <v/>
      </c>
      <c r="AJ156" s="376">
        <f>AJ155*AJ154</f>
        <v/>
      </c>
      <c r="AK156" s="376">
        <f>AK155*AK154</f>
        <v/>
      </c>
      <c r="AL156" s="376">
        <f>AL155*AL154</f>
        <v/>
      </c>
      <c r="AM156" s="344">
        <f>SUM(AI156:AL156)</f>
        <v/>
      </c>
      <c r="AN156" s="376">
        <f>AN155*AN154</f>
        <v/>
      </c>
      <c r="AO156" s="376">
        <f>AO155*AO154</f>
        <v/>
      </c>
      <c r="AP156" s="376">
        <f>AP155*AP154</f>
        <v/>
      </c>
      <c r="AQ156" s="376">
        <f>AQ155*AQ154</f>
        <v/>
      </c>
      <c r="AR156" s="344">
        <f>SUM(AN156:AQ156)</f>
        <v/>
      </c>
    </row>
    <row r="157" ht="13.5" customHeight="1" s="290">
      <c r="A157" s="395" t="n"/>
      <c r="B157" s="402" t="inlineStr">
        <is>
          <t xml:space="preserve">  Total Comp — Senior Appraiser</t>
        </is>
      </c>
      <c r="C157" s="374" t="inlineStr">
        <is>
          <t>$K/qtr</t>
        </is>
      </c>
      <c r="D157" s="396" t="inlineStr">
        <is>
          <t xml:space="preserve"> salary + bonus</t>
        </is>
      </c>
      <c r="E157" s="403">
        <f>E155+E156</f>
        <v/>
      </c>
      <c r="F157" s="403">
        <f>F155+F156</f>
        <v/>
      </c>
      <c r="G157" s="403">
        <f>G155+G156</f>
        <v/>
      </c>
      <c r="H157" s="403">
        <f>H155+H156</f>
        <v/>
      </c>
      <c r="I157" s="387">
        <f>SUM(E157:H157)</f>
        <v/>
      </c>
      <c r="J157" s="403">
        <f>J155+J156</f>
        <v/>
      </c>
      <c r="K157" s="403">
        <f>K155+K156</f>
        <v/>
      </c>
      <c r="L157" s="403">
        <f>L155+L156</f>
        <v/>
      </c>
      <c r="M157" s="403">
        <f>M155+M156</f>
        <v/>
      </c>
      <c r="N157" s="387">
        <f>SUM(J157:M157)</f>
        <v/>
      </c>
      <c r="O157" s="403">
        <f>O155+O156</f>
        <v/>
      </c>
      <c r="P157" s="403">
        <f>P155+P156</f>
        <v/>
      </c>
      <c r="Q157" s="403">
        <f>Q155+Q156</f>
        <v/>
      </c>
      <c r="R157" s="403">
        <f>R155+R156</f>
        <v/>
      </c>
      <c r="S157" s="387">
        <f>SUM(O157:R157)</f>
        <v/>
      </c>
      <c r="T157" s="403">
        <f>T155+T156</f>
        <v/>
      </c>
      <c r="U157" s="403">
        <f>U155+U156</f>
        <v/>
      </c>
      <c r="V157" s="403">
        <f>V155+V156</f>
        <v/>
      </c>
      <c r="W157" s="403">
        <f>W155+W156</f>
        <v/>
      </c>
      <c r="X157" s="387">
        <f>SUM(T157:W157)</f>
        <v/>
      </c>
      <c r="Y157" s="403">
        <f>Y155+Y156</f>
        <v/>
      </c>
      <c r="Z157" s="403">
        <f>Z155+Z156</f>
        <v/>
      </c>
      <c r="AA157" s="403">
        <f>AA155+AA156</f>
        <v/>
      </c>
      <c r="AB157" s="403">
        <f>AB155+AB156</f>
        <v/>
      </c>
      <c r="AC157" s="387">
        <f>SUM(Y157:AB157)</f>
        <v/>
      </c>
      <c r="AD157" s="403">
        <f>AD155+AD156</f>
        <v/>
      </c>
      <c r="AE157" s="403">
        <f>AE155+AE156</f>
        <v/>
      </c>
      <c r="AF157" s="403">
        <f>AF155+AF156</f>
        <v/>
      </c>
      <c r="AG157" s="403">
        <f>AG155+AG156</f>
        <v/>
      </c>
      <c r="AH157" s="387">
        <f>SUM(AD157:AG157)</f>
        <v/>
      </c>
      <c r="AI157" s="403">
        <f>AI155+AI156</f>
        <v/>
      </c>
      <c r="AJ157" s="403">
        <f>AJ155+AJ156</f>
        <v/>
      </c>
      <c r="AK157" s="403">
        <f>AK155+AK156</f>
        <v/>
      </c>
      <c r="AL157" s="403">
        <f>AL155+AL156</f>
        <v/>
      </c>
      <c r="AM157" s="387">
        <f>SUM(AI157:AL157)</f>
        <v/>
      </c>
      <c r="AN157" s="403">
        <f>AN155+AN156</f>
        <v/>
      </c>
      <c r="AO157" s="403">
        <f>AO155+AO156</f>
        <v/>
      </c>
      <c r="AP157" s="403">
        <f>AP155+AP156</f>
        <v/>
      </c>
      <c r="AQ157" s="403">
        <f>AQ155+AQ156</f>
        <v/>
      </c>
      <c r="AR157" s="387">
        <f>SUM(AN157:AQ157)</f>
        <v/>
      </c>
    </row>
    <row r="158" ht="3.75" customHeight="1" s="290"/>
    <row r="159" ht="13.5" customHeight="1" s="290">
      <c r="A159" s="369" t="inlineStr">
        <is>
          <t xml:space="preserve">    ── Appraiser ──</t>
        </is>
      </c>
    </row>
    <row r="160" ht="13.5" customHeight="1" s="290">
      <c r="A160" s="345" t="n"/>
      <c r="B160" s="370" t="inlineStr">
        <is>
          <t xml:space="preserve">  Advisory FTEs — Appraiser</t>
        </is>
      </c>
      <c r="C160" s="371" t="inlineStr">
        <is>
          <t>FTE</t>
        </is>
      </c>
      <c r="D160" s="394" t="inlineStr">
        <is>
          <t>← Tab 04 row 181</t>
        </is>
      </c>
      <c r="E160" s="361">
        <f>'04 Producer Engine'!E181</f>
        <v/>
      </c>
      <c r="F160" s="361">
        <f>'04 Producer Engine'!F181</f>
        <v/>
      </c>
      <c r="G160" s="361">
        <f>'04 Producer Engine'!G181</f>
        <v/>
      </c>
      <c r="H160" s="361">
        <f>'04 Producer Engine'!H181</f>
        <v/>
      </c>
      <c r="I160" s="361">
        <f>AVERAGE(E160:H160)</f>
        <v/>
      </c>
      <c r="J160" s="361">
        <f>'04 Producer Engine'!J181</f>
        <v/>
      </c>
      <c r="K160" s="361">
        <f>'04 Producer Engine'!K181</f>
        <v/>
      </c>
      <c r="L160" s="361">
        <f>'04 Producer Engine'!L181</f>
        <v/>
      </c>
      <c r="M160" s="361">
        <f>'04 Producer Engine'!M181</f>
        <v/>
      </c>
      <c r="N160" s="361">
        <f>AVERAGE(J160:M160)</f>
        <v/>
      </c>
      <c r="O160" s="361">
        <f>'04 Producer Engine'!O181</f>
        <v/>
      </c>
      <c r="P160" s="361">
        <f>'04 Producer Engine'!P181</f>
        <v/>
      </c>
      <c r="Q160" s="361">
        <f>'04 Producer Engine'!Q181</f>
        <v/>
      </c>
      <c r="R160" s="361">
        <f>'04 Producer Engine'!R181</f>
        <v/>
      </c>
      <c r="S160" s="361">
        <f>AVERAGE(O160:R160)</f>
        <v/>
      </c>
      <c r="T160" s="361">
        <f>'04 Producer Engine'!T181</f>
        <v/>
      </c>
      <c r="U160" s="361">
        <f>'04 Producer Engine'!U181</f>
        <v/>
      </c>
      <c r="V160" s="361">
        <f>'04 Producer Engine'!V181</f>
        <v/>
      </c>
      <c r="W160" s="361">
        <f>'04 Producer Engine'!W181</f>
        <v/>
      </c>
      <c r="X160" s="361">
        <f>AVERAGE(T160:W160)</f>
        <v/>
      </c>
      <c r="Y160" s="361">
        <f>'04 Producer Engine'!Y181</f>
        <v/>
      </c>
      <c r="Z160" s="361">
        <f>'04 Producer Engine'!Z181</f>
        <v/>
      </c>
      <c r="AA160" s="361">
        <f>'04 Producer Engine'!AA181</f>
        <v/>
      </c>
      <c r="AB160" s="361">
        <f>'04 Producer Engine'!AB181</f>
        <v/>
      </c>
      <c r="AC160" s="361">
        <f>AVERAGE(Y160:AB160)</f>
        <v/>
      </c>
      <c r="AD160" s="361">
        <f>'04 Producer Engine'!AD181</f>
        <v/>
      </c>
      <c r="AE160" s="361">
        <f>'04 Producer Engine'!AE181</f>
        <v/>
      </c>
      <c r="AF160" s="361">
        <f>'04 Producer Engine'!AF181</f>
        <v/>
      </c>
      <c r="AG160" s="361">
        <f>'04 Producer Engine'!AG181</f>
        <v/>
      </c>
      <c r="AH160" s="361">
        <f>AVERAGE(AD160:AG160)</f>
        <v/>
      </c>
      <c r="AI160" s="361">
        <f>'04 Producer Engine'!AI181</f>
        <v/>
      </c>
      <c r="AJ160" s="361">
        <f>'04 Producer Engine'!AJ181</f>
        <v/>
      </c>
      <c r="AK160" s="361">
        <f>'04 Producer Engine'!AK181</f>
        <v/>
      </c>
      <c r="AL160" s="361">
        <f>'04 Producer Engine'!AL181</f>
        <v/>
      </c>
      <c r="AM160" s="361">
        <f>AVERAGE(AI160:AL160)</f>
        <v/>
      </c>
      <c r="AN160" s="361">
        <f>'04 Producer Engine'!AN181</f>
        <v/>
      </c>
      <c r="AO160" s="361">
        <f>'04 Producer Engine'!AO181</f>
        <v/>
      </c>
      <c r="AP160" s="361">
        <f>'04 Producer Engine'!AP181</f>
        <v/>
      </c>
      <c r="AQ160" s="361">
        <f>'04 Producer Engine'!AQ181</f>
        <v/>
      </c>
      <c r="AR160" s="361">
        <f>AVERAGE(AN160:AQ160)</f>
        <v/>
      </c>
    </row>
    <row r="161" ht="13.5" customHeight="1" s="290">
      <c r="A161" s="345" t="n"/>
      <c r="B161" s="370" t="inlineStr">
        <is>
          <t xml:space="preserve">  Base Salary — Appraiser</t>
        </is>
      </c>
      <c r="C161" s="371" t="inlineStr">
        <is>
          <t>$K/yr</t>
        </is>
      </c>
      <c r="D161" s="394" t="inlineStr">
        <is>
          <t>← Tab 03 row 274 col E</t>
        </is>
      </c>
      <c r="E161" s="361">
        <f>'03 Operational Assumptions'!E274</f>
        <v/>
      </c>
      <c r="F161" s="361">
        <f>'03 Operational Assumptions'!E274</f>
        <v/>
      </c>
      <c r="G161" s="361">
        <f>'03 Operational Assumptions'!E274</f>
        <v/>
      </c>
      <c r="H161" s="361">
        <f>'03 Operational Assumptions'!E274</f>
        <v/>
      </c>
      <c r="I161" s="361">
        <f>'03 Operational Assumptions'!E274</f>
        <v/>
      </c>
      <c r="J161" s="361">
        <f>'03 Operational Assumptions'!E274</f>
        <v/>
      </c>
      <c r="K161" s="361">
        <f>'03 Operational Assumptions'!E274</f>
        <v/>
      </c>
      <c r="L161" s="361">
        <f>'03 Operational Assumptions'!E274</f>
        <v/>
      </c>
      <c r="M161" s="361">
        <f>'03 Operational Assumptions'!E274</f>
        <v/>
      </c>
      <c r="N161" s="361">
        <f>'03 Operational Assumptions'!E274</f>
        <v/>
      </c>
      <c r="O161" s="361">
        <f>'03 Operational Assumptions'!E274</f>
        <v/>
      </c>
      <c r="P161" s="361">
        <f>'03 Operational Assumptions'!E274</f>
        <v/>
      </c>
      <c r="Q161" s="361">
        <f>'03 Operational Assumptions'!E274</f>
        <v/>
      </c>
      <c r="R161" s="361">
        <f>'03 Operational Assumptions'!E274</f>
        <v/>
      </c>
      <c r="S161" s="361">
        <f>'03 Operational Assumptions'!E274</f>
        <v/>
      </c>
      <c r="T161" s="361">
        <f>'03 Operational Assumptions'!E274</f>
        <v/>
      </c>
      <c r="U161" s="361">
        <f>'03 Operational Assumptions'!E274</f>
        <v/>
      </c>
      <c r="V161" s="361">
        <f>'03 Operational Assumptions'!E274</f>
        <v/>
      </c>
      <c r="W161" s="361">
        <f>'03 Operational Assumptions'!E274</f>
        <v/>
      </c>
      <c r="X161" s="361">
        <f>'03 Operational Assumptions'!E274</f>
        <v/>
      </c>
      <c r="Y161" s="361">
        <f>'03 Operational Assumptions'!E274</f>
        <v/>
      </c>
      <c r="Z161" s="361">
        <f>'03 Operational Assumptions'!E274</f>
        <v/>
      </c>
      <c r="AA161" s="361">
        <f>'03 Operational Assumptions'!E274</f>
        <v/>
      </c>
      <c r="AB161" s="361">
        <f>'03 Operational Assumptions'!E274</f>
        <v/>
      </c>
      <c r="AC161" s="361">
        <f>'03 Operational Assumptions'!E274</f>
        <v/>
      </c>
      <c r="AD161" s="361">
        <f>'03 Operational Assumptions'!E274</f>
        <v/>
      </c>
      <c r="AE161" s="361">
        <f>'03 Operational Assumptions'!E274</f>
        <v/>
      </c>
      <c r="AF161" s="361">
        <f>'03 Operational Assumptions'!E274</f>
        <v/>
      </c>
      <c r="AG161" s="361">
        <f>'03 Operational Assumptions'!E274</f>
        <v/>
      </c>
      <c r="AH161" s="361">
        <f>'03 Operational Assumptions'!E274</f>
        <v/>
      </c>
      <c r="AI161" s="361">
        <f>'03 Operational Assumptions'!E274</f>
        <v/>
      </c>
      <c r="AJ161" s="361">
        <f>'03 Operational Assumptions'!E274</f>
        <v/>
      </c>
      <c r="AK161" s="361">
        <f>'03 Operational Assumptions'!E274</f>
        <v/>
      </c>
      <c r="AL161" s="361">
        <f>'03 Operational Assumptions'!E274</f>
        <v/>
      </c>
      <c r="AM161" s="361">
        <f>'03 Operational Assumptions'!E274</f>
        <v/>
      </c>
      <c r="AN161" s="361">
        <f>'03 Operational Assumptions'!E274</f>
        <v/>
      </c>
      <c r="AO161" s="361">
        <f>'03 Operational Assumptions'!E274</f>
        <v/>
      </c>
      <c r="AP161" s="361">
        <f>'03 Operational Assumptions'!E274</f>
        <v/>
      </c>
      <c r="AQ161" s="361">
        <f>'03 Operational Assumptions'!E274</f>
        <v/>
      </c>
      <c r="AR161" s="361">
        <f>'03 Operational Assumptions'!E274</f>
        <v/>
      </c>
    </row>
    <row r="162" ht="13.5" customHeight="1" s="290">
      <c r="A162" s="345" t="n"/>
      <c r="B162" s="370" t="inlineStr">
        <is>
          <t xml:space="preserve">  Bonus % of Base — Appraiser</t>
        </is>
      </c>
      <c r="C162" s="371" t="inlineStr">
        <is>
          <t>%</t>
        </is>
      </c>
      <c r="D162" s="394" t="inlineStr">
        <is>
          <t>← Tab 03 row 274 col G</t>
        </is>
      </c>
      <c r="E162" s="361">
        <f>'03 Operational Assumptions'!G274</f>
        <v/>
      </c>
      <c r="F162" s="361">
        <f>'03 Operational Assumptions'!G274</f>
        <v/>
      </c>
      <c r="G162" s="361">
        <f>'03 Operational Assumptions'!G274</f>
        <v/>
      </c>
      <c r="H162" s="361">
        <f>'03 Operational Assumptions'!G274</f>
        <v/>
      </c>
      <c r="I162" s="361">
        <f>'03 Operational Assumptions'!G274</f>
        <v/>
      </c>
      <c r="J162" s="361">
        <f>'03 Operational Assumptions'!G274</f>
        <v/>
      </c>
      <c r="K162" s="361">
        <f>'03 Operational Assumptions'!G274</f>
        <v/>
      </c>
      <c r="L162" s="361">
        <f>'03 Operational Assumptions'!G274</f>
        <v/>
      </c>
      <c r="M162" s="361">
        <f>'03 Operational Assumptions'!G274</f>
        <v/>
      </c>
      <c r="N162" s="361">
        <f>'03 Operational Assumptions'!G274</f>
        <v/>
      </c>
      <c r="O162" s="361">
        <f>'03 Operational Assumptions'!G274</f>
        <v/>
      </c>
      <c r="P162" s="361">
        <f>'03 Operational Assumptions'!G274</f>
        <v/>
      </c>
      <c r="Q162" s="361">
        <f>'03 Operational Assumptions'!G274</f>
        <v/>
      </c>
      <c r="R162" s="361">
        <f>'03 Operational Assumptions'!G274</f>
        <v/>
      </c>
      <c r="S162" s="361">
        <f>'03 Operational Assumptions'!G274</f>
        <v/>
      </c>
      <c r="T162" s="361">
        <f>'03 Operational Assumptions'!G274</f>
        <v/>
      </c>
      <c r="U162" s="361">
        <f>'03 Operational Assumptions'!G274</f>
        <v/>
      </c>
      <c r="V162" s="361">
        <f>'03 Operational Assumptions'!G274</f>
        <v/>
      </c>
      <c r="W162" s="361">
        <f>'03 Operational Assumptions'!G274</f>
        <v/>
      </c>
      <c r="X162" s="361">
        <f>'03 Operational Assumptions'!G274</f>
        <v/>
      </c>
      <c r="Y162" s="361">
        <f>'03 Operational Assumptions'!G274</f>
        <v/>
      </c>
      <c r="Z162" s="361">
        <f>'03 Operational Assumptions'!G274</f>
        <v/>
      </c>
      <c r="AA162" s="361">
        <f>'03 Operational Assumptions'!G274</f>
        <v/>
      </c>
      <c r="AB162" s="361">
        <f>'03 Operational Assumptions'!G274</f>
        <v/>
      </c>
      <c r="AC162" s="361">
        <f>'03 Operational Assumptions'!G274</f>
        <v/>
      </c>
      <c r="AD162" s="361">
        <f>'03 Operational Assumptions'!G274</f>
        <v/>
      </c>
      <c r="AE162" s="361">
        <f>'03 Operational Assumptions'!G274</f>
        <v/>
      </c>
      <c r="AF162" s="361">
        <f>'03 Operational Assumptions'!G274</f>
        <v/>
      </c>
      <c r="AG162" s="361">
        <f>'03 Operational Assumptions'!G274</f>
        <v/>
      </c>
      <c r="AH162" s="361">
        <f>'03 Operational Assumptions'!G274</f>
        <v/>
      </c>
      <c r="AI162" s="361">
        <f>'03 Operational Assumptions'!G274</f>
        <v/>
      </c>
      <c r="AJ162" s="361">
        <f>'03 Operational Assumptions'!G274</f>
        <v/>
      </c>
      <c r="AK162" s="361">
        <f>'03 Operational Assumptions'!G274</f>
        <v/>
      </c>
      <c r="AL162" s="361">
        <f>'03 Operational Assumptions'!G274</f>
        <v/>
      </c>
      <c r="AM162" s="361">
        <f>'03 Operational Assumptions'!G274</f>
        <v/>
      </c>
      <c r="AN162" s="361">
        <f>'03 Operational Assumptions'!G274</f>
        <v/>
      </c>
      <c r="AO162" s="361">
        <f>'03 Operational Assumptions'!G274</f>
        <v/>
      </c>
      <c r="AP162" s="361">
        <f>'03 Operational Assumptions'!G274</f>
        <v/>
      </c>
      <c r="AQ162" s="361">
        <f>'03 Operational Assumptions'!G274</f>
        <v/>
      </c>
      <c r="AR162" s="361">
        <f>'03 Operational Assumptions'!G274</f>
        <v/>
      </c>
    </row>
    <row r="163" ht="13.5" customHeight="1" s="290">
      <c r="A163" s="395" t="n"/>
      <c r="B163" s="373" t="inlineStr">
        <is>
          <t xml:space="preserve">  Salary Cost — Appraiser</t>
        </is>
      </c>
      <c r="C163" s="374" t="inlineStr">
        <is>
          <t>$K/qtr</t>
        </is>
      </c>
      <c r="D163" s="396" t="inlineStr">
        <is>
          <t xml:space="preserve"> ftes × Annual Salary ÷ 4</t>
        </is>
      </c>
      <c r="E163" s="376">
        <f>E160*E161/4</f>
        <v/>
      </c>
      <c r="F163" s="376">
        <f>F160*F161/4</f>
        <v/>
      </c>
      <c r="G163" s="376">
        <f>G160*G161/4</f>
        <v/>
      </c>
      <c r="H163" s="376">
        <f>H160*H161/4</f>
        <v/>
      </c>
      <c r="I163" s="344">
        <f>SUM(E163:H163)</f>
        <v/>
      </c>
      <c r="J163" s="376">
        <f>J160*J161/4</f>
        <v/>
      </c>
      <c r="K163" s="376">
        <f>K160*K161/4</f>
        <v/>
      </c>
      <c r="L163" s="376">
        <f>L160*L161/4</f>
        <v/>
      </c>
      <c r="M163" s="376">
        <f>M160*M161/4</f>
        <v/>
      </c>
      <c r="N163" s="344">
        <f>SUM(J163:M163)</f>
        <v/>
      </c>
      <c r="O163" s="376">
        <f>O160*O161/4</f>
        <v/>
      </c>
      <c r="P163" s="376">
        <f>P160*P161/4</f>
        <v/>
      </c>
      <c r="Q163" s="376">
        <f>Q160*Q161/4</f>
        <v/>
      </c>
      <c r="R163" s="376">
        <f>R160*R161/4</f>
        <v/>
      </c>
      <c r="S163" s="344">
        <f>SUM(O163:R163)</f>
        <v/>
      </c>
      <c r="T163" s="376">
        <f>T160*T161/4</f>
        <v/>
      </c>
      <c r="U163" s="376">
        <f>U160*U161/4</f>
        <v/>
      </c>
      <c r="V163" s="376">
        <f>V160*V161/4</f>
        <v/>
      </c>
      <c r="W163" s="376">
        <f>W160*W161/4</f>
        <v/>
      </c>
      <c r="X163" s="344">
        <f>SUM(T163:W163)</f>
        <v/>
      </c>
      <c r="Y163" s="376">
        <f>Y160*Y161/4</f>
        <v/>
      </c>
      <c r="Z163" s="376">
        <f>Z160*Z161/4</f>
        <v/>
      </c>
      <c r="AA163" s="376">
        <f>AA160*AA161/4</f>
        <v/>
      </c>
      <c r="AB163" s="376">
        <f>AB160*AB161/4</f>
        <v/>
      </c>
      <c r="AC163" s="344">
        <f>SUM(Y163:AB163)</f>
        <v/>
      </c>
      <c r="AD163" s="376">
        <f>AD160*AD161/4</f>
        <v/>
      </c>
      <c r="AE163" s="376">
        <f>AE160*AE161/4</f>
        <v/>
      </c>
      <c r="AF163" s="376">
        <f>AF160*AF161/4</f>
        <v/>
      </c>
      <c r="AG163" s="376">
        <f>AG160*AG161/4</f>
        <v/>
      </c>
      <c r="AH163" s="344">
        <f>SUM(AD163:AG163)</f>
        <v/>
      </c>
      <c r="AI163" s="376">
        <f>AI160*AI161/4</f>
        <v/>
      </c>
      <c r="AJ163" s="376">
        <f>AJ160*AJ161/4</f>
        <v/>
      </c>
      <c r="AK163" s="376">
        <f>AK160*AK161/4</f>
        <v/>
      </c>
      <c r="AL163" s="376">
        <f>AL160*AL161/4</f>
        <v/>
      </c>
      <c r="AM163" s="344">
        <f>SUM(AI163:AL163)</f>
        <v/>
      </c>
      <c r="AN163" s="376">
        <f>AN160*AN161/4</f>
        <v/>
      </c>
      <c r="AO163" s="376">
        <f>AO160*AO161/4</f>
        <v/>
      </c>
      <c r="AP163" s="376">
        <f>AP160*AP161/4</f>
        <v/>
      </c>
      <c r="AQ163" s="376">
        <f>AQ160*AQ161/4</f>
        <v/>
      </c>
      <c r="AR163" s="344">
        <f>SUM(AN163:AQ163)</f>
        <v/>
      </c>
    </row>
    <row r="164" ht="13.5" customHeight="1" s="290">
      <c r="A164" s="395" t="n"/>
      <c r="B164" s="373" t="inlineStr">
        <is>
          <t xml:space="preserve">  Bonus Cost — Appraiser</t>
        </is>
      </c>
      <c r="C164" s="374" t="inlineStr">
        <is>
          <t>$K/qtr</t>
        </is>
      </c>
      <c r="D164" s="396" t="inlineStr">
        <is>
          <t xml:space="preserve"> salary cost × Bonus %</t>
        </is>
      </c>
      <c r="E164" s="376">
        <f>E163*E162</f>
        <v/>
      </c>
      <c r="F164" s="376">
        <f>F163*F162</f>
        <v/>
      </c>
      <c r="G164" s="376">
        <f>G163*G162</f>
        <v/>
      </c>
      <c r="H164" s="376">
        <f>H163*H162</f>
        <v/>
      </c>
      <c r="I164" s="344">
        <f>SUM(E164:H164)</f>
        <v/>
      </c>
      <c r="J164" s="376">
        <f>J163*J162</f>
        <v/>
      </c>
      <c r="K164" s="376">
        <f>K163*K162</f>
        <v/>
      </c>
      <c r="L164" s="376">
        <f>L163*L162</f>
        <v/>
      </c>
      <c r="M164" s="376">
        <f>M163*M162</f>
        <v/>
      </c>
      <c r="N164" s="344">
        <f>SUM(J164:M164)</f>
        <v/>
      </c>
      <c r="O164" s="376">
        <f>O163*O162</f>
        <v/>
      </c>
      <c r="P164" s="376">
        <f>P163*P162</f>
        <v/>
      </c>
      <c r="Q164" s="376">
        <f>Q163*Q162</f>
        <v/>
      </c>
      <c r="R164" s="376">
        <f>R163*R162</f>
        <v/>
      </c>
      <c r="S164" s="344">
        <f>SUM(O164:R164)</f>
        <v/>
      </c>
      <c r="T164" s="376">
        <f>T163*T162</f>
        <v/>
      </c>
      <c r="U164" s="376">
        <f>U163*U162</f>
        <v/>
      </c>
      <c r="V164" s="376">
        <f>V163*V162</f>
        <v/>
      </c>
      <c r="W164" s="376">
        <f>W163*W162</f>
        <v/>
      </c>
      <c r="X164" s="344">
        <f>SUM(T164:W164)</f>
        <v/>
      </c>
      <c r="Y164" s="376">
        <f>Y163*Y162</f>
        <v/>
      </c>
      <c r="Z164" s="376">
        <f>Z163*Z162</f>
        <v/>
      </c>
      <c r="AA164" s="376">
        <f>AA163*AA162</f>
        <v/>
      </c>
      <c r="AB164" s="376">
        <f>AB163*AB162</f>
        <v/>
      </c>
      <c r="AC164" s="344">
        <f>SUM(Y164:AB164)</f>
        <v/>
      </c>
      <c r="AD164" s="376">
        <f>AD163*AD162</f>
        <v/>
      </c>
      <c r="AE164" s="376">
        <f>AE163*AE162</f>
        <v/>
      </c>
      <c r="AF164" s="376">
        <f>AF163*AF162</f>
        <v/>
      </c>
      <c r="AG164" s="376">
        <f>AG163*AG162</f>
        <v/>
      </c>
      <c r="AH164" s="344">
        <f>SUM(AD164:AG164)</f>
        <v/>
      </c>
      <c r="AI164" s="376">
        <f>AI163*AI162</f>
        <v/>
      </c>
      <c r="AJ164" s="376">
        <f>AJ163*AJ162</f>
        <v/>
      </c>
      <c r="AK164" s="376">
        <f>AK163*AK162</f>
        <v/>
      </c>
      <c r="AL164" s="376">
        <f>AL163*AL162</f>
        <v/>
      </c>
      <c r="AM164" s="344">
        <f>SUM(AI164:AL164)</f>
        <v/>
      </c>
      <c r="AN164" s="376">
        <f>AN163*AN162</f>
        <v/>
      </c>
      <c r="AO164" s="376">
        <f>AO163*AO162</f>
        <v/>
      </c>
      <c r="AP164" s="376">
        <f>AP163*AP162</f>
        <v/>
      </c>
      <c r="AQ164" s="376">
        <f>AQ163*AQ162</f>
        <v/>
      </c>
      <c r="AR164" s="344">
        <f>SUM(AN164:AQ164)</f>
        <v/>
      </c>
    </row>
    <row r="165" ht="13.5" customHeight="1" s="290">
      <c r="A165" s="395" t="n"/>
      <c r="B165" s="402" t="inlineStr">
        <is>
          <t xml:space="preserve">  Total Comp — Appraiser</t>
        </is>
      </c>
      <c r="C165" s="374" t="inlineStr">
        <is>
          <t>$K/qtr</t>
        </is>
      </c>
      <c r="D165" s="396" t="inlineStr">
        <is>
          <t xml:space="preserve"> salary + bonus</t>
        </is>
      </c>
      <c r="E165" s="403">
        <f>E163+E164</f>
        <v/>
      </c>
      <c r="F165" s="403">
        <f>F163+F164</f>
        <v/>
      </c>
      <c r="G165" s="403">
        <f>G163+G164</f>
        <v/>
      </c>
      <c r="H165" s="403">
        <f>H163+H164</f>
        <v/>
      </c>
      <c r="I165" s="387">
        <f>SUM(E165:H165)</f>
        <v/>
      </c>
      <c r="J165" s="403">
        <f>J163+J164</f>
        <v/>
      </c>
      <c r="K165" s="403">
        <f>K163+K164</f>
        <v/>
      </c>
      <c r="L165" s="403">
        <f>L163+L164</f>
        <v/>
      </c>
      <c r="M165" s="403">
        <f>M163+M164</f>
        <v/>
      </c>
      <c r="N165" s="387">
        <f>SUM(J165:M165)</f>
        <v/>
      </c>
      <c r="O165" s="403">
        <f>O163+O164</f>
        <v/>
      </c>
      <c r="P165" s="403">
        <f>P163+P164</f>
        <v/>
      </c>
      <c r="Q165" s="403">
        <f>Q163+Q164</f>
        <v/>
      </c>
      <c r="R165" s="403">
        <f>R163+R164</f>
        <v/>
      </c>
      <c r="S165" s="387">
        <f>SUM(O165:R165)</f>
        <v/>
      </c>
      <c r="T165" s="403">
        <f>T163+T164</f>
        <v/>
      </c>
      <c r="U165" s="403">
        <f>U163+U164</f>
        <v/>
      </c>
      <c r="V165" s="403">
        <f>V163+V164</f>
        <v/>
      </c>
      <c r="W165" s="403">
        <f>W163+W164</f>
        <v/>
      </c>
      <c r="X165" s="387">
        <f>SUM(T165:W165)</f>
        <v/>
      </c>
      <c r="Y165" s="403">
        <f>Y163+Y164</f>
        <v/>
      </c>
      <c r="Z165" s="403">
        <f>Z163+Z164</f>
        <v/>
      </c>
      <c r="AA165" s="403">
        <f>AA163+AA164</f>
        <v/>
      </c>
      <c r="AB165" s="403">
        <f>AB163+AB164</f>
        <v/>
      </c>
      <c r="AC165" s="387">
        <f>SUM(Y165:AB165)</f>
        <v/>
      </c>
      <c r="AD165" s="403">
        <f>AD163+AD164</f>
        <v/>
      </c>
      <c r="AE165" s="403">
        <f>AE163+AE164</f>
        <v/>
      </c>
      <c r="AF165" s="403">
        <f>AF163+AF164</f>
        <v/>
      </c>
      <c r="AG165" s="403">
        <f>AG163+AG164</f>
        <v/>
      </c>
      <c r="AH165" s="387">
        <f>SUM(AD165:AG165)</f>
        <v/>
      </c>
      <c r="AI165" s="403">
        <f>AI163+AI164</f>
        <v/>
      </c>
      <c r="AJ165" s="403">
        <f>AJ163+AJ164</f>
        <v/>
      </c>
      <c r="AK165" s="403">
        <f>AK163+AK164</f>
        <v/>
      </c>
      <c r="AL165" s="403">
        <f>AL163+AL164</f>
        <v/>
      </c>
      <c r="AM165" s="387">
        <f>SUM(AI165:AL165)</f>
        <v/>
      </c>
      <c r="AN165" s="403">
        <f>AN163+AN164</f>
        <v/>
      </c>
      <c r="AO165" s="403">
        <f>AO163+AO164</f>
        <v/>
      </c>
      <c r="AP165" s="403">
        <f>AP163+AP164</f>
        <v/>
      </c>
      <c r="AQ165" s="403">
        <f>AQ163+AQ164</f>
        <v/>
      </c>
      <c r="AR165" s="387">
        <f>SUM(AN165:AQ165)</f>
        <v/>
      </c>
    </row>
    <row r="166" ht="3.75" customHeight="1" s="290"/>
    <row r="167" ht="13.5" customHeight="1" s="290">
      <c r="A167" s="369" t="inlineStr">
        <is>
          <t xml:space="preserve">    ── Analyst ──</t>
        </is>
      </c>
    </row>
    <row r="168" ht="13.5" customHeight="1" s="290">
      <c r="A168" s="345" t="n"/>
      <c r="B168" s="370" t="inlineStr">
        <is>
          <t xml:space="preserve">  Advisory FTEs — Analyst</t>
        </is>
      </c>
      <c r="C168" s="371" t="inlineStr">
        <is>
          <t>FTE</t>
        </is>
      </c>
      <c r="D168" s="394" t="inlineStr">
        <is>
          <t>← Tab 04 row 191</t>
        </is>
      </c>
      <c r="E168" s="361">
        <f>'04 Producer Engine'!E191</f>
        <v/>
      </c>
      <c r="F168" s="361">
        <f>'04 Producer Engine'!F191</f>
        <v/>
      </c>
      <c r="G168" s="361">
        <f>'04 Producer Engine'!G191</f>
        <v/>
      </c>
      <c r="H168" s="361">
        <f>'04 Producer Engine'!H191</f>
        <v/>
      </c>
      <c r="I168" s="361">
        <f>AVERAGE(E168:H168)</f>
        <v/>
      </c>
      <c r="J168" s="361">
        <f>'04 Producer Engine'!J191</f>
        <v/>
      </c>
      <c r="K168" s="361">
        <f>'04 Producer Engine'!K191</f>
        <v/>
      </c>
      <c r="L168" s="361">
        <f>'04 Producer Engine'!L191</f>
        <v/>
      </c>
      <c r="M168" s="361">
        <f>'04 Producer Engine'!M191</f>
        <v/>
      </c>
      <c r="N168" s="361">
        <f>AVERAGE(J168:M168)</f>
        <v/>
      </c>
      <c r="O168" s="361">
        <f>'04 Producer Engine'!O191</f>
        <v/>
      </c>
      <c r="P168" s="361">
        <f>'04 Producer Engine'!P191</f>
        <v/>
      </c>
      <c r="Q168" s="361">
        <f>'04 Producer Engine'!Q191</f>
        <v/>
      </c>
      <c r="R168" s="361">
        <f>'04 Producer Engine'!R191</f>
        <v/>
      </c>
      <c r="S168" s="361">
        <f>AVERAGE(O168:R168)</f>
        <v/>
      </c>
      <c r="T168" s="361">
        <f>'04 Producer Engine'!T191</f>
        <v/>
      </c>
      <c r="U168" s="361">
        <f>'04 Producer Engine'!U191</f>
        <v/>
      </c>
      <c r="V168" s="361">
        <f>'04 Producer Engine'!V191</f>
        <v/>
      </c>
      <c r="W168" s="361">
        <f>'04 Producer Engine'!W191</f>
        <v/>
      </c>
      <c r="X168" s="361">
        <f>AVERAGE(T168:W168)</f>
        <v/>
      </c>
      <c r="Y168" s="361">
        <f>'04 Producer Engine'!Y191</f>
        <v/>
      </c>
      <c r="Z168" s="361">
        <f>'04 Producer Engine'!Z191</f>
        <v/>
      </c>
      <c r="AA168" s="361">
        <f>'04 Producer Engine'!AA191</f>
        <v/>
      </c>
      <c r="AB168" s="361">
        <f>'04 Producer Engine'!AB191</f>
        <v/>
      </c>
      <c r="AC168" s="361">
        <f>AVERAGE(Y168:AB168)</f>
        <v/>
      </c>
      <c r="AD168" s="361">
        <f>'04 Producer Engine'!AD191</f>
        <v/>
      </c>
      <c r="AE168" s="361">
        <f>'04 Producer Engine'!AE191</f>
        <v/>
      </c>
      <c r="AF168" s="361">
        <f>'04 Producer Engine'!AF191</f>
        <v/>
      </c>
      <c r="AG168" s="361">
        <f>'04 Producer Engine'!AG191</f>
        <v/>
      </c>
      <c r="AH168" s="361">
        <f>AVERAGE(AD168:AG168)</f>
        <v/>
      </c>
      <c r="AI168" s="361">
        <f>'04 Producer Engine'!AI191</f>
        <v/>
      </c>
      <c r="AJ168" s="361">
        <f>'04 Producer Engine'!AJ191</f>
        <v/>
      </c>
      <c r="AK168" s="361">
        <f>'04 Producer Engine'!AK191</f>
        <v/>
      </c>
      <c r="AL168" s="361">
        <f>'04 Producer Engine'!AL191</f>
        <v/>
      </c>
      <c r="AM168" s="361">
        <f>AVERAGE(AI168:AL168)</f>
        <v/>
      </c>
      <c r="AN168" s="361">
        <f>'04 Producer Engine'!AN191</f>
        <v/>
      </c>
      <c r="AO168" s="361">
        <f>'04 Producer Engine'!AO191</f>
        <v/>
      </c>
      <c r="AP168" s="361">
        <f>'04 Producer Engine'!AP191</f>
        <v/>
      </c>
      <c r="AQ168" s="361">
        <f>'04 Producer Engine'!AQ191</f>
        <v/>
      </c>
      <c r="AR168" s="361">
        <f>AVERAGE(AN168:AQ168)</f>
        <v/>
      </c>
    </row>
    <row r="169" ht="13.5" customHeight="1" s="290">
      <c r="A169" s="345" t="n"/>
      <c r="B169" s="370" t="inlineStr">
        <is>
          <t xml:space="preserve">  Base Salary — Analyst</t>
        </is>
      </c>
      <c r="C169" s="371" t="inlineStr">
        <is>
          <t>$K/yr</t>
        </is>
      </c>
      <c r="D169" s="394" t="inlineStr">
        <is>
          <t>← Tab 03 row 275 col E</t>
        </is>
      </c>
      <c r="E169" s="361">
        <f>'03 Operational Assumptions'!E275</f>
        <v/>
      </c>
      <c r="F169" s="361">
        <f>'03 Operational Assumptions'!E275</f>
        <v/>
      </c>
      <c r="G169" s="361">
        <f>'03 Operational Assumptions'!E275</f>
        <v/>
      </c>
      <c r="H169" s="361">
        <f>'03 Operational Assumptions'!E275</f>
        <v/>
      </c>
      <c r="I169" s="361">
        <f>'03 Operational Assumptions'!E275</f>
        <v/>
      </c>
      <c r="J169" s="361">
        <f>'03 Operational Assumptions'!E275</f>
        <v/>
      </c>
      <c r="K169" s="361">
        <f>'03 Operational Assumptions'!E275</f>
        <v/>
      </c>
      <c r="L169" s="361">
        <f>'03 Operational Assumptions'!E275</f>
        <v/>
      </c>
      <c r="M169" s="361">
        <f>'03 Operational Assumptions'!E275</f>
        <v/>
      </c>
      <c r="N169" s="361">
        <f>'03 Operational Assumptions'!E275</f>
        <v/>
      </c>
      <c r="O169" s="361">
        <f>'03 Operational Assumptions'!E275</f>
        <v/>
      </c>
      <c r="P169" s="361">
        <f>'03 Operational Assumptions'!E275</f>
        <v/>
      </c>
      <c r="Q169" s="361">
        <f>'03 Operational Assumptions'!E275</f>
        <v/>
      </c>
      <c r="R169" s="361">
        <f>'03 Operational Assumptions'!E275</f>
        <v/>
      </c>
      <c r="S169" s="361">
        <f>'03 Operational Assumptions'!E275</f>
        <v/>
      </c>
      <c r="T169" s="361">
        <f>'03 Operational Assumptions'!E275</f>
        <v/>
      </c>
      <c r="U169" s="361">
        <f>'03 Operational Assumptions'!E275</f>
        <v/>
      </c>
      <c r="V169" s="361">
        <f>'03 Operational Assumptions'!E275</f>
        <v/>
      </c>
      <c r="W169" s="361">
        <f>'03 Operational Assumptions'!E275</f>
        <v/>
      </c>
      <c r="X169" s="361">
        <f>'03 Operational Assumptions'!E275</f>
        <v/>
      </c>
      <c r="Y169" s="361">
        <f>'03 Operational Assumptions'!E275</f>
        <v/>
      </c>
      <c r="Z169" s="361">
        <f>'03 Operational Assumptions'!E275</f>
        <v/>
      </c>
      <c r="AA169" s="361">
        <f>'03 Operational Assumptions'!E275</f>
        <v/>
      </c>
      <c r="AB169" s="361">
        <f>'03 Operational Assumptions'!E275</f>
        <v/>
      </c>
      <c r="AC169" s="361">
        <f>'03 Operational Assumptions'!E275</f>
        <v/>
      </c>
      <c r="AD169" s="361">
        <f>'03 Operational Assumptions'!E275</f>
        <v/>
      </c>
      <c r="AE169" s="361">
        <f>'03 Operational Assumptions'!E275</f>
        <v/>
      </c>
      <c r="AF169" s="361">
        <f>'03 Operational Assumptions'!E275</f>
        <v/>
      </c>
      <c r="AG169" s="361">
        <f>'03 Operational Assumptions'!E275</f>
        <v/>
      </c>
      <c r="AH169" s="361">
        <f>'03 Operational Assumptions'!E275</f>
        <v/>
      </c>
      <c r="AI169" s="361">
        <f>'03 Operational Assumptions'!E275</f>
        <v/>
      </c>
      <c r="AJ169" s="361">
        <f>'03 Operational Assumptions'!E275</f>
        <v/>
      </c>
      <c r="AK169" s="361">
        <f>'03 Operational Assumptions'!E275</f>
        <v/>
      </c>
      <c r="AL169" s="361">
        <f>'03 Operational Assumptions'!E275</f>
        <v/>
      </c>
      <c r="AM169" s="361">
        <f>'03 Operational Assumptions'!E275</f>
        <v/>
      </c>
      <c r="AN169" s="361">
        <f>'03 Operational Assumptions'!E275</f>
        <v/>
      </c>
      <c r="AO169" s="361">
        <f>'03 Operational Assumptions'!E275</f>
        <v/>
      </c>
      <c r="AP169" s="361">
        <f>'03 Operational Assumptions'!E275</f>
        <v/>
      </c>
      <c r="AQ169" s="361">
        <f>'03 Operational Assumptions'!E275</f>
        <v/>
      </c>
      <c r="AR169" s="361">
        <f>'03 Operational Assumptions'!E275</f>
        <v/>
      </c>
    </row>
    <row r="170" ht="13.5" customHeight="1" s="290">
      <c r="A170" s="345" t="n"/>
      <c r="B170" s="370" t="inlineStr">
        <is>
          <t xml:space="preserve">  Bonus % of Base — Analyst</t>
        </is>
      </c>
      <c r="C170" s="371" t="inlineStr">
        <is>
          <t>%</t>
        </is>
      </c>
      <c r="D170" s="394" t="inlineStr">
        <is>
          <t>← Tab 03 row 275 col G</t>
        </is>
      </c>
      <c r="E170" s="361">
        <f>'03 Operational Assumptions'!G275</f>
        <v/>
      </c>
      <c r="F170" s="361">
        <f>'03 Operational Assumptions'!G275</f>
        <v/>
      </c>
      <c r="G170" s="361">
        <f>'03 Operational Assumptions'!G275</f>
        <v/>
      </c>
      <c r="H170" s="361">
        <f>'03 Operational Assumptions'!G275</f>
        <v/>
      </c>
      <c r="I170" s="361">
        <f>'03 Operational Assumptions'!G275</f>
        <v/>
      </c>
      <c r="J170" s="361">
        <f>'03 Operational Assumptions'!G275</f>
        <v/>
      </c>
      <c r="K170" s="361">
        <f>'03 Operational Assumptions'!G275</f>
        <v/>
      </c>
      <c r="L170" s="361">
        <f>'03 Operational Assumptions'!G275</f>
        <v/>
      </c>
      <c r="M170" s="361">
        <f>'03 Operational Assumptions'!G275</f>
        <v/>
      </c>
      <c r="N170" s="361">
        <f>'03 Operational Assumptions'!G275</f>
        <v/>
      </c>
      <c r="O170" s="361">
        <f>'03 Operational Assumptions'!G275</f>
        <v/>
      </c>
      <c r="P170" s="361">
        <f>'03 Operational Assumptions'!G275</f>
        <v/>
      </c>
      <c r="Q170" s="361">
        <f>'03 Operational Assumptions'!G275</f>
        <v/>
      </c>
      <c r="R170" s="361">
        <f>'03 Operational Assumptions'!G275</f>
        <v/>
      </c>
      <c r="S170" s="361">
        <f>'03 Operational Assumptions'!G275</f>
        <v/>
      </c>
      <c r="T170" s="361">
        <f>'03 Operational Assumptions'!G275</f>
        <v/>
      </c>
      <c r="U170" s="361">
        <f>'03 Operational Assumptions'!G275</f>
        <v/>
      </c>
      <c r="V170" s="361">
        <f>'03 Operational Assumptions'!G275</f>
        <v/>
      </c>
      <c r="W170" s="361">
        <f>'03 Operational Assumptions'!G275</f>
        <v/>
      </c>
      <c r="X170" s="361">
        <f>'03 Operational Assumptions'!G275</f>
        <v/>
      </c>
      <c r="Y170" s="361">
        <f>'03 Operational Assumptions'!G275</f>
        <v/>
      </c>
      <c r="Z170" s="361">
        <f>'03 Operational Assumptions'!G275</f>
        <v/>
      </c>
      <c r="AA170" s="361">
        <f>'03 Operational Assumptions'!G275</f>
        <v/>
      </c>
      <c r="AB170" s="361">
        <f>'03 Operational Assumptions'!G275</f>
        <v/>
      </c>
      <c r="AC170" s="361">
        <f>'03 Operational Assumptions'!G275</f>
        <v/>
      </c>
      <c r="AD170" s="361">
        <f>'03 Operational Assumptions'!G275</f>
        <v/>
      </c>
      <c r="AE170" s="361">
        <f>'03 Operational Assumptions'!G275</f>
        <v/>
      </c>
      <c r="AF170" s="361">
        <f>'03 Operational Assumptions'!G275</f>
        <v/>
      </c>
      <c r="AG170" s="361">
        <f>'03 Operational Assumptions'!G275</f>
        <v/>
      </c>
      <c r="AH170" s="361">
        <f>'03 Operational Assumptions'!G275</f>
        <v/>
      </c>
      <c r="AI170" s="361">
        <f>'03 Operational Assumptions'!G275</f>
        <v/>
      </c>
      <c r="AJ170" s="361">
        <f>'03 Operational Assumptions'!G275</f>
        <v/>
      </c>
      <c r="AK170" s="361">
        <f>'03 Operational Assumptions'!G275</f>
        <v/>
      </c>
      <c r="AL170" s="361">
        <f>'03 Operational Assumptions'!G275</f>
        <v/>
      </c>
      <c r="AM170" s="361">
        <f>'03 Operational Assumptions'!G275</f>
        <v/>
      </c>
      <c r="AN170" s="361">
        <f>'03 Operational Assumptions'!G275</f>
        <v/>
      </c>
      <c r="AO170" s="361">
        <f>'03 Operational Assumptions'!G275</f>
        <v/>
      </c>
      <c r="AP170" s="361">
        <f>'03 Operational Assumptions'!G275</f>
        <v/>
      </c>
      <c r="AQ170" s="361">
        <f>'03 Operational Assumptions'!G275</f>
        <v/>
      </c>
      <c r="AR170" s="361">
        <f>'03 Operational Assumptions'!G275</f>
        <v/>
      </c>
    </row>
    <row r="171" ht="13.5" customHeight="1" s="290">
      <c r="A171" s="395" t="n"/>
      <c r="B171" s="373" t="inlineStr">
        <is>
          <t xml:space="preserve">  Salary Cost — Analyst</t>
        </is>
      </c>
      <c r="C171" s="374" t="inlineStr">
        <is>
          <t>$K/qtr</t>
        </is>
      </c>
      <c r="D171" s="396" t="inlineStr">
        <is>
          <t xml:space="preserve"> ftes × Annual Salary ÷ 4</t>
        </is>
      </c>
      <c r="E171" s="376">
        <f>E168*E169/4</f>
        <v/>
      </c>
      <c r="F171" s="376">
        <f>F168*F169/4</f>
        <v/>
      </c>
      <c r="G171" s="376">
        <f>G168*G169/4</f>
        <v/>
      </c>
      <c r="H171" s="376">
        <f>H168*H169/4</f>
        <v/>
      </c>
      <c r="I171" s="344">
        <f>SUM(E171:H171)</f>
        <v/>
      </c>
      <c r="J171" s="376">
        <f>J168*J169/4</f>
        <v/>
      </c>
      <c r="K171" s="376">
        <f>K168*K169/4</f>
        <v/>
      </c>
      <c r="L171" s="376">
        <f>L168*L169/4</f>
        <v/>
      </c>
      <c r="M171" s="376">
        <f>M168*M169/4</f>
        <v/>
      </c>
      <c r="N171" s="344">
        <f>SUM(J171:M171)</f>
        <v/>
      </c>
      <c r="O171" s="376">
        <f>O168*O169/4</f>
        <v/>
      </c>
      <c r="P171" s="376">
        <f>P168*P169/4</f>
        <v/>
      </c>
      <c r="Q171" s="376">
        <f>Q168*Q169/4</f>
        <v/>
      </c>
      <c r="R171" s="376">
        <f>R168*R169/4</f>
        <v/>
      </c>
      <c r="S171" s="344">
        <f>SUM(O171:R171)</f>
        <v/>
      </c>
      <c r="T171" s="376">
        <f>T168*T169/4</f>
        <v/>
      </c>
      <c r="U171" s="376">
        <f>U168*U169/4</f>
        <v/>
      </c>
      <c r="V171" s="376">
        <f>V168*V169/4</f>
        <v/>
      </c>
      <c r="W171" s="376">
        <f>W168*W169/4</f>
        <v/>
      </c>
      <c r="X171" s="344">
        <f>SUM(T171:W171)</f>
        <v/>
      </c>
      <c r="Y171" s="376">
        <f>Y168*Y169/4</f>
        <v/>
      </c>
      <c r="Z171" s="376">
        <f>Z168*Z169/4</f>
        <v/>
      </c>
      <c r="AA171" s="376">
        <f>AA168*AA169/4</f>
        <v/>
      </c>
      <c r="AB171" s="376">
        <f>AB168*AB169/4</f>
        <v/>
      </c>
      <c r="AC171" s="344">
        <f>SUM(Y171:AB171)</f>
        <v/>
      </c>
      <c r="AD171" s="376">
        <f>AD168*AD169/4</f>
        <v/>
      </c>
      <c r="AE171" s="376">
        <f>AE168*AE169/4</f>
        <v/>
      </c>
      <c r="AF171" s="376">
        <f>AF168*AF169/4</f>
        <v/>
      </c>
      <c r="AG171" s="376">
        <f>AG168*AG169/4</f>
        <v/>
      </c>
      <c r="AH171" s="344">
        <f>SUM(AD171:AG171)</f>
        <v/>
      </c>
      <c r="AI171" s="376">
        <f>AI168*AI169/4</f>
        <v/>
      </c>
      <c r="AJ171" s="376">
        <f>AJ168*AJ169/4</f>
        <v/>
      </c>
      <c r="AK171" s="376">
        <f>AK168*AK169/4</f>
        <v/>
      </c>
      <c r="AL171" s="376">
        <f>AL168*AL169/4</f>
        <v/>
      </c>
      <c r="AM171" s="344">
        <f>SUM(AI171:AL171)</f>
        <v/>
      </c>
      <c r="AN171" s="376">
        <f>AN168*AN169/4</f>
        <v/>
      </c>
      <c r="AO171" s="376">
        <f>AO168*AO169/4</f>
        <v/>
      </c>
      <c r="AP171" s="376">
        <f>AP168*AP169/4</f>
        <v/>
      </c>
      <c r="AQ171" s="376">
        <f>AQ168*AQ169/4</f>
        <v/>
      </c>
      <c r="AR171" s="344">
        <f>SUM(AN171:AQ171)</f>
        <v/>
      </c>
    </row>
    <row r="172" ht="13.5" customHeight="1" s="290">
      <c r="A172" s="395" t="n"/>
      <c r="B172" s="373" t="inlineStr">
        <is>
          <t xml:space="preserve">  Bonus Cost — Analyst</t>
        </is>
      </c>
      <c r="C172" s="374" t="inlineStr">
        <is>
          <t>$K/qtr</t>
        </is>
      </c>
      <c r="D172" s="396" t="inlineStr">
        <is>
          <t xml:space="preserve"> salary cost × Bonus %</t>
        </is>
      </c>
      <c r="E172" s="376">
        <f>E171*E170</f>
        <v/>
      </c>
      <c r="F172" s="376">
        <f>F171*F170</f>
        <v/>
      </c>
      <c r="G172" s="376">
        <f>G171*G170</f>
        <v/>
      </c>
      <c r="H172" s="376">
        <f>H171*H170</f>
        <v/>
      </c>
      <c r="I172" s="344">
        <f>SUM(E172:H172)</f>
        <v/>
      </c>
      <c r="J172" s="376">
        <f>J171*J170</f>
        <v/>
      </c>
      <c r="K172" s="376">
        <f>K171*K170</f>
        <v/>
      </c>
      <c r="L172" s="376">
        <f>L171*L170</f>
        <v/>
      </c>
      <c r="M172" s="376">
        <f>M171*M170</f>
        <v/>
      </c>
      <c r="N172" s="344">
        <f>SUM(J172:M172)</f>
        <v/>
      </c>
      <c r="O172" s="376">
        <f>O171*O170</f>
        <v/>
      </c>
      <c r="P172" s="376">
        <f>P171*P170</f>
        <v/>
      </c>
      <c r="Q172" s="376">
        <f>Q171*Q170</f>
        <v/>
      </c>
      <c r="R172" s="376">
        <f>R171*R170</f>
        <v/>
      </c>
      <c r="S172" s="344">
        <f>SUM(O172:R172)</f>
        <v/>
      </c>
      <c r="T172" s="376">
        <f>T171*T170</f>
        <v/>
      </c>
      <c r="U172" s="376">
        <f>U171*U170</f>
        <v/>
      </c>
      <c r="V172" s="376">
        <f>V171*V170</f>
        <v/>
      </c>
      <c r="W172" s="376">
        <f>W171*W170</f>
        <v/>
      </c>
      <c r="X172" s="344">
        <f>SUM(T172:W172)</f>
        <v/>
      </c>
      <c r="Y172" s="376">
        <f>Y171*Y170</f>
        <v/>
      </c>
      <c r="Z172" s="376">
        <f>Z171*Z170</f>
        <v/>
      </c>
      <c r="AA172" s="376">
        <f>AA171*AA170</f>
        <v/>
      </c>
      <c r="AB172" s="376">
        <f>AB171*AB170</f>
        <v/>
      </c>
      <c r="AC172" s="344">
        <f>SUM(Y172:AB172)</f>
        <v/>
      </c>
      <c r="AD172" s="376">
        <f>AD171*AD170</f>
        <v/>
      </c>
      <c r="AE172" s="376">
        <f>AE171*AE170</f>
        <v/>
      </c>
      <c r="AF172" s="376">
        <f>AF171*AF170</f>
        <v/>
      </c>
      <c r="AG172" s="376">
        <f>AG171*AG170</f>
        <v/>
      </c>
      <c r="AH172" s="344">
        <f>SUM(AD172:AG172)</f>
        <v/>
      </c>
      <c r="AI172" s="376">
        <f>AI171*AI170</f>
        <v/>
      </c>
      <c r="AJ172" s="376">
        <f>AJ171*AJ170</f>
        <v/>
      </c>
      <c r="AK172" s="376">
        <f>AK171*AK170</f>
        <v/>
      </c>
      <c r="AL172" s="376">
        <f>AL171*AL170</f>
        <v/>
      </c>
      <c r="AM172" s="344">
        <f>SUM(AI172:AL172)</f>
        <v/>
      </c>
      <c r="AN172" s="376">
        <f>AN171*AN170</f>
        <v/>
      </c>
      <c r="AO172" s="376">
        <f>AO171*AO170</f>
        <v/>
      </c>
      <c r="AP172" s="376">
        <f>AP171*AP170</f>
        <v/>
      </c>
      <c r="AQ172" s="376">
        <f>AQ171*AQ170</f>
        <v/>
      </c>
      <c r="AR172" s="344">
        <f>SUM(AN172:AQ172)</f>
        <v/>
      </c>
    </row>
    <row r="173" ht="13.5" customHeight="1" s="290">
      <c r="A173" s="395" t="n"/>
      <c r="B173" s="402" t="inlineStr">
        <is>
          <t xml:space="preserve">  Total Comp — Analyst</t>
        </is>
      </c>
      <c r="C173" s="374" t="inlineStr">
        <is>
          <t>$K/qtr</t>
        </is>
      </c>
      <c r="D173" s="396" t="inlineStr">
        <is>
          <t xml:space="preserve"> salary + bonus</t>
        </is>
      </c>
      <c r="E173" s="403">
        <f>E171+E172</f>
        <v/>
      </c>
      <c r="F173" s="403">
        <f>F171+F172</f>
        <v/>
      </c>
      <c r="G173" s="403">
        <f>G171+G172</f>
        <v/>
      </c>
      <c r="H173" s="403">
        <f>H171+H172</f>
        <v/>
      </c>
      <c r="I173" s="387">
        <f>SUM(E173:H173)</f>
        <v/>
      </c>
      <c r="J173" s="403">
        <f>J171+J172</f>
        <v/>
      </c>
      <c r="K173" s="403">
        <f>K171+K172</f>
        <v/>
      </c>
      <c r="L173" s="403">
        <f>L171+L172</f>
        <v/>
      </c>
      <c r="M173" s="403">
        <f>M171+M172</f>
        <v/>
      </c>
      <c r="N173" s="387">
        <f>SUM(J173:M173)</f>
        <v/>
      </c>
      <c r="O173" s="403">
        <f>O171+O172</f>
        <v/>
      </c>
      <c r="P173" s="403">
        <f>P171+P172</f>
        <v/>
      </c>
      <c r="Q173" s="403">
        <f>Q171+Q172</f>
        <v/>
      </c>
      <c r="R173" s="403">
        <f>R171+R172</f>
        <v/>
      </c>
      <c r="S173" s="387">
        <f>SUM(O173:R173)</f>
        <v/>
      </c>
      <c r="T173" s="403">
        <f>T171+T172</f>
        <v/>
      </c>
      <c r="U173" s="403">
        <f>U171+U172</f>
        <v/>
      </c>
      <c r="V173" s="403">
        <f>V171+V172</f>
        <v/>
      </c>
      <c r="W173" s="403">
        <f>W171+W172</f>
        <v/>
      </c>
      <c r="X173" s="387">
        <f>SUM(T173:W173)</f>
        <v/>
      </c>
      <c r="Y173" s="403">
        <f>Y171+Y172</f>
        <v/>
      </c>
      <c r="Z173" s="403">
        <f>Z171+Z172</f>
        <v/>
      </c>
      <c r="AA173" s="403">
        <f>AA171+AA172</f>
        <v/>
      </c>
      <c r="AB173" s="403">
        <f>AB171+AB172</f>
        <v/>
      </c>
      <c r="AC173" s="387">
        <f>SUM(Y173:AB173)</f>
        <v/>
      </c>
      <c r="AD173" s="403">
        <f>AD171+AD172</f>
        <v/>
      </c>
      <c r="AE173" s="403">
        <f>AE171+AE172</f>
        <v/>
      </c>
      <c r="AF173" s="403">
        <f>AF171+AF172</f>
        <v/>
      </c>
      <c r="AG173" s="403">
        <f>AG171+AG172</f>
        <v/>
      </c>
      <c r="AH173" s="387">
        <f>SUM(AD173:AG173)</f>
        <v/>
      </c>
      <c r="AI173" s="403">
        <f>AI171+AI172</f>
        <v/>
      </c>
      <c r="AJ173" s="403">
        <f>AJ171+AJ172</f>
        <v/>
      </c>
      <c r="AK173" s="403">
        <f>AK171+AK172</f>
        <v/>
      </c>
      <c r="AL173" s="403">
        <f>AL171+AL172</f>
        <v/>
      </c>
      <c r="AM173" s="387">
        <f>SUM(AI173:AL173)</f>
        <v/>
      </c>
      <c r="AN173" s="403">
        <f>AN171+AN172</f>
        <v/>
      </c>
      <c r="AO173" s="403">
        <f>AO171+AO172</f>
        <v/>
      </c>
      <c r="AP173" s="403">
        <f>AP171+AP172</f>
        <v/>
      </c>
      <c r="AQ173" s="403">
        <f>AQ171+AQ172</f>
        <v/>
      </c>
      <c r="AR173" s="387">
        <f>SUM(AN173:AQ173)</f>
        <v/>
      </c>
    </row>
    <row r="174" ht="3.75" customHeight="1" s="290"/>
    <row r="175" ht="15" customHeight="1" s="290">
      <c r="A175" s="418" t="inlineStr">
        <is>
          <t xml:space="preserve">    Advisory Total Compensation</t>
        </is>
      </c>
    </row>
    <row r="176" ht="13.5" customHeight="1" s="290">
      <c r="A176" s="397" t="n"/>
      <c r="B176" s="398" t="inlineStr">
        <is>
          <t xml:space="preserve">  Total Advisory Compensation</t>
        </is>
      </c>
      <c r="C176" s="399" t="inlineStr">
        <is>
          <t>$K/qtr</t>
        </is>
      </c>
      <c r="D176" s="397" t="n"/>
      <c r="E176" s="401">
        <f>SUM(E157,E165,E173)</f>
        <v/>
      </c>
      <c r="F176" s="401">
        <f>SUM(F157,F165,F173)</f>
        <v/>
      </c>
      <c r="G176" s="401">
        <f>SUM(G157,G165,G173)</f>
        <v/>
      </c>
      <c r="H176" s="401">
        <f>SUM(H157,H165,H173)</f>
        <v/>
      </c>
      <c r="I176" s="387">
        <f>SUM(E176:H176)</f>
        <v/>
      </c>
      <c r="J176" s="401">
        <f>SUM(J157,J165,J173)</f>
        <v/>
      </c>
      <c r="K176" s="401">
        <f>SUM(K157,K165,K173)</f>
        <v/>
      </c>
      <c r="L176" s="401">
        <f>SUM(L157,L165,L173)</f>
        <v/>
      </c>
      <c r="M176" s="401">
        <f>SUM(M157,M165,M173)</f>
        <v/>
      </c>
      <c r="N176" s="387">
        <f>SUM(J176:M176)</f>
        <v/>
      </c>
      <c r="O176" s="401">
        <f>SUM(O157,O165,O173)</f>
        <v/>
      </c>
      <c r="P176" s="401">
        <f>SUM(P157,P165,P173)</f>
        <v/>
      </c>
      <c r="Q176" s="401">
        <f>SUM(Q157,Q165,Q173)</f>
        <v/>
      </c>
      <c r="R176" s="401">
        <f>SUM(R157,R165,R173)</f>
        <v/>
      </c>
      <c r="S176" s="387">
        <f>SUM(O176:R176)</f>
        <v/>
      </c>
      <c r="T176" s="401">
        <f>SUM(T157,T165,T173)</f>
        <v/>
      </c>
      <c r="U176" s="401">
        <f>SUM(U157,U165,U173)</f>
        <v/>
      </c>
      <c r="V176" s="401">
        <f>SUM(V157,V165,V173)</f>
        <v/>
      </c>
      <c r="W176" s="401">
        <f>SUM(W157,W165,W173)</f>
        <v/>
      </c>
      <c r="X176" s="387">
        <f>SUM(T176:W176)</f>
        <v/>
      </c>
      <c r="Y176" s="401">
        <f>SUM(Y157,Y165,Y173)</f>
        <v/>
      </c>
      <c r="Z176" s="401">
        <f>SUM(Z157,Z165,Z173)</f>
        <v/>
      </c>
      <c r="AA176" s="401">
        <f>SUM(AA157,AA165,AA173)</f>
        <v/>
      </c>
      <c r="AB176" s="401">
        <f>SUM(AB157,AB165,AB173)</f>
        <v/>
      </c>
      <c r="AC176" s="387">
        <f>SUM(Y176:AB176)</f>
        <v/>
      </c>
      <c r="AD176" s="401">
        <f>SUM(AD157,AD165,AD173)</f>
        <v/>
      </c>
      <c r="AE176" s="401">
        <f>SUM(AE157,AE165,AE173)</f>
        <v/>
      </c>
      <c r="AF176" s="401">
        <f>SUM(AF157,AF165,AF173)</f>
        <v/>
      </c>
      <c r="AG176" s="401">
        <f>SUM(AG157,AG165,AG173)</f>
        <v/>
      </c>
      <c r="AH176" s="387">
        <f>SUM(AD176:AG176)</f>
        <v/>
      </c>
      <c r="AI176" s="401">
        <f>SUM(AI157,AI165,AI173)</f>
        <v/>
      </c>
      <c r="AJ176" s="401">
        <f>SUM(AJ157,AJ165,AJ173)</f>
        <v/>
      </c>
      <c r="AK176" s="401">
        <f>SUM(AK157,AK165,AK173)</f>
        <v/>
      </c>
      <c r="AL176" s="401">
        <f>SUM(AL157,AL165,AL173)</f>
        <v/>
      </c>
      <c r="AM176" s="387">
        <f>SUM(AI176:AL176)</f>
        <v/>
      </c>
      <c r="AN176" s="401">
        <f>SUM(AN157,AN165,AN173)</f>
        <v/>
      </c>
      <c r="AO176" s="401">
        <f>SUM(AO157,AO165,AO173)</f>
        <v/>
      </c>
      <c r="AP176" s="401">
        <f>SUM(AP157,AP165,AP173)</f>
        <v/>
      </c>
      <c r="AQ176" s="401">
        <f>SUM(AQ157,AQ165,AQ173)</f>
        <v/>
      </c>
      <c r="AR176" s="387">
        <f>SUM(AN176:AQ176)</f>
        <v/>
      </c>
    </row>
    <row r="177" ht="13.5" customHeight="1" s="290">
      <c r="A177" s="395" t="n"/>
      <c r="B177" s="373" t="inlineStr">
        <is>
          <t xml:space="preserve">  Advisory Compensation Ratio  (Comp ÷ Rev)</t>
        </is>
      </c>
      <c r="C177" s="374" t="inlineStr">
        <is>
          <t>%</t>
        </is>
      </c>
      <c r="D177" s="396" t="inlineStr">
        <is>
          <t xml:space="preserve"> advisory comp ÷ Tab 05 row 175 (Advisory Revenue)</t>
        </is>
      </c>
      <c r="E177" s="376">
        <f>IFERROR(E176/'05 Revenue Engine'!E175,0)</f>
        <v/>
      </c>
      <c r="F177" s="376">
        <f>IFERROR(F176/'05 Revenue Engine'!F175,0)</f>
        <v/>
      </c>
      <c r="G177" s="376">
        <f>IFERROR(G176/'05 Revenue Engine'!G175,0)</f>
        <v/>
      </c>
      <c r="H177" s="376">
        <f>IFERROR(H176/'05 Revenue Engine'!H175,0)</f>
        <v/>
      </c>
      <c r="I177" s="344">
        <f>IFERROR(I176/'05 Revenue Engine'!I175,0)</f>
        <v/>
      </c>
      <c r="J177" s="376">
        <f>IFERROR(J176/'05 Revenue Engine'!J175,0)</f>
        <v/>
      </c>
      <c r="K177" s="376">
        <f>IFERROR(K176/'05 Revenue Engine'!K175,0)</f>
        <v/>
      </c>
      <c r="L177" s="376">
        <f>IFERROR(L176/'05 Revenue Engine'!L175,0)</f>
        <v/>
      </c>
      <c r="M177" s="376">
        <f>IFERROR(M176/'05 Revenue Engine'!M175,0)</f>
        <v/>
      </c>
      <c r="N177" s="344">
        <f>IFERROR(N176/'05 Revenue Engine'!N175,0)</f>
        <v/>
      </c>
      <c r="O177" s="376">
        <f>IFERROR(O176/'05 Revenue Engine'!O175,0)</f>
        <v/>
      </c>
      <c r="P177" s="376">
        <f>IFERROR(P176/'05 Revenue Engine'!P175,0)</f>
        <v/>
      </c>
      <c r="Q177" s="376">
        <f>IFERROR(Q176/'05 Revenue Engine'!Q175,0)</f>
        <v/>
      </c>
      <c r="R177" s="376">
        <f>IFERROR(R176/'05 Revenue Engine'!R175,0)</f>
        <v/>
      </c>
      <c r="S177" s="344">
        <f>IFERROR(S176/'05 Revenue Engine'!S175,0)</f>
        <v/>
      </c>
      <c r="T177" s="376">
        <f>IFERROR(T176/'05 Revenue Engine'!T175,0)</f>
        <v/>
      </c>
      <c r="U177" s="376">
        <f>IFERROR(U176/'05 Revenue Engine'!U175,0)</f>
        <v/>
      </c>
      <c r="V177" s="376">
        <f>IFERROR(V176/'05 Revenue Engine'!V175,0)</f>
        <v/>
      </c>
      <c r="W177" s="376">
        <f>IFERROR(W176/'05 Revenue Engine'!W175,0)</f>
        <v/>
      </c>
      <c r="X177" s="344">
        <f>IFERROR(X176/'05 Revenue Engine'!X175,0)</f>
        <v/>
      </c>
      <c r="Y177" s="376">
        <f>IFERROR(Y176/'05 Revenue Engine'!Y175,0)</f>
        <v/>
      </c>
      <c r="Z177" s="376">
        <f>IFERROR(Z176/'05 Revenue Engine'!Z175,0)</f>
        <v/>
      </c>
      <c r="AA177" s="376">
        <f>IFERROR(AA176/'05 Revenue Engine'!AA175,0)</f>
        <v/>
      </c>
      <c r="AB177" s="376">
        <f>IFERROR(AB176/'05 Revenue Engine'!AB175,0)</f>
        <v/>
      </c>
      <c r="AC177" s="344">
        <f>IFERROR(AC176/'05 Revenue Engine'!AC175,0)</f>
        <v/>
      </c>
      <c r="AD177" s="376">
        <f>IFERROR(AD176/'05 Revenue Engine'!AD175,0)</f>
        <v/>
      </c>
      <c r="AE177" s="376">
        <f>IFERROR(AE176/'05 Revenue Engine'!AE175,0)</f>
        <v/>
      </c>
      <c r="AF177" s="376">
        <f>IFERROR(AF176/'05 Revenue Engine'!AF175,0)</f>
        <v/>
      </c>
      <c r="AG177" s="376">
        <f>IFERROR(AG176/'05 Revenue Engine'!AG175,0)</f>
        <v/>
      </c>
      <c r="AH177" s="344">
        <f>IFERROR(AH176/'05 Revenue Engine'!AH175,0)</f>
        <v/>
      </c>
      <c r="AI177" s="376">
        <f>IFERROR(AI176/'05 Revenue Engine'!AI175,0)</f>
        <v/>
      </c>
      <c r="AJ177" s="376">
        <f>IFERROR(AJ176/'05 Revenue Engine'!AJ175,0)</f>
        <v/>
      </c>
      <c r="AK177" s="376">
        <f>IFERROR(AK176/'05 Revenue Engine'!AK175,0)</f>
        <v/>
      </c>
      <c r="AL177" s="376">
        <f>IFERROR(AL176/'05 Revenue Engine'!AL175,0)</f>
        <v/>
      </c>
      <c r="AM177" s="344">
        <f>IFERROR(AM176/'05 Revenue Engine'!AM175,0)</f>
        <v/>
      </c>
      <c r="AN177" s="376">
        <f>IFERROR(AN176/'05 Revenue Engine'!AN175,0)</f>
        <v/>
      </c>
      <c r="AO177" s="376">
        <f>IFERROR(AO176/'05 Revenue Engine'!AO175,0)</f>
        <v/>
      </c>
      <c r="AP177" s="376">
        <f>IFERROR(AP176/'05 Revenue Engine'!AP175,0)</f>
        <v/>
      </c>
      <c r="AQ177" s="376">
        <f>IFERROR(AQ176/'05 Revenue Engine'!AQ175,0)</f>
        <v/>
      </c>
      <c r="AR177" s="344">
        <f>IFERROR(AR176/'05 Revenue Engine'!AR175,0)</f>
        <v/>
      </c>
    </row>
    <row r="178" ht="4.5" customHeight="1" s="290"/>
    <row r="179" ht="3" customHeight="1" s="290">
      <c r="A179" s="293" t="n"/>
    </row>
    <row r="180" ht="4.5" customHeight="1" s="290"/>
    <row r="181" ht="15.75" customHeight="1" s="290">
      <c r="A181" s="338" t="inlineStr">
        <is>
          <t xml:space="preserve">  SECTION C — CORPORATE &amp; SUPPORT COMPENSATION</t>
        </is>
      </c>
    </row>
    <row r="182" ht="3.75" customHeight="1" s="290"/>
    <row r="183" ht="12.75" customHeight="1" s="290">
      <c r="A183" s="348" t="inlineStr">
        <is>
          <t xml:space="preserve">  Corporate and support compensation are structural inputs from Tab 03. Annual inputs divided by 4 for quarterly allocation. Support cost = headcount × blended salary ÷ 4.</t>
        </is>
      </c>
    </row>
    <row r="184" ht="3.75" customHeight="1" s="290"/>
    <row r="185" ht="13.5" customHeight="1" s="290">
      <c r="A185" s="345" t="n"/>
      <c r="B185" s="370" t="inlineStr">
        <is>
          <t xml:space="preserve">  Executive / Corporate Base Salary — Annual</t>
        </is>
      </c>
      <c r="C185" s="371" t="inlineStr">
        <is>
          <t>$K/yr</t>
        </is>
      </c>
      <c r="D185" s="394" t="inlineStr">
        <is>
          <t>← Tab 03 row 279 col E</t>
        </is>
      </c>
      <c r="E185" s="361">
        <f>'03 Operational Assumptions'!E279</f>
        <v/>
      </c>
      <c r="F185" s="361">
        <f>'03 Operational Assumptions'!E279</f>
        <v/>
      </c>
      <c r="G185" s="361">
        <f>'03 Operational Assumptions'!E279</f>
        <v/>
      </c>
      <c r="H185" s="361">
        <f>'03 Operational Assumptions'!E279</f>
        <v/>
      </c>
      <c r="I185" s="361">
        <f>'03 Operational Assumptions'!E279</f>
        <v/>
      </c>
      <c r="J185" s="361">
        <f>'03 Operational Assumptions'!E279</f>
        <v/>
      </c>
      <c r="K185" s="361">
        <f>'03 Operational Assumptions'!E279</f>
        <v/>
      </c>
      <c r="L185" s="361">
        <f>'03 Operational Assumptions'!E279</f>
        <v/>
      </c>
      <c r="M185" s="361">
        <f>'03 Operational Assumptions'!E279</f>
        <v/>
      </c>
      <c r="N185" s="361">
        <f>'03 Operational Assumptions'!E279</f>
        <v/>
      </c>
      <c r="O185" s="361">
        <f>'03 Operational Assumptions'!E279</f>
        <v/>
      </c>
      <c r="P185" s="361">
        <f>'03 Operational Assumptions'!E279</f>
        <v/>
      </c>
      <c r="Q185" s="361">
        <f>'03 Operational Assumptions'!E279</f>
        <v/>
      </c>
      <c r="R185" s="361">
        <f>'03 Operational Assumptions'!E279</f>
        <v/>
      </c>
      <c r="S185" s="361">
        <f>'03 Operational Assumptions'!E279</f>
        <v/>
      </c>
      <c r="T185" s="361">
        <f>'03 Operational Assumptions'!E279</f>
        <v/>
      </c>
      <c r="U185" s="361">
        <f>'03 Operational Assumptions'!E279</f>
        <v/>
      </c>
      <c r="V185" s="361">
        <f>'03 Operational Assumptions'!E279</f>
        <v/>
      </c>
      <c r="W185" s="361">
        <f>'03 Operational Assumptions'!E279</f>
        <v/>
      </c>
      <c r="X185" s="361">
        <f>'03 Operational Assumptions'!E279</f>
        <v/>
      </c>
      <c r="Y185" s="361">
        <f>'03 Operational Assumptions'!E279</f>
        <v/>
      </c>
      <c r="Z185" s="361">
        <f>'03 Operational Assumptions'!E279</f>
        <v/>
      </c>
      <c r="AA185" s="361">
        <f>'03 Operational Assumptions'!E279</f>
        <v/>
      </c>
      <c r="AB185" s="361">
        <f>'03 Operational Assumptions'!E279</f>
        <v/>
      </c>
      <c r="AC185" s="361">
        <f>'03 Operational Assumptions'!E279</f>
        <v/>
      </c>
      <c r="AD185" s="361">
        <f>'03 Operational Assumptions'!E279</f>
        <v/>
      </c>
      <c r="AE185" s="361">
        <f>'03 Operational Assumptions'!E279</f>
        <v/>
      </c>
      <c r="AF185" s="361">
        <f>'03 Operational Assumptions'!E279</f>
        <v/>
      </c>
      <c r="AG185" s="361">
        <f>'03 Operational Assumptions'!E279</f>
        <v/>
      </c>
      <c r="AH185" s="361">
        <f>'03 Operational Assumptions'!E279</f>
        <v/>
      </c>
      <c r="AI185" s="361">
        <f>'03 Operational Assumptions'!E279</f>
        <v/>
      </c>
      <c r="AJ185" s="361">
        <f>'03 Operational Assumptions'!E279</f>
        <v/>
      </c>
      <c r="AK185" s="361">
        <f>'03 Operational Assumptions'!E279</f>
        <v/>
      </c>
      <c r="AL185" s="361">
        <f>'03 Operational Assumptions'!E279</f>
        <v/>
      </c>
      <c r="AM185" s="361">
        <f>'03 Operational Assumptions'!E279</f>
        <v/>
      </c>
      <c r="AN185" s="361">
        <f>'03 Operational Assumptions'!E279</f>
        <v/>
      </c>
      <c r="AO185" s="361">
        <f>'03 Operational Assumptions'!E279</f>
        <v/>
      </c>
      <c r="AP185" s="361">
        <f>'03 Operational Assumptions'!E279</f>
        <v/>
      </c>
      <c r="AQ185" s="361">
        <f>'03 Operational Assumptions'!E279</f>
        <v/>
      </c>
      <c r="AR185" s="361">
        <f>'03 Operational Assumptions'!E279</f>
        <v/>
      </c>
    </row>
    <row r="186" ht="13.5" customHeight="1" s="290">
      <c r="A186" s="345" t="n"/>
      <c r="B186" s="370" t="inlineStr">
        <is>
          <t xml:space="preserve">  Support Staff Headcount — Total</t>
        </is>
      </c>
      <c r="C186" s="371" t="inlineStr">
        <is>
          <t>#</t>
        </is>
      </c>
      <c r="D186" s="394" t="inlineStr">
        <is>
          <t>← Tab 03 row 280 col E</t>
        </is>
      </c>
      <c r="E186" s="361">
        <f>'03 Operational Assumptions'!E280</f>
        <v/>
      </c>
      <c r="F186" s="361">
        <f>'03 Operational Assumptions'!E280</f>
        <v/>
      </c>
      <c r="G186" s="361">
        <f>'03 Operational Assumptions'!E280</f>
        <v/>
      </c>
      <c r="H186" s="361">
        <f>'03 Operational Assumptions'!E280</f>
        <v/>
      </c>
      <c r="I186" s="361">
        <f>'03 Operational Assumptions'!E280</f>
        <v/>
      </c>
      <c r="J186" s="361">
        <f>'03 Operational Assumptions'!E280</f>
        <v/>
      </c>
      <c r="K186" s="361">
        <f>'03 Operational Assumptions'!E280</f>
        <v/>
      </c>
      <c r="L186" s="361">
        <f>'03 Operational Assumptions'!E280</f>
        <v/>
      </c>
      <c r="M186" s="361">
        <f>'03 Operational Assumptions'!E280</f>
        <v/>
      </c>
      <c r="N186" s="361">
        <f>'03 Operational Assumptions'!E280</f>
        <v/>
      </c>
      <c r="O186" s="361">
        <f>'03 Operational Assumptions'!E280</f>
        <v/>
      </c>
      <c r="P186" s="361">
        <f>'03 Operational Assumptions'!E280</f>
        <v/>
      </c>
      <c r="Q186" s="361">
        <f>'03 Operational Assumptions'!E280</f>
        <v/>
      </c>
      <c r="R186" s="361">
        <f>'03 Operational Assumptions'!E280</f>
        <v/>
      </c>
      <c r="S186" s="361">
        <f>'03 Operational Assumptions'!E280</f>
        <v/>
      </c>
      <c r="T186" s="361">
        <f>'03 Operational Assumptions'!E280</f>
        <v/>
      </c>
      <c r="U186" s="361">
        <f>'03 Operational Assumptions'!E280</f>
        <v/>
      </c>
      <c r="V186" s="361">
        <f>'03 Operational Assumptions'!E280</f>
        <v/>
      </c>
      <c r="W186" s="361">
        <f>'03 Operational Assumptions'!E280</f>
        <v/>
      </c>
      <c r="X186" s="361">
        <f>'03 Operational Assumptions'!E280</f>
        <v/>
      </c>
      <c r="Y186" s="361">
        <f>'03 Operational Assumptions'!E280</f>
        <v/>
      </c>
      <c r="Z186" s="361">
        <f>'03 Operational Assumptions'!E280</f>
        <v/>
      </c>
      <c r="AA186" s="361">
        <f>'03 Operational Assumptions'!E280</f>
        <v/>
      </c>
      <c r="AB186" s="361">
        <f>'03 Operational Assumptions'!E280</f>
        <v/>
      </c>
      <c r="AC186" s="361">
        <f>'03 Operational Assumptions'!E280</f>
        <v/>
      </c>
      <c r="AD186" s="361">
        <f>'03 Operational Assumptions'!E280</f>
        <v/>
      </c>
      <c r="AE186" s="361">
        <f>'03 Operational Assumptions'!E280</f>
        <v/>
      </c>
      <c r="AF186" s="361">
        <f>'03 Operational Assumptions'!E280</f>
        <v/>
      </c>
      <c r="AG186" s="361">
        <f>'03 Operational Assumptions'!E280</f>
        <v/>
      </c>
      <c r="AH186" s="361">
        <f>'03 Operational Assumptions'!E280</f>
        <v/>
      </c>
      <c r="AI186" s="361">
        <f>'03 Operational Assumptions'!E280</f>
        <v/>
      </c>
      <c r="AJ186" s="361">
        <f>'03 Operational Assumptions'!E280</f>
        <v/>
      </c>
      <c r="AK186" s="361">
        <f>'03 Operational Assumptions'!E280</f>
        <v/>
      </c>
      <c r="AL186" s="361">
        <f>'03 Operational Assumptions'!E280</f>
        <v/>
      </c>
      <c r="AM186" s="361">
        <f>'03 Operational Assumptions'!E280</f>
        <v/>
      </c>
      <c r="AN186" s="361">
        <f>'03 Operational Assumptions'!E280</f>
        <v/>
      </c>
      <c r="AO186" s="361">
        <f>'03 Operational Assumptions'!E280</f>
        <v/>
      </c>
      <c r="AP186" s="361">
        <f>'03 Operational Assumptions'!E280</f>
        <v/>
      </c>
      <c r="AQ186" s="361">
        <f>'03 Operational Assumptions'!E280</f>
        <v/>
      </c>
      <c r="AR186" s="361">
        <f>'03 Operational Assumptions'!E280</f>
        <v/>
      </c>
    </row>
    <row r="187" ht="13.5" customHeight="1" s="290">
      <c r="A187" s="345" t="n"/>
      <c r="B187" s="370" t="inlineStr">
        <is>
          <t xml:space="preserve">  Support Staff Blended Annual Salary</t>
        </is>
      </c>
      <c r="C187" s="371" t="inlineStr">
        <is>
          <t>$K/head/yr</t>
        </is>
      </c>
      <c r="D187" s="394" t="inlineStr">
        <is>
          <t>← Tab 03 row 281 col E</t>
        </is>
      </c>
      <c r="E187" s="361">
        <f>'03 Operational Assumptions'!E281</f>
        <v/>
      </c>
      <c r="F187" s="361">
        <f>'03 Operational Assumptions'!E281</f>
        <v/>
      </c>
      <c r="G187" s="361">
        <f>'03 Operational Assumptions'!E281</f>
        <v/>
      </c>
      <c r="H187" s="361">
        <f>'03 Operational Assumptions'!E281</f>
        <v/>
      </c>
      <c r="I187" s="361">
        <f>'03 Operational Assumptions'!E281</f>
        <v/>
      </c>
      <c r="J187" s="361">
        <f>'03 Operational Assumptions'!E281</f>
        <v/>
      </c>
      <c r="K187" s="361">
        <f>'03 Operational Assumptions'!E281</f>
        <v/>
      </c>
      <c r="L187" s="361">
        <f>'03 Operational Assumptions'!E281</f>
        <v/>
      </c>
      <c r="M187" s="361">
        <f>'03 Operational Assumptions'!E281</f>
        <v/>
      </c>
      <c r="N187" s="361">
        <f>'03 Operational Assumptions'!E281</f>
        <v/>
      </c>
      <c r="O187" s="361">
        <f>'03 Operational Assumptions'!E281</f>
        <v/>
      </c>
      <c r="P187" s="361">
        <f>'03 Operational Assumptions'!E281</f>
        <v/>
      </c>
      <c r="Q187" s="361">
        <f>'03 Operational Assumptions'!E281</f>
        <v/>
      </c>
      <c r="R187" s="361">
        <f>'03 Operational Assumptions'!E281</f>
        <v/>
      </c>
      <c r="S187" s="361">
        <f>'03 Operational Assumptions'!E281</f>
        <v/>
      </c>
      <c r="T187" s="361">
        <f>'03 Operational Assumptions'!E281</f>
        <v/>
      </c>
      <c r="U187" s="361">
        <f>'03 Operational Assumptions'!E281</f>
        <v/>
      </c>
      <c r="V187" s="361">
        <f>'03 Operational Assumptions'!E281</f>
        <v/>
      </c>
      <c r="W187" s="361">
        <f>'03 Operational Assumptions'!E281</f>
        <v/>
      </c>
      <c r="X187" s="361">
        <f>'03 Operational Assumptions'!E281</f>
        <v/>
      </c>
      <c r="Y187" s="361">
        <f>'03 Operational Assumptions'!E281</f>
        <v/>
      </c>
      <c r="Z187" s="361">
        <f>'03 Operational Assumptions'!E281</f>
        <v/>
      </c>
      <c r="AA187" s="361">
        <f>'03 Operational Assumptions'!E281</f>
        <v/>
      </c>
      <c r="AB187" s="361">
        <f>'03 Operational Assumptions'!E281</f>
        <v/>
      </c>
      <c r="AC187" s="361">
        <f>'03 Operational Assumptions'!E281</f>
        <v/>
      </c>
      <c r="AD187" s="361">
        <f>'03 Operational Assumptions'!E281</f>
        <v/>
      </c>
      <c r="AE187" s="361">
        <f>'03 Operational Assumptions'!E281</f>
        <v/>
      </c>
      <c r="AF187" s="361">
        <f>'03 Operational Assumptions'!E281</f>
        <v/>
      </c>
      <c r="AG187" s="361">
        <f>'03 Operational Assumptions'!E281</f>
        <v/>
      </c>
      <c r="AH187" s="361">
        <f>'03 Operational Assumptions'!E281</f>
        <v/>
      </c>
      <c r="AI187" s="361">
        <f>'03 Operational Assumptions'!E281</f>
        <v/>
      </c>
      <c r="AJ187" s="361">
        <f>'03 Operational Assumptions'!E281</f>
        <v/>
      </c>
      <c r="AK187" s="361">
        <f>'03 Operational Assumptions'!E281</f>
        <v/>
      </c>
      <c r="AL187" s="361">
        <f>'03 Operational Assumptions'!E281</f>
        <v/>
      </c>
      <c r="AM187" s="361">
        <f>'03 Operational Assumptions'!E281</f>
        <v/>
      </c>
      <c r="AN187" s="361">
        <f>'03 Operational Assumptions'!E281</f>
        <v/>
      </c>
      <c r="AO187" s="361">
        <f>'03 Operational Assumptions'!E281</f>
        <v/>
      </c>
      <c r="AP187" s="361">
        <f>'03 Operational Assumptions'!E281</f>
        <v/>
      </c>
      <c r="AQ187" s="361">
        <f>'03 Operational Assumptions'!E281</f>
        <v/>
      </c>
      <c r="AR187" s="361">
        <f>'03 Operational Assumptions'!E281</f>
        <v/>
      </c>
    </row>
    <row r="188" ht="3.75" customHeight="1" s="290"/>
    <row r="189" ht="13.5" customHeight="1" s="290">
      <c r="A189" s="395" t="n"/>
      <c r="B189" s="373" t="inlineStr">
        <is>
          <t xml:space="preserve">  Quarterly Corporate Compensation</t>
        </is>
      </c>
      <c r="C189" s="374" t="inlineStr">
        <is>
          <t>$K/qtr</t>
        </is>
      </c>
      <c r="D189" s="396" t="inlineStr">
        <is>
          <t xml:space="preserve"> annual corp salary ÷ 4</t>
        </is>
      </c>
      <c r="E189" s="376">
        <f>E185/4</f>
        <v/>
      </c>
      <c r="F189" s="376">
        <f>F185/4</f>
        <v/>
      </c>
      <c r="G189" s="376">
        <f>G185/4</f>
        <v/>
      </c>
      <c r="H189" s="376">
        <f>H185/4</f>
        <v/>
      </c>
      <c r="I189" s="344">
        <f>SUM(E189:H189)</f>
        <v/>
      </c>
      <c r="J189" s="376">
        <f>J185/4</f>
        <v/>
      </c>
      <c r="K189" s="376">
        <f>K185/4</f>
        <v/>
      </c>
      <c r="L189" s="376">
        <f>L185/4</f>
        <v/>
      </c>
      <c r="M189" s="376">
        <f>M185/4</f>
        <v/>
      </c>
      <c r="N189" s="344">
        <f>SUM(J189:M189)</f>
        <v/>
      </c>
      <c r="O189" s="376">
        <f>O185/4</f>
        <v/>
      </c>
      <c r="P189" s="376">
        <f>P185/4</f>
        <v/>
      </c>
      <c r="Q189" s="376">
        <f>Q185/4</f>
        <v/>
      </c>
      <c r="R189" s="376">
        <f>R185/4</f>
        <v/>
      </c>
      <c r="S189" s="344">
        <f>SUM(O189:R189)</f>
        <v/>
      </c>
      <c r="T189" s="376">
        <f>T185/4</f>
        <v/>
      </c>
      <c r="U189" s="376">
        <f>U185/4</f>
        <v/>
      </c>
      <c r="V189" s="376">
        <f>V185/4</f>
        <v/>
      </c>
      <c r="W189" s="376">
        <f>W185/4</f>
        <v/>
      </c>
      <c r="X189" s="344">
        <f>SUM(T189:W189)</f>
        <v/>
      </c>
      <c r="Y189" s="376">
        <f>Y185/4</f>
        <v/>
      </c>
      <c r="Z189" s="376">
        <f>Z185/4</f>
        <v/>
      </c>
      <c r="AA189" s="376">
        <f>AA185/4</f>
        <v/>
      </c>
      <c r="AB189" s="376">
        <f>AB185/4</f>
        <v/>
      </c>
      <c r="AC189" s="344">
        <f>SUM(Y189:AB189)</f>
        <v/>
      </c>
      <c r="AD189" s="376">
        <f>AD185/4</f>
        <v/>
      </c>
      <c r="AE189" s="376">
        <f>AE185/4</f>
        <v/>
      </c>
      <c r="AF189" s="376">
        <f>AF185/4</f>
        <v/>
      </c>
      <c r="AG189" s="376">
        <f>AG185/4</f>
        <v/>
      </c>
      <c r="AH189" s="344">
        <f>SUM(AD189:AG189)</f>
        <v/>
      </c>
      <c r="AI189" s="376">
        <f>AI185/4</f>
        <v/>
      </c>
      <c r="AJ189" s="376">
        <f>AJ185/4</f>
        <v/>
      </c>
      <c r="AK189" s="376">
        <f>AK185/4</f>
        <v/>
      </c>
      <c r="AL189" s="376">
        <f>AL185/4</f>
        <v/>
      </c>
      <c r="AM189" s="344">
        <f>SUM(AI189:AL189)</f>
        <v/>
      </c>
      <c r="AN189" s="376">
        <f>AN185/4</f>
        <v/>
      </c>
      <c r="AO189" s="376">
        <f>AO185/4</f>
        <v/>
      </c>
      <c r="AP189" s="376">
        <f>AP185/4</f>
        <v/>
      </c>
      <c r="AQ189" s="376">
        <f>AQ185/4</f>
        <v/>
      </c>
      <c r="AR189" s="344">
        <f>SUM(AN189:AQ189)</f>
        <v/>
      </c>
    </row>
    <row r="190" ht="13.5" customHeight="1" s="290">
      <c r="A190" s="395" t="n"/>
      <c r="B190" s="373" t="inlineStr">
        <is>
          <t xml:space="preserve">  Quarterly Support Compensation</t>
        </is>
      </c>
      <c r="C190" s="374" t="inlineStr">
        <is>
          <t>$K/qtr</t>
        </is>
      </c>
      <c r="D190" s="396" t="inlineStr">
        <is>
          <t xml:space="preserve"> support hc × Blended Salary ÷ 4</t>
        </is>
      </c>
      <c r="E190" s="376">
        <f>E186*E187/4</f>
        <v/>
      </c>
      <c r="F190" s="376">
        <f>F186*F187/4</f>
        <v/>
      </c>
      <c r="G190" s="376">
        <f>G186*G187/4</f>
        <v/>
      </c>
      <c r="H190" s="376">
        <f>H186*H187/4</f>
        <v/>
      </c>
      <c r="I190" s="344">
        <f>SUM(E190:H190)</f>
        <v/>
      </c>
      <c r="J190" s="376">
        <f>J186*J187/4</f>
        <v/>
      </c>
      <c r="K190" s="376">
        <f>K186*K187/4</f>
        <v/>
      </c>
      <c r="L190" s="376">
        <f>L186*L187/4</f>
        <v/>
      </c>
      <c r="M190" s="376">
        <f>M186*M187/4</f>
        <v/>
      </c>
      <c r="N190" s="344">
        <f>SUM(J190:M190)</f>
        <v/>
      </c>
      <c r="O190" s="376">
        <f>O186*O187/4</f>
        <v/>
      </c>
      <c r="P190" s="376">
        <f>P186*P187/4</f>
        <v/>
      </c>
      <c r="Q190" s="376">
        <f>Q186*Q187/4</f>
        <v/>
      </c>
      <c r="R190" s="376">
        <f>R186*R187/4</f>
        <v/>
      </c>
      <c r="S190" s="344">
        <f>SUM(O190:R190)</f>
        <v/>
      </c>
      <c r="T190" s="376">
        <f>T186*T187/4</f>
        <v/>
      </c>
      <c r="U190" s="376">
        <f>U186*U187/4</f>
        <v/>
      </c>
      <c r="V190" s="376">
        <f>V186*V187/4</f>
        <v/>
      </c>
      <c r="W190" s="376">
        <f>W186*W187/4</f>
        <v/>
      </c>
      <c r="X190" s="344">
        <f>SUM(T190:W190)</f>
        <v/>
      </c>
      <c r="Y190" s="376">
        <f>Y186*Y187/4</f>
        <v/>
      </c>
      <c r="Z190" s="376">
        <f>Z186*Z187/4</f>
        <v/>
      </c>
      <c r="AA190" s="376">
        <f>AA186*AA187/4</f>
        <v/>
      </c>
      <c r="AB190" s="376">
        <f>AB186*AB187/4</f>
        <v/>
      </c>
      <c r="AC190" s="344">
        <f>SUM(Y190:AB190)</f>
        <v/>
      </c>
      <c r="AD190" s="376">
        <f>AD186*AD187/4</f>
        <v/>
      </c>
      <c r="AE190" s="376">
        <f>AE186*AE187/4</f>
        <v/>
      </c>
      <c r="AF190" s="376">
        <f>AF186*AF187/4</f>
        <v/>
      </c>
      <c r="AG190" s="376">
        <f>AG186*AG187/4</f>
        <v/>
      </c>
      <c r="AH190" s="344">
        <f>SUM(AD190:AG190)</f>
        <v/>
      </c>
      <c r="AI190" s="376">
        <f>AI186*AI187/4</f>
        <v/>
      </c>
      <c r="AJ190" s="376">
        <f>AJ186*AJ187/4</f>
        <v/>
      </c>
      <c r="AK190" s="376">
        <f>AK186*AK187/4</f>
        <v/>
      </c>
      <c r="AL190" s="376">
        <f>AL186*AL187/4</f>
        <v/>
      </c>
      <c r="AM190" s="344">
        <f>SUM(AI190:AL190)</f>
        <v/>
      </c>
      <c r="AN190" s="376">
        <f>AN186*AN187/4</f>
        <v/>
      </c>
      <c r="AO190" s="376">
        <f>AO186*AO187/4</f>
        <v/>
      </c>
      <c r="AP190" s="376">
        <f>AP186*AP187/4</f>
        <v/>
      </c>
      <c r="AQ190" s="376">
        <f>AQ186*AQ187/4</f>
        <v/>
      </c>
      <c r="AR190" s="344">
        <f>SUM(AN190:AQ190)</f>
        <v/>
      </c>
    </row>
    <row r="191" ht="15" customHeight="1" s="290">
      <c r="A191" s="397" t="n"/>
      <c r="B191" s="398" t="inlineStr">
        <is>
          <t xml:space="preserve">  Total Corporate &amp; Support Compensation</t>
        </is>
      </c>
      <c r="C191" s="399" t="inlineStr">
        <is>
          <t>$K/qtr</t>
        </is>
      </c>
      <c r="D191" s="400" t="inlineStr">
        <is>
          <t xml:space="preserve"> corp + support</t>
        </is>
      </c>
      <c r="E191" s="401">
        <f>E189+E190</f>
        <v/>
      </c>
      <c r="F191" s="401">
        <f>F189+F190</f>
        <v/>
      </c>
      <c r="G191" s="401">
        <f>G189+G190</f>
        <v/>
      </c>
      <c r="H191" s="401">
        <f>H189+H190</f>
        <v/>
      </c>
      <c r="I191" s="387">
        <f>SUM(E191:H191)</f>
        <v/>
      </c>
      <c r="J191" s="401">
        <f>J189+J190</f>
        <v/>
      </c>
      <c r="K191" s="401">
        <f>K189+K190</f>
        <v/>
      </c>
      <c r="L191" s="401">
        <f>L189+L190</f>
        <v/>
      </c>
      <c r="M191" s="401">
        <f>M189+M190</f>
        <v/>
      </c>
      <c r="N191" s="387">
        <f>SUM(J191:M191)</f>
        <v/>
      </c>
      <c r="O191" s="401">
        <f>O189+O190</f>
        <v/>
      </c>
      <c r="P191" s="401">
        <f>P189+P190</f>
        <v/>
      </c>
      <c r="Q191" s="401">
        <f>Q189+Q190</f>
        <v/>
      </c>
      <c r="R191" s="401">
        <f>R189+R190</f>
        <v/>
      </c>
      <c r="S191" s="387">
        <f>SUM(O191:R191)</f>
        <v/>
      </c>
      <c r="T191" s="401">
        <f>T189+T190</f>
        <v/>
      </c>
      <c r="U191" s="401">
        <f>U189+U190</f>
        <v/>
      </c>
      <c r="V191" s="401">
        <f>V189+V190</f>
        <v/>
      </c>
      <c r="W191" s="401">
        <f>W189+W190</f>
        <v/>
      </c>
      <c r="X191" s="387">
        <f>SUM(T191:W191)</f>
        <v/>
      </c>
      <c r="Y191" s="401">
        <f>Y189+Y190</f>
        <v/>
      </c>
      <c r="Z191" s="401">
        <f>Z189+Z190</f>
        <v/>
      </c>
      <c r="AA191" s="401">
        <f>AA189+AA190</f>
        <v/>
      </c>
      <c r="AB191" s="401">
        <f>AB189+AB190</f>
        <v/>
      </c>
      <c r="AC191" s="387">
        <f>SUM(Y191:AB191)</f>
        <v/>
      </c>
      <c r="AD191" s="401">
        <f>AD189+AD190</f>
        <v/>
      </c>
      <c r="AE191" s="401">
        <f>AE189+AE190</f>
        <v/>
      </c>
      <c r="AF191" s="401">
        <f>AF189+AF190</f>
        <v/>
      </c>
      <c r="AG191" s="401">
        <f>AG189+AG190</f>
        <v/>
      </c>
      <c r="AH191" s="387">
        <f>SUM(AD191:AG191)</f>
        <v/>
      </c>
      <c r="AI191" s="401">
        <f>AI189+AI190</f>
        <v/>
      </c>
      <c r="AJ191" s="401">
        <f>AJ189+AJ190</f>
        <v/>
      </c>
      <c r="AK191" s="401">
        <f>AK189+AK190</f>
        <v/>
      </c>
      <c r="AL191" s="401">
        <f>AL189+AL190</f>
        <v/>
      </c>
      <c r="AM191" s="387">
        <f>SUM(AI191:AL191)</f>
        <v/>
      </c>
      <c r="AN191" s="401">
        <f>AN189+AN190</f>
        <v/>
      </c>
      <c r="AO191" s="401">
        <f>AO189+AO190</f>
        <v/>
      </c>
      <c r="AP191" s="401">
        <f>AP189+AP190</f>
        <v/>
      </c>
      <c r="AQ191" s="401">
        <f>AQ189+AQ190</f>
        <v/>
      </c>
      <c r="AR191" s="387">
        <f>SUM(AN191:AQ191)</f>
        <v/>
      </c>
    </row>
    <row r="192" ht="4.5" customHeight="1" s="290"/>
    <row r="193" ht="3" customHeight="1" s="290">
      <c r="A193" s="293" t="n"/>
    </row>
    <row r="194" ht="4.5" customHeight="1" s="290"/>
    <row r="195" ht="15.75" customHeight="1" s="290">
      <c r="A195" s="338" t="inlineStr">
        <is>
          <t xml:space="preserve">  SECTION E — COMPENSATION SUMMARY  ★  [ Primary outputs — Tab 08 P&amp;L links here ]</t>
        </is>
      </c>
    </row>
    <row r="196" ht="3.75" customHeight="1" s="290"/>
    <row r="197" ht="12.75" customHeight="1" s="290">
      <c r="A197" s="348" t="inlineStr">
        <is>
          <t xml:space="preserve">  Company Dollar = Total GCI − Total Producer Payouts. This is the revenue the firm retains after compensating producers. Section D (Bonus Pool) references Company Dollar from this section. Tab 08 P&amp;L links to ALL output rows in this section.</t>
        </is>
      </c>
    </row>
    <row r="198" ht="3.75" customHeight="1" s="290"/>
    <row r="199" ht="15" customHeight="1" s="290">
      <c r="A199" s="307" t="inlineStr">
        <is>
          <t xml:space="preserve">    E1 — REVENUE &amp; PAYOUT WATERFALL</t>
        </is>
      </c>
    </row>
    <row r="200" ht="3" customHeight="1" s="290"/>
    <row r="201" ht="13.5" customHeight="1" s="290">
      <c r="A201" s="345" t="n"/>
      <c r="B201" s="370" t="inlineStr">
        <is>
          <t xml:space="preserve">  Total GCI / Firm Revenue</t>
        </is>
      </c>
      <c r="C201" s="371" t="inlineStr">
        <is>
          <t>$K</t>
        </is>
      </c>
      <c r="D201" s="394" t="inlineStr">
        <is>
          <t>← Tab 05 row 195 (Total GCI)</t>
        </is>
      </c>
      <c r="E201" s="361">
        <f>'05 Revenue Engine'!E195</f>
        <v/>
      </c>
      <c r="F201" s="361">
        <f>'05 Revenue Engine'!F195</f>
        <v/>
      </c>
      <c r="G201" s="361">
        <f>'05 Revenue Engine'!G195</f>
        <v/>
      </c>
      <c r="H201" s="361">
        <f>'05 Revenue Engine'!H195</f>
        <v/>
      </c>
      <c r="I201" s="361">
        <f>SUM(E201:H201)</f>
        <v/>
      </c>
      <c r="J201" s="361">
        <f>'05 Revenue Engine'!J195</f>
        <v/>
      </c>
      <c r="K201" s="361">
        <f>'05 Revenue Engine'!K195</f>
        <v/>
      </c>
      <c r="L201" s="361">
        <f>'05 Revenue Engine'!L195</f>
        <v/>
      </c>
      <c r="M201" s="361">
        <f>'05 Revenue Engine'!M195</f>
        <v/>
      </c>
      <c r="N201" s="361">
        <f>SUM(J201:M201)</f>
        <v/>
      </c>
      <c r="O201" s="361">
        <f>'05 Revenue Engine'!O195</f>
        <v/>
      </c>
      <c r="P201" s="361">
        <f>'05 Revenue Engine'!P195</f>
        <v/>
      </c>
      <c r="Q201" s="361">
        <f>'05 Revenue Engine'!Q195</f>
        <v/>
      </c>
      <c r="R201" s="361">
        <f>'05 Revenue Engine'!R195</f>
        <v/>
      </c>
      <c r="S201" s="361">
        <f>SUM(O201:R201)</f>
        <v/>
      </c>
      <c r="T201" s="361">
        <f>'05 Revenue Engine'!T195</f>
        <v/>
      </c>
      <c r="U201" s="361">
        <f>'05 Revenue Engine'!U195</f>
        <v/>
      </c>
      <c r="V201" s="361">
        <f>'05 Revenue Engine'!V195</f>
        <v/>
      </c>
      <c r="W201" s="361">
        <f>'05 Revenue Engine'!W195</f>
        <v/>
      </c>
      <c r="X201" s="361">
        <f>SUM(T201:W201)</f>
        <v/>
      </c>
      <c r="Y201" s="361">
        <f>'05 Revenue Engine'!Y195</f>
        <v/>
      </c>
      <c r="Z201" s="361">
        <f>'05 Revenue Engine'!Z195</f>
        <v/>
      </c>
      <c r="AA201" s="361">
        <f>'05 Revenue Engine'!AA195</f>
        <v/>
      </c>
      <c r="AB201" s="361">
        <f>'05 Revenue Engine'!AB195</f>
        <v/>
      </c>
      <c r="AC201" s="361">
        <f>SUM(Y201:AB201)</f>
        <v/>
      </c>
      <c r="AD201" s="361">
        <f>'05 Revenue Engine'!AD195</f>
        <v/>
      </c>
      <c r="AE201" s="361">
        <f>'05 Revenue Engine'!AE195</f>
        <v/>
      </c>
      <c r="AF201" s="361">
        <f>'05 Revenue Engine'!AF195</f>
        <v/>
      </c>
      <c r="AG201" s="361">
        <f>'05 Revenue Engine'!AG195</f>
        <v/>
      </c>
      <c r="AH201" s="361">
        <f>SUM(AD201:AG201)</f>
        <v/>
      </c>
      <c r="AI201" s="361">
        <f>'05 Revenue Engine'!AI195</f>
        <v/>
      </c>
      <c r="AJ201" s="361">
        <f>'05 Revenue Engine'!AJ195</f>
        <v/>
      </c>
      <c r="AK201" s="361">
        <f>'05 Revenue Engine'!AK195</f>
        <v/>
      </c>
      <c r="AL201" s="361">
        <f>'05 Revenue Engine'!AL195</f>
        <v/>
      </c>
      <c r="AM201" s="361">
        <f>SUM(AI201:AL201)</f>
        <v/>
      </c>
      <c r="AN201" s="361">
        <f>'05 Revenue Engine'!AN195</f>
        <v/>
      </c>
      <c r="AO201" s="361">
        <f>'05 Revenue Engine'!AO195</f>
        <v/>
      </c>
      <c r="AP201" s="361">
        <f>'05 Revenue Engine'!AP195</f>
        <v/>
      </c>
      <c r="AQ201" s="361">
        <f>'05 Revenue Engine'!AQ195</f>
        <v/>
      </c>
      <c r="AR201" s="361">
        <f>SUM(AN201:AQ201)</f>
        <v/>
      </c>
    </row>
    <row r="202" ht="13.5" customHeight="1" s="290">
      <c r="A202" s="345" t="n"/>
      <c r="B202" s="370" t="inlineStr">
        <is>
          <t xml:space="preserve">  Leasing — Producer Payouts</t>
        </is>
      </c>
      <c r="C202" s="371" t="inlineStr">
        <is>
          <t>$K</t>
        </is>
      </c>
      <c r="D202" s="404" t="inlineStr">
        <is>
          <t>← row 48</t>
        </is>
      </c>
      <c r="E202" s="361">
        <f>E48</f>
        <v/>
      </c>
      <c r="F202" s="361">
        <f>F48</f>
        <v/>
      </c>
      <c r="G202" s="361">
        <f>G48</f>
        <v/>
      </c>
      <c r="H202" s="361">
        <f>H48</f>
        <v/>
      </c>
      <c r="I202" s="405">
        <f>SUM(E202:H202)</f>
        <v/>
      </c>
      <c r="J202" s="361">
        <f>J48</f>
        <v/>
      </c>
      <c r="K202" s="361">
        <f>K48</f>
        <v/>
      </c>
      <c r="L202" s="361">
        <f>L48</f>
        <v/>
      </c>
      <c r="M202" s="361">
        <f>M48</f>
        <v/>
      </c>
      <c r="N202" s="405">
        <f>SUM(J202:M202)</f>
        <v/>
      </c>
      <c r="O202" s="361">
        <f>O48</f>
        <v/>
      </c>
      <c r="P202" s="361">
        <f>P48</f>
        <v/>
      </c>
      <c r="Q202" s="361">
        <f>Q48</f>
        <v/>
      </c>
      <c r="R202" s="361">
        <f>R48</f>
        <v/>
      </c>
      <c r="S202" s="405">
        <f>SUM(O202:R202)</f>
        <v/>
      </c>
      <c r="T202" s="361">
        <f>T48</f>
        <v/>
      </c>
      <c r="U202" s="361">
        <f>U48</f>
        <v/>
      </c>
      <c r="V202" s="361">
        <f>V48</f>
        <v/>
      </c>
      <c r="W202" s="361">
        <f>W48</f>
        <v/>
      </c>
      <c r="X202" s="405">
        <f>SUM(T202:W202)</f>
        <v/>
      </c>
      <c r="Y202" s="361">
        <f>Y48</f>
        <v/>
      </c>
      <c r="Z202" s="361">
        <f>Z48</f>
        <v/>
      </c>
      <c r="AA202" s="361">
        <f>AA48</f>
        <v/>
      </c>
      <c r="AB202" s="361">
        <f>AB48</f>
        <v/>
      </c>
      <c r="AC202" s="405">
        <f>SUM(Y202:AB202)</f>
        <v/>
      </c>
      <c r="AD202" s="361">
        <f>AD48</f>
        <v/>
      </c>
      <c r="AE202" s="361">
        <f>AE48</f>
        <v/>
      </c>
      <c r="AF202" s="361">
        <f>AF48</f>
        <v/>
      </c>
      <c r="AG202" s="361">
        <f>AG48</f>
        <v/>
      </c>
      <c r="AH202" s="405">
        <f>SUM(AD202:AG202)</f>
        <v/>
      </c>
      <c r="AI202" s="361">
        <f>AI48</f>
        <v/>
      </c>
      <c r="AJ202" s="361">
        <f>AJ48</f>
        <v/>
      </c>
      <c r="AK202" s="361">
        <f>AK48</f>
        <v/>
      </c>
      <c r="AL202" s="361">
        <f>AL48</f>
        <v/>
      </c>
      <c r="AM202" s="405">
        <f>SUM(AI202:AL202)</f>
        <v/>
      </c>
      <c r="AN202" s="361">
        <f>AN48</f>
        <v/>
      </c>
      <c r="AO202" s="361">
        <f>AO48</f>
        <v/>
      </c>
      <c r="AP202" s="361">
        <f>AP48</f>
        <v/>
      </c>
      <c r="AQ202" s="361">
        <f>AQ48</f>
        <v/>
      </c>
      <c r="AR202" s="405">
        <f>SUM(AN202:AQ202)</f>
        <v/>
      </c>
    </row>
    <row r="203" ht="13.5" customHeight="1" s="290">
      <c r="A203" s="345" t="n"/>
      <c r="B203" s="370" t="inlineStr">
        <is>
          <t xml:space="preserve">  Investment Sales — Producer Payouts</t>
        </is>
      </c>
      <c r="C203" s="371" t="inlineStr">
        <is>
          <t>$K</t>
        </is>
      </c>
      <c r="D203" s="404" t="inlineStr">
        <is>
          <t>← row 94</t>
        </is>
      </c>
      <c r="E203" s="361">
        <f>E94</f>
        <v/>
      </c>
      <c r="F203" s="361">
        <f>F94</f>
        <v/>
      </c>
      <c r="G203" s="361">
        <f>G94</f>
        <v/>
      </c>
      <c r="H203" s="361">
        <f>H94</f>
        <v/>
      </c>
      <c r="I203" s="405">
        <f>SUM(E203:H203)</f>
        <v/>
      </c>
      <c r="J203" s="361">
        <f>J94</f>
        <v/>
      </c>
      <c r="K203" s="361">
        <f>K94</f>
        <v/>
      </c>
      <c r="L203" s="361">
        <f>L94</f>
        <v/>
      </c>
      <c r="M203" s="361">
        <f>M94</f>
        <v/>
      </c>
      <c r="N203" s="405">
        <f>SUM(J203:M203)</f>
        <v/>
      </c>
      <c r="O203" s="361">
        <f>O94</f>
        <v/>
      </c>
      <c r="P203" s="361">
        <f>P94</f>
        <v/>
      </c>
      <c r="Q203" s="361">
        <f>Q94</f>
        <v/>
      </c>
      <c r="R203" s="361">
        <f>R94</f>
        <v/>
      </c>
      <c r="S203" s="405">
        <f>SUM(O203:R203)</f>
        <v/>
      </c>
      <c r="T203" s="361">
        <f>T94</f>
        <v/>
      </c>
      <c r="U203" s="361">
        <f>U94</f>
        <v/>
      </c>
      <c r="V203" s="361">
        <f>V94</f>
        <v/>
      </c>
      <c r="W203" s="361">
        <f>W94</f>
        <v/>
      </c>
      <c r="X203" s="405">
        <f>SUM(T203:W203)</f>
        <v/>
      </c>
      <c r="Y203" s="361">
        <f>Y94</f>
        <v/>
      </c>
      <c r="Z203" s="361">
        <f>Z94</f>
        <v/>
      </c>
      <c r="AA203" s="361">
        <f>AA94</f>
        <v/>
      </c>
      <c r="AB203" s="361">
        <f>AB94</f>
        <v/>
      </c>
      <c r="AC203" s="405">
        <f>SUM(Y203:AB203)</f>
        <v/>
      </c>
      <c r="AD203" s="361">
        <f>AD94</f>
        <v/>
      </c>
      <c r="AE203" s="361">
        <f>AE94</f>
        <v/>
      </c>
      <c r="AF203" s="361">
        <f>AF94</f>
        <v/>
      </c>
      <c r="AG203" s="361">
        <f>AG94</f>
        <v/>
      </c>
      <c r="AH203" s="405">
        <f>SUM(AD203:AG203)</f>
        <v/>
      </c>
      <c r="AI203" s="361">
        <f>AI94</f>
        <v/>
      </c>
      <c r="AJ203" s="361">
        <f>AJ94</f>
        <v/>
      </c>
      <c r="AK203" s="361">
        <f>AK94</f>
        <v/>
      </c>
      <c r="AL203" s="361">
        <f>AL94</f>
        <v/>
      </c>
      <c r="AM203" s="405">
        <f>SUM(AI203:AL203)</f>
        <v/>
      </c>
      <c r="AN203" s="361">
        <f>AN94</f>
        <v/>
      </c>
      <c r="AO203" s="361">
        <f>AO94</f>
        <v/>
      </c>
      <c r="AP203" s="361">
        <f>AP94</f>
        <v/>
      </c>
      <c r="AQ203" s="361">
        <f>AQ94</f>
        <v/>
      </c>
      <c r="AR203" s="405">
        <f>SUM(AN203:AQ203)</f>
        <v/>
      </c>
    </row>
    <row r="204" ht="13.5" customHeight="1" s="290">
      <c r="A204" s="345" t="n"/>
      <c r="B204" s="370" t="inlineStr">
        <is>
          <t xml:space="preserve">  D&amp;E — Producer Payouts</t>
        </is>
      </c>
      <c r="C204" s="371" t="inlineStr">
        <is>
          <t>$K</t>
        </is>
      </c>
      <c r="D204" s="404" t="inlineStr">
        <is>
          <t>← row 140</t>
        </is>
      </c>
      <c r="E204" s="361">
        <f>E140</f>
        <v/>
      </c>
      <c r="F204" s="361">
        <f>F140</f>
        <v/>
      </c>
      <c r="G204" s="361">
        <f>G140</f>
        <v/>
      </c>
      <c r="H204" s="361">
        <f>H140</f>
        <v/>
      </c>
      <c r="I204" s="405">
        <f>SUM(E204:H204)</f>
        <v/>
      </c>
      <c r="J204" s="361">
        <f>J140</f>
        <v/>
      </c>
      <c r="K204" s="361">
        <f>K140</f>
        <v/>
      </c>
      <c r="L204" s="361">
        <f>L140</f>
        <v/>
      </c>
      <c r="M204" s="361">
        <f>M140</f>
        <v/>
      </c>
      <c r="N204" s="405">
        <f>SUM(J204:M204)</f>
        <v/>
      </c>
      <c r="O204" s="361">
        <f>O140</f>
        <v/>
      </c>
      <c r="P204" s="361">
        <f>P140</f>
        <v/>
      </c>
      <c r="Q204" s="361">
        <f>Q140</f>
        <v/>
      </c>
      <c r="R204" s="361">
        <f>R140</f>
        <v/>
      </c>
      <c r="S204" s="405">
        <f>SUM(O204:R204)</f>
        <v/>
      </c>
      <c r="T204" s="361">
        <f>T140</f>
        <v/>
      </c>
      <c r="U204" s="361">
        <f>U140</f>
        <v/>
      </c>
      <c r="V204" s="361">
        <f>V140</f>
        <v/>
      </c>
      <c r="W204" s="361">
        <f>W140</f>
        <v/>
      </c>
      <c r="X204" s="405">
        <f>SUM(T204:W204)</f>
        <v/>
      </c>
      <c r="Y204" s="361">
        <f>Y140</f>
        <v/>
      </c>
      <c r="Z204" s="361">
        <f>Z140</f>
        <v/>
      </c>
      <c r="AA204" s="361">
        <f>AA140</f>
        <v/>
      </c>
      <c r="AB204" s="361">
        <f>AB140</f>
        <v/>
      </c>
      <c r="AC204" s="405">
        <f>SUM(Y204:AB204)</f>
        <v/>
      </c>
      <c r="AD204" s="361">
        <f>AD140</f>
        <v/>
      </c>
      <c r="AE204" s="361">
        <f>AE140</f>
        <v/>
      </c>
      <c r="AF204" s="361">
        <f>AF140</f>
        <v/>
      </c>
      <c r="AG204" s="361">
        <f>AG140</f>
        <v/>
      </c>
      <c r="AH204" s="405">
        <f>SUM(AD204:AG204)</f>
        <v/>
      </c>
      <c r="AI204" s="361">
        <f>AI140</f>
        <v/>
      </c>
      <c r="AJ204" s="361">
        <f>AJ140</f>
        <v/>
      </c>
      <c r="AK204" s="361">
        <f>AK140</f>
        <v/>
      </c>
      <c r="AL204" s="361">
        <f>AL140</f>
        <v/>
      </c>
      <c r="AM204" s="405">
        <f>SUM(AI204:AL204)</f>
        <v/>
      </c>
      <c r="AN204" s="361">
        <f>AN140</f>
        <v/>
      </c>
      <c r="AO204" s="361">
        <f>AO140</f>
        <v/>
      </c>
      <c r="AP204" s="361">
        <f>AP140</f>
        <v/>
      </c>
      <c r="AQ204" s="361">
        <f>AQ140</f>
        <v/>
      </c>
      <c r="AR204" s="405">
        <f>SUM(AN204:AQ204)</f>
        <v/>
      </c>
    </row>
    <row r="205" ht="13.5" customHeight="1" s="290">
      <c r="A205" s="397" t="n"/>
      <c r="B205" s="398" t="inlineStr">
        <is>
          <t xml:space="preserve">  Total Producer Payouts</t>
        </is>
      </c>
      <c r="C205" s="399" t="inlineStr">
        <is>
          <t>$K</t>
        </is>
      </c>
      <c r="D205" s="400" t="inlineStr">
        <is>
          <t xml:space="preserve"> lea + is + d&amp;e payouts</t>
        </is>
      </c>
      <c r="E205" s="401">
        <f>E202+E203+E204</f>
        <v/>
      </c>
      <c r="F205" s="401">
        <f>F202+F203+F204</f>
        <v/>
      </c>
      <c r="G205" s="401">
        <f>G202+G203+G204</f>
        <v/>
      </c>
      <c r="H205" s="401">
        <f>H202+H203+H204</f>
        <v/>
      </c>
      <c r="I205" s="387">
        <f>SUM(E205:H205)</f>
        <v/>
      </c>
      <c r="J205" s="401">
        <f>J202+J203+J204</f>
        <v/>
      </c>
      <c r="K205" s="401">
        <f>K202+K203+K204</f>
        <v/>
      </c>
      <c r="L205" s="401">
        <f>L202+L203+L204</f>
        <v/>
      </c>
      <c r="M205" s="401">
        <f>M202+M203+M204</f>
        <v/>
      </c>
      <c r="N205" s="387">
        <f>SUM(J205:M205)</f>
        <v/>
      </c>
      <c r="O205" s="401">
        <f>O202+O203+O204</f>
        <v/>
      </c>
      <c r="P205" s="401">
        <f>P202+P203+P204</f>
        <v/>
      </c>
      <c r="Q205" s="401">
        <f>Q202+Q203+Q204</f>
        <v/>
      </c>
      <c r="R205" s="401">
        <f>R202+R203+R204</f>
        <v/>
      </c>
      <c r="S205" s="387">
        <f>SUM(O205:R205)</f>
        <v/>
      </c>
      <c r="T205" s="401">
        <f>T202+T203+T204</f>
        <v/>
      </c>
      <c r="U205" s="401">
        <f>U202+U203+U204</f>
        <v/>
      </c>
      <c r="V205" s="401">
        <f>V202+V203+V204</f>
        <v/>
      </c>
      <c r="W205" s="401">
        <f>W202+W203+W204</f>
        <v/>
      </c>
      <c r="X205" s="387">
        <f>SUM(T205:W205)</f>
        <v/>
      </c>
      <c r="Y205" s="401">
        <f>Y202+Y203+Y204</f>
        <v/>
      </c>
      <c r="Z205" s="401">
        <f>Z202+Z203+Z204</f>
        <v/>
      </c>
      <c r="AA205" s="401">
        <f>AA202+AA203+AA204</f>
        <v/>
      </c>
      <c r="AB205" s="401">
        <f>AB202+AB203+AB204</f>
        <v/>
      </c>
      <c r="AC205" s="387">
        <f>SUM(Y205:AB205)</f>
        <v/>
      </c>
      <c r="AD205" s="401">
        <f>AD202+AD203+AD204</f>
        <v/>
      </c>
      <c r="AE205" s="401">
        <f>AE202+AE203+AE204</f>
        <v/>
      </c>
      <c r="AF205" s="401">
        <f>AF202+AF203+AF204</f>
        <v/>
      </c>
      <c r="AG205" s="401">
        <f>AG202+AG203+AG204</f>
        <v/>
      </c>
      <c r="AH205" s="387">
        <f>SUM(AD205:AG205)</f>
        <v/>
      </c>
      <c r="AI205" s="401">
        <f>AI202+AI203+AI204</f>
        <v/>
      </c>
      <c r="AJ205" s="401">
        <f>AJ202+AJ203+AJ204</f>
        <v/>
      </c>
      <c r="AK205" s="401">
        <f>AK202+AK203+AK204</f>
        <v/>
      </c>
      <c r="AL205" s="401">
        <f>AL202+AL203+AL204</f>
        <v/>
      </c>
      <c r="AM205" s="387">
        <f>SUM(AI205:AL205)</f>
        <v/>
      </c>
      <c r="AN205" s="401">
        <f>AN202+AN203+AN204</f>
        <v/>
      </c>
      <c r="AO205" s="401">
        <f>AO202+AO203+AO204</f>
        <v/>
      </c>
      <c r="AP205" s="401">
        <f>AP202+AP203+AP204</f>
        <v/>
      </c>
      <c r="AQ205" s="401">
        <f>AQ202+AQ203+AQ204</f>
        <v/>
      </c>
      <c r="AR205" s="387">
        <f>SUM(AN205:AQ205)</f>
        <v/>
      </c>
    </row>
    <row r="206" ht="3.75" customHeight="1" s="290"/>
    <row r="207" ht="18" customHeight="1" s="290">
      <c r="A207" s="397" t="n"/>
      <c r="B207" s="298" t="inlineStr">
        <is>
          <t xml:space="preserve">  ★ COMPANY DOLLAR  =  Total GCI  −  Total Producer Payouts</t>
        </is>
      </c>
      <c r="C207" s="406" t="inlineStr">
        <is>
          <t>$K</t>
        </is>
      </c>
      <c r="D207" s="419" t="inlineStr">
        <is>
          <t xml:space="preserve"> total gci − Total Producer Payouts</t>
        </is>
      </c>
      <c r="E207" s="420">
        <f>E201-E205</f>
        <v/>
      </c>
      <c r="F207" s="420">
        <f>F201-F205</f>
        <v/>
      </c>
      <c r="G207" s="420">
        <f>G201-G205</f>
        <v/>
      </c>
      <c r="H207" s="420">
        <f>H201-H205</f>
        <v/>
      </c>
      <c r="I207" s="420">
        <f>SUM(E207:H207)</f>
        <v/>
      </c>
      <c r="J207" s="420">
        <f>J201-J205</f>
        <v/>
      </c>
      <c r="K207" s="420">
        <f>K201-K205</f>
        <v/>
      </c>
      <c r="L207" s="420">
        <f>L201-L205</f>
        <v/>
      </c>
      <c r="M207" s="420">
        <f>M201-M205</f>
        <v/>
      </c>
      <c r="N207" s="420">
        <f>SUM(J207:M207)</f>
        <v/>
      </c>
      <c r="O207" s="420">
        <f>O201-O205</f>
        <v/>
      </c>
      <c r="P207" s="420">
        <f>P201-P205</f>
        <v/>
      </c>
      <c r="Q207" s="420">
        <f>Q201-Q205</f>
        <v/>
      </c>
      <c r="R207" s="420">
        <f>R201-R205</f>
        <v/>
      </c>
      <c r="S207" s="420">
        <f>SUM(O207:R207)</f>
        <v/>
      </c>
      <c r="T207" s="420">
        <f>T201-T205</f>
        <v/>
      </c>
      <c r="U207" s="420">
        <f>U201-U205</f>
        <v/>
      </c>
      <c r="V207" s="420">
        <f>V201-V205</f>
        <v/>
      </c>
      <c r="W207" s="420">
        <f>W201-W205</f>
        <v/>
      </c>
      <c r="X207" s="420">
        <f>SUM(T207:W207)</f>
        <v/>
      </c>
      <c r="Y207" s="420">
        <f>Y201-Y205</f>
        <v/>
      </c>
      <c r="Z207" s="420">
        <f>Z201-Z205</f>
        <v/>
      </c>
      <c r="AA207" s="420">
        <f>AA201-AA205</f>
        <v/>
      </c>
      <c r="AB207" s="420">
        <f>AB201-AB205</f>
        <v/>
      </c>
      <c r="AC207" s="420">
        <f>SUM(Y207:AB207)</f>
        <v/>
      </c>
      <c r="AD207" s="420">
        <f>AD201-AD205</f>
        <v/>
      </c>
      <c r="AE207" s="420">
        <f>AE201-AE205</f>
        <v/>
      </c>
      <c r="AF207" s="420">
        <f>AF201-AF205</f>
        <v/>
      </c>
      <c r="AG207" s="420">
        <f>AG201-AG205</f>
        <v/>
      </c>
      <c r="AH207" s="420">
        <f>SUM(AD207:AG207)</f>
        <v/>
      </c>
      <c r="AI207" s="420">
        <f>AI201-AI205</f>
        <v/>
      </c>
      <c r="AJ207" s="420">
        <f>AJ201-AJ205</f>
        <v/>
      </c>
      <c r="AK207" s="420">
        <f>AK201-AK205</f>
        <v/>
      </c>
      <c r="AL207" s="420">
        <f>AL201-AL205</f>
        <v/>
      </c>
      <c r="AM207" s="420">
        <f>SUM(AI207:AL207)</f>
        <v/>
      </c>
      <c r="AN207" s="420">
        <f>AN201-AN205</f>
        <v/>
      </c>
      <c r="AO207" s="420">
        <f>AO201-AO205</f>
        <v/>
      </c>
      <c r="AP207" s="420">
        <f>AP201-AP205</f>
        <v/>
      </c>
      <c r="AQ207" s="420">
        <f>AQ201-AQ205</f>
        <v/>
      </c>
      <c r="AR207" s="420">
        <f>SUM(AN207:AQ207)</f>
        <v/>
      </c>
    </row>
    <row r="208" ht="13.5" customHeight="1" s="290">
      <c r="A208" s="395" t="n"/>
      <c r="B208" s="402" t="inlineStr">
        <is>
          <t xml:space="preserve">  Company Dollar Margin %</t>
        </is>
      </c>
      <c r="C208" s="374" t="inlineStr">
        <is>
          <t>%</t>
        </is>
      </c>
      <c r="D208" s="396" t="inlineStr">
        <is>
          <t xml:space="preserve"> company dollar ÷ Total GCI</t>
        </is>
      </c>
      <c r="E208" s="403">
        <f>IFERROR(E207/E201,0)</f>
        <v/>
      </c>
      <c r="F208" s="403">
        <f>IFERROR(F207/F201,0)</f>
        <v/>
      </c>
      <c r="G208" s="403">
        <f>IFERROR(G207/G201,0)</f>
        <v/>
      </c>
      <c r="H208" s="403">
        <f>IFERROR(H207/H201,0)</f>
        <v/>
      </c>
      <c r="I208" s="387">
        <f>IFERROR(I207/I201,0)</f>
        <v/>
      </c>
      <c r="J208" s="403">
        <f>IFERROR(J207/J201,0)</f>
        <v/>
      </c>
      <c r="K208" s="403">
        <f>IFERROR(K207/K201,0)</f>
        <v/>
      </c>
      <c r="L208" s="403">
        <f>IFERROR(L207/L201,0)</f>
        <v/>
      </c>
      <c r="M208" s="403">
        <f>IFERROR(M207/M201,0)</f>
        <v/>
      </c>
      <c r="N208" s="387">
        <f>IFERROR(N207/N201,0)</f>
        <v/>
      </c>
      <c r="O208" s="403">
        <f>IFERROR(O207/O201,0)</f>
        <v/>
      </c>
      <c r="P208" s="403">
        <f>IFERROR(P207/P201,0)</f>
        <v/>
      </c>
      <c r="Q208" s="403">
        <f>IFERROR(Q207/Q201,0)</f>
        <v/>
      </c>
      <c r="R208" s="403">
        <f>IFERROR(R207/R201,0)</f>
        <v/>
      </c>
      <c r="S208" s="387">
        <f>IFERROR(S207/S201,0)</f>
        <v/>
      </c>
      <c r="T208" s="403">
        <f>IFERROR(T207/T201,0)</f>
        <v/>
      </c>
      <c r="U208" s="403">
        <f>IFERROR(U207/U201,0)</f>
        <v/>
      </c>
      <c r="V208" s="403">
        <f>IFERROR(V207/V201,0)</f>
        <v/>
      </c>
      <c r="W208" s="403">
        <f>IFERROR(W207/W201,0)</f>
        <v/>
      </c>
      <c r="X208" s="387">
        <f>IFERROR(X207/X201,0)</f>
        <v/>
      </c>
      <c r="Y208" s="403">
        <f>IFERROR(Y207/Y201,0)</f>
        <v/>
      </c>
      <c r="Z208" s="403">
        <f>IFERROR(Z207/Z201,0)</f>
        <v/>
      </c>
      <c r="AA208" s="403">
        <f>IFERROR(AA207/AA201,0)</f>
        <v/>
      </c>
      <c r="AB208" s="403">
        <f>IFERROR(AB207/AB201,0)</f>
        <v/>
      </c>
      <c r="AC208" s="387">
        <f>IFERROR(AC207/AC201,0)</f>
        <v/>
      </c>
      <c r="AD208" s="403">
        <f>IFERROR(AD207/AD201,0)</f>
        <v/>
      </c>
      <c r="AE208" s="403">
        <f>IFERROR(AE207/AE201,0)</f>
        <v/>
      </c>
      <c r="AF208" s="403">
        <f>IFERROR(AF207/AF201,0)</f>
        <v/>
      </c>
      <c r="AG208" s="403">
        <f>IFERROR(AG207/AG201,0)</f>
        <v/>
      </c>
      <c r="AH208" s="387">
        <f>IFERROR(AH207/AH201,0)</f>
        <v/>
      </c>
      <c r="AI208" s="403">
        <f>IFERROR(AI207/AI201,0)</f>
        <v/>
      </c>
      <c r="AJ208" s="403">
        <f>IFERROR(AJ207/AJ201,0)</f>
        <v/>
      </c>
      <c r="AK208" s="403">
        <f>IFERROR(AK207/AK201,0)</f>
        <v/>
      </c>
      <c r="AL208" s="403">
        <f>IFERROR(AL207/AL201,0)</f>
        <v/>
      </c>
      <c r="AM208" s="387">
        <f>IFERROR(AM207/AM201,0)</f>
        <v/>
      </c>
      <c r="AN208" s="403">
        <f>IFERROR(AN207/AN201,0)</f>
        <v/>
      </c>
      <c r="AO208" s="403">
        <f>IFERROR(AO207/AO201,0)</f>
        <v/>
      </c>
      <c r="AP208" s="403">
        <f>IFERROR(AP207/AP201,0)</f>
        <v/>
      </c>
      <c r="AQ208" s="403">
        <f>IFERROR(AQ207/AQ201,0)</f>
        <v/>
      </c>
      <c r="AR208" s="387">
        <f>IFERROR(AR207/AR201,0)</f>
        <v/>
      </c>
    </row>
    <row r="209" ht="13.5" customHeight="1" s="290">
      <c r="A209" s="395" t="n"/>
      <c r="B209" s="373" t="inlineStr">
        <is>
          <t xml:space="preserve">  Blended Effective Payout Ratio</t>
        </is>
      </c>
      <c r="C209" s="374" t="inlineStr">
        <is>
          <t>%</t>
        </is>
      </c>
      <c r="D209" s="396" t="inlineStr">
        <is>
          <t xml:space="preserve"> total producer payouts ÷ Total GCI</t>
        </is>
      </c>
      <c r="E209" s="376">
        <f>IFERROR(E205/E201,0)</f>
        <v/>
      </c>
      <c r="F209" s="376">
        <f>IFERROR(F205/F201,0)</f>
        <v/>
      </c>
      <c r="G209" s="376">
        <f>IFERROR(G205/G201,0)</f>
        <v/>
      </c>
      <c r="H209" s="376">
        <f>IFERROR(H205/H201,0)</f>
        <v/>
      </c>
      <c r="I209" s="344">
        <f>IFERROR(I205/I201,0)</f>
        <v/>
      </c>
      <c r="J209" s="376">
        <f>IFERROR(J205/J201,0)</f>
        <v/>
      </c>
      <c r="K209" s="376">
        <f>IFERROR(K205/K201,0)</f>
        <v/>
      </c>
      <c r="L209" s="376">
        <f>IFERROR(L205/L201,0)</f>
        <v/>
      </c>
      <c r="M209" s="376">
        <f>IFERROR(M205/M201,0)</f>
        <v/>
      </c>
      <c r="N209" s="344">
        <f>IFERROR(N205/N201,0)</f>
        <v/>
      </c>
      <c r="O209" s="376">
        <f>IFERROR(O205/O201,0)</f>
        <v/>
      </c>
      <c r="P209" s="376">
        <f>IFERROR(P205/P201,0)</f>
        <v/>
      </c>
      <c r="Q209" s="376">
        <f>IFERROR(Q205/Q201,0)</f>
        <v/>
      </c>
      <c r="R209" s="376">
        <f>IFERROR(R205/R201,0)</f>
        <v/>
      </c>
      <c r="S209" s="344">
        <f>IFERROR(S205/S201,0)</f>
        <v/>
      </c>
      <c r="T209" s="376">
        <f>IFERROR(T205/T201,0)</f>
        <v/>
      </c>
      <c r="U209" s="376">
        <f>IFERROR(U205/U201,0)</f>
        <v/>
      </c>
      <c r="V209" s="376">
        <f>IFERROR(V205/V201,0)</f>
        <v/>
      </c>
      <c r="W209" s="376">
        <f>IFERROR(W205/W201,0)</f>
        <v/>
      </c>
      <c r="X209" s="344">
        <f>IFERROR(X205/X201,0)</f>
        <v/>
      </c>
      <c r="Y209" s="376">
        <f>IFERROR(Y205/Y201,0)</f>
        <v/>
      </c>
      <c r="Z209" s="376">
        <f>IFERROR(Z205/Z201,0)</f>
        <v/>
      </c>
      <c r="AA209" s="376">
        <f>IFERROR(AA205/AA201,0)</f>
        <v/>
      </c>
      <c r="AB209" s="376">
        <f>IFERROR(AB205/AB201,0)</f>
        <v/>
      </c>
      <c r="AC209" s="344">
        <f>IFERROR(AC205/AC201,0)</f>
        <v/>
      </c>
      <c r="AD209" s="376">
        <f>IFERROR(AD205/AD201,0)</f>
        <v/>
      </c>
      <c r="AE209" s="376">
        <f>IFERROR(AE205/AE201,0)</f>
        <v/>
      </c>
      <c r="AF209" s="376">
        <f>IFERROR(AF205/AF201,0)</f>
        <v/>
      </c>
      <c r="AG209" s="376">
        <f>IFERROR(AG205/AG201,0)</f>
        <v/>
      </c>
      <c r="AH209" s="344">
        <f>IFERROR(AH205/AH201,0)</f>
        <v/>
      </c>
      <c r="AI209" s="376">
        <f>IFERROR(AI205/AI201,0)</f>
        <v/>
      </c>
      <c r="AJ209" s="376">
        <f>IFERROR(AJ205/AJ201,0)</f>
        <v/>
      </c>
      <c r="AK209" s="376">
        <f>IFERROR(AK205/AK201,0)</f>
        <v/>
      </c>
      <c r="AL209" s="376">
        <f>IFERROR(AL205/AL201,0)</f>
        <v/>
      </c>
      <c r="AM209" s="344">
        <f>IFERROR(AM205/AM201,0)</f>
        <v/>
      </c>
      <c r="AN209" s="376">
        <f>IFERROR(AN205/AN201,0)</f>
        <v/>
      </c>
      <c r="AO209" s="376">
        <f>IFERROR(AO205/AO201,0)</f>
        <v/>
      </c>
      <c r="AP209" s="376">
        <f>IFERROR(AP205/AP201,0)</f>
        <v/>
      </c>
      <c r="AQ209" s="376">
        <f>IFERROR(AQ205/AQ201,0)</f>
        <v/>
      </c>
      <c r="AR209" s="344">
        <f>IFERROR(AR205/AR201,0)</f>
        <v/>
      </c>
    </row>
    <row r="210" ht="4.5" customHeight="1" s="290"/>
    <row r="211" ht="15" customHeight="1" s="290">
      <c r="A211" s="307" t="inlineStr">
        <is>
          <t xml:space="preserve">    E2 — TOTAL FIRM COMPENSATION</t>
        </is>
      </c>
    </row>
    <row r="212" ht="3" customHeight="1" s="290"/>
    <row r="213" ht="13.5" customHeight="1" s="290">
      <c r="A213" s="345" t="n"/>
      <c r="B213" s="370" t="inlineStr">
        <is>
          <t xml:space="preserve">  Advisory Compensation</t>
        </is>
      </c>
      <c r="C213" s="371" t="inlineStr">
        <is>
          <t>$K</t>
        </is>
      </c>
      <c r="D213" s="404" t="inlineStr">
        <is>
          <t>← row 176</t>
        </is>
      </c>
      <c r="E213" s="361">
        <f>E176</f>
        <v/>
      </c>
      <c r="F213" s="361">
        <f>F176</f>
        <v/>
      </c>
      <c r="G213" s="361">
        <f>G176</f>
        <v/>
      </c>
      <c r="H213" s="361">
        <f>H176</f>
        <v/>
      </c>
      <c r="I213" s="405">
        <f>SUM(E213:H213)</f>
        <v/>
      </c>
      <c r="J213" s="361">
        <f>J176</f>
        <v/>
      </c>
      <c r="K213" s="361">
        <f>K176</f>
        <v/>
      </c>
      <c r="L213" s="361">
        <f>L176</f>
        <v/>
      </c>
      <c r="M213" s="361">
        <f>M176</f>
        <v/>
      </c>
      <c r="N213" s="405">
        <f>SUM(J213:M213)</f>
        <v/>
      </c>
      <c r="O213" s="361">
        <f>O176</f>
        <v/>
      </c>
      <c r="P213" s="361">
        <f>P176</f>
        <v/>
      </c>
      <c r="Q213" s="361">
        <f>Q176</f>
        <v/>
      </c>
      <c r="R213" s="361">
        <f>R176</f>
        <v/>
      </c>
      <c r="S213" s="405">
        <f>SUM(O213:R213)</f>
        <v/>
      </c>
      <c r="T213" s="361">
        <f>T176</f>
        <v/>
      </c>
      <c r="U213" s="361">
        <f>U176</f>
        <v/>
      </c>
      <c r="V213" s="361">
        <f>V176</f>
        <v/>
      </c>
      <c r="W213" s="361">
        <f>W176</f>
        <v/>
      </c>
      <c r="X213" s="405">
        <f>SUM(T213:W213)</f>
        <v/>
      </c>
      <c r="Y213" s="361">
        <f>Y176</f>
        <v/>
      </c>
      <c r="Z213" s="361">
        <f>Z176</f>
        <v/>
      </c>
      <c r="AA213" s="361">
        <f>AA176</f>
        <v/>
      </c>
      <c r="AB213" s="361">
        <f>AB176</f>
        <v/>
      </c>
      <c r="AC213" s="405">
        <f>SUM(Y213:AB213)</f>
        <v/>
      </c>
      <c r="AD213" s="361">
        <f>AD176</f>
        <v/>
      </c>
      <c r="AE213" s="361">
        <f>AE176</f>
        <v/>
      </c>
      <c r="AF213" s="361">
        <f>AF176</f>
        <v/>
      </c>
      <c r="AG213" s="361">
        <f>AG176</f>
        <v/>
      </c>
      <c r="AH213" s="405">
        <f>SUM(AD213:AG213)</f>
        <v/>
      </c>
      <c r="AI213" s="361">
        <f>AI176</f>
        <v/>
      </c>
      <c r="AJ213" s="361">
        <f>AJ176</f>
        <v/>
      </c>
      <c r="AK213" s="361">
        <f>AK176</f>
        <v/>
      </c>
      <c r="AL213" s="361">
        <f>AL176</f>
        <v/>
      </c>
      <c r="AM213" s="405">
        <f>SUM(AI213:AL213)</f>
        <v/>
      </c>
      <c r="AN213" s="361">
        <f>AN176</f>
        <v/>
      </c>
      <c r="AO213" s="361">
        <f>AO176</f>
        <v/>
      </c>
      <c r="AP213" s="361">
        <f>AP176</f>
        <v/>
      </c>
      <c r="AQ213" s="361">
        <f>AQ176</f>
        <v/>
      </c>
      <c r="AR213" s="405">
        <f>SUM(AN213:AQ213)</f>
        <v/>
      </c>
    </row>
    <row r="214" ht="13.5" customHeight="1" s="290">
      <c r="A214" s="345" t="n"/>
      <c r="B214" s="370" t="inlineStr">
        <is>
          <t xml:space="preserve">  Corporate &amp; Support Compensation</t>
        </is>
      </c>
      <c r="C214" s="371" t="inlineStr">
        <is>
          <t>$K</t>
        </is>
      </c>
      <c r="D214" s="404" t="inlineStr">
        <is>
          <t>← row 191</t>
        </is>
      </c>
      <c r="E214" s="361">
        <f>E191</f>
        <v/>
      </c>
      <c r="F214" s="361">
        <f>F191</f>
        <v/>
      </c>
      <c r="G214" s="361">
        <f>G191</f>
        <v/>
      </c>
      <c r="H214" s="361">
        <f>H191</f>
        <v/>
      </c>
      <c r="I214" s="405">
        <f>SUM(E214:H214)</f>
        <v/>
      </c>
      <c r="J214" s="361">
        <f>J191</f>
        <v/>
      </c>
      <c r="K214" s="361">
        <f>K191</f>
        <v/>
      </c>
      <c r="L214" s="361">
        <f>L191</f>
        <v/>
      </c>
      <c r="M214" s="361">
        <f>M191</f>
        <v/>
      </c>
      <c r="N214" s="405">
        <f>SUM(J214:M214)</f>
        <v/>
      </c>
      <c r="O214" s="361">
        <f>O191</f>
        <v/>
      </c>
      <c r="P214" s="361">
        <f>P191</f>
        <v/>
      </c>
      <c r="Q214" s="361">
        <f>Q191</f>
        <v/>
      </c>
      <c r="R214" s="361">
        <f>R191</f>
        <v/>
      </c>
      <c r="S214" s="405">
        <f>SUM(O214:R214)</f>
        <v/>
      </c>
      <c r="T214" s="361">
        <f>T191</f>
        <v/>
      </c>
      <c r="U214" s="361">
        <f>U191</f>
        <v/>
      </c>
      <c r="V214" s="361">
        <f>V191</f>
        <v/>
      </c>
      <c r="W214" s="361">
        <f>W191</f>
        <v/>
      </c>
      <c r="X214" s="405">
        <f>SUM(T214:W214)</f>
        <v/>
      </c>
      <c r="Y214" s="361">
        <f>Y191</f>
        <v/>
      </c>
      <c r="Z214" s="361">
        <f>Z191</f>
        <v/>
      </c>
      <c r="AA214" s="361">
        <f>AA191</f>
        <v/>
      </c>
      <c r="AB214" s="361">
        <f>AB191</f>
        <v/>
      </c>
      <c r="AC214" s="405">
        <f>SUM(Y214:AB214)</f>
        <v/>
      </c>
      <c r="AD214" s="361">
        <f>AD191</f>
        <v/>
      </c>
      <c r="AE214" s="361">
        <f>AE191</f>
        <v/>
      </c>
      <c r="AF214" s="361">
        <f>AF191</f>
        <v/>
      </c>
      <c r="AG214" s="361">
        <f>AG191</f>
        <v/>
      </c>
      <c r="AH214" s="405">
        <f>SUM(AD214:AG214)</f>
        <v/>
      </c>
      <c r="AI214" s="361">
        <f>AI191</f>
        <v/>
      </c>
      <c r="AJ214" s="361">
        <f>AJ191</f>
        <v/>
      </c>
      <c r="AK214" s="361">
        <f>AK191</f>
        <v/>
      </c>
      <c r="AL214" s="361">
        <f>AL191</f>
        <v/>
      </c>
      <c r="AM214" s="405">
        <f>SUM(AI214:AL214)</f>
        <v/>
      </c>
      <c r="AN214" s="361">
        <f>AN191</f>
        <v/>
      </c>
      <c r="AO214" s="361">
        <f>AO191</f>
        <v/>
      </c>
      <c r="AP214" s="361">
        <f>AP191</f>
        <v/>
      </c>
      <c r="AQ214" s="361">
        <f>AQ191</f>
        <v/>
      </c>
      <c r="AR214" s="405">
        <f>SUM(AN214:AQ214)</f>
        <v/>
      </c>
    </row>
    <row r="215" ht="13.5" customHeight="1" s="290">
      <c r="A215" s="395" t="n"/>
      <c r="B215" s="370" t="inlineStr">
        <is>
          <t xml:space="preserve">  Discretionary Bonus Pool</t>
        </is>
      </c>
      <c r="C215" s="371" t="inlineStr">
        <is>
          <t>$K</t>
        </is>
      </c>
      <c r="D215" s="404" t="inlineStr">
        <is>
          <t>← Section D row 228</t>
        </is>
      </c>
      <c r="E215" s="361">
        <f>E228</f>
        <v/>
      </c>
      <c r="F215" s="361">
        <f>F228</f>
        <v/>
      </c>
      <c r="G215" s="361">
        <f>G228</f>
        <v/>
      </c>
      <c r="H215" s="361">
        <f>H228</f>
        <v/>
      </c>
      <c r="I215" s="405">
        <f>SUM(E215:H215)</f>
        <v/>
      </c>
      <c r="J215" s="361">
        <f>J228</f>
        <v/>
      </c>
      <c r="K215" s="361">
        <f>K228</f>
        <v/>
      </c>
      <c r="L215" s="361">
        <f>L228</f>
        <v/>
      </c>
      <c r="M215" s="361">
        <f>M228</f>
        <v/>
      </c>
      <c r="N215" s="405">
        <f>SUM(J215:M215)</f>
        <v/>
      </c>
      <c r="O215" s="361">
        <f>O228</f>
        <v/>
      </c>
      <c r="P215" s="361">
        <f>P228</f>
        <v/>
      </c>
      <c r="Q215" s="361">
        <f>Q228</f>
        <v/>
      </c>
      <c r="R215" s="361">
        <f>R228</f>
        <v/>
      </c>
      <c r="S215" s="405">
        <f>SUM(O215:R215)</f>
        <v/>
      </c>
      <c r="T215" s="361">
        <f>T228</f>
        <v/>
      </c>
      <c r="U215" s="361">
        <f>U228</f>
        <v/>
      </c>
      <c r="V215" s="361">
        <f>V228</f>
        <v/>
      </c>
      <c r="W215" s="361">
        <f>W228</f>
        <v/>
      </c>
      <c r="X215" s="405">
        <f>SUM(T215:W215)</f>
        <v/>
      </c>
      <c r="Y215" s="361">
        <f>Y228</f>
        <v/>
      </c>
      <c r="Z215" s="361">
        <f>Z228</f>
        <v/>
      </c>
      <c r="AA215" s="361">
        <f>AA228</f>
        <v/>
      </c>
      <c r="AB215" s="361">
        <f>AB228</f>
        <v/>
      </c>
      <c r="AC215" s="405">
        <f>SUM(Y215:AB215)</f>
        <v/>
      </c>
      <c r="AD215" s="361">
        <f>AD228</f>
        <v/>
      </c>
      <c r="AE215" s="361">
        <f>AE228</f>
        <v/>
      </c>
      <c r="AF215" s="361">
        <f>AF228</f>
        <v/>
      </c>
      <c r="AG215" s="361">
        <f>AG228</f>
        <v/>
      </c>
      <c r="AH215" s="405">
        <f>SUM(AD215:AG215)</f>
        <v/>
      </c>
      <c r="AI215" s="361">
        <f>AI228</f>
        <v/>
      </c>
      <c r="AJ215" s="361">
        <f>AJ228</f>
        <v/>
      </c>
      <c r="AK215" s="361">
        <f>AK228</f>
        <v/>
      </c>
      <c r="AL215" s="361">
        <f>AL228</f>
        <v/>
      </c>
      <c r="AM215" s="405">
        <f>SUM(AI215:AL215)</f>
        <v/>
      </c>
      <c r="AN215" s="361">
        <f>AN228</f>
        <v/>
      </c>
      <c r="AO215" s="361">
        <f>AO228</f>
        <v/>
      </c>
      <c r="AP215" s="361">
        <f>AP228</f>
        <v/>
      </c>
      <c r="AQ215" s="361">
        <f>AQ228</f>
        <v/>
      </c>
      <c r="AR215" s="405">
        <f>SUM(AN215:AQ215)</f>
        <v/>
      </c>
    </row>
    <row r="216" ht="13.5" customHeight="1" s="290">
      <c r="A216" s="395" t="n"/>
      <c r="B216" s="402" t="inlineStr">
        <is>
          <t xml:space="preserve">  Total Non-Producer Compensation</t>
        </is>
      </c>
      <c r="C216" s="374" t="inlineStr">
        <is>
          <t>$K</t>
        </is>
      </c>
      <c r="D216" s="396" t="inlineStr">
        <is>
          <t xml:space="preserve"> advisory + corp/support + bonus pool</t>
        </is>
      </c>
      <c r="E216" s="403">
        <f>E213+E214+E215</f>
        <v/>
      </c>
      <c r="F216" s="403">
        <f>F213+F214+F215</f>
        <v/>
      </c>
      <c r="G216" s="403">
        <f>G213+G214+G215</f>
        <v/>
      </c>
      <c r="H216" s="403">
        <f>H213+H214+H215</f>
        <v/>
      </c>
      <c r="I216" s="387">
        <f>SUM(E216:H216)</f>
        <v/>
      </c>
      <c r="J216" s="403">
        <f>J213+J214+J215</f>
        <v/>
      </c>
      <c r="K216" s="403">
        <f>K213+K214+K215</f>
        <v/>
      </c>
      <c r="L216" s="403">
        <f>L213+L214+L215</f>
        <v/>
      </c>
      <c r="M216" s="403">
        <f>M213+M214+M215</f>
        <v/>
      </c>
      <c r="N216" s="387">
        <f>SUM(J216:M216)</f>
        <v/>
      </c>
      <c r="O216" s="403">
        <f>O213+O214+O215</f>
        <v/>
      </c>
      <c r="P216" s="403">
        <f>P213+P214+P215</f>
        <v/>
      </c>
      <c r="Q216" s="403">
        <f>Q213+Q214+Q215</f>
        <v/>
      </c>
      <c r="R216" s="403">
        <f>R213+R214+R215</f>
        <v/>
      </c>
      <c r="S216" s="387">
        <f>SUM(O216:R216)</f>
        <v/>
      </c>
      <c r="T216" s="403">
        <f>T213+T214+T215</f>
        <v/>
      </c>
      <c r="U216" s="403">
        <f>U213+U214+U215</f>
        <v/>
      </c>
      <c r="V216" s="403">
        <f>V213+V214+V215</f>
        <v/>
      </c>
      <c r="W216" s="403">
        <f>W213+W214+W215</f>
        <v/>
      </c>
      <c r="X216" s="387">
        <f>SUM(T216:W216)</f>
        <v/>
      </c>
      <c r="Y216" s="403">
        <f>Y213+Y214+Y215</f>
        <v/>
      </c>
      <c r="Z216" s="403">
        <f>Z213+Z214+Z215</f>
        <v/>
      </c>
      <c r="AA216" s="403">
        <f>AA213+AA214+AA215</f>
        <v/>
      </c>
      <c r="AB216" s="403">
        <f>AB213+AB214+AB215</f>
        <v/>
      </c>
      <c r="AC216" s="387">
        <f>SUM(Y216:AB216)</f>
        <v/>
      </c>
      <c r="AD216" s="403">
        <f>AD213+AD214+AD215</f>
        <v/>
      </c>
      <c r="AE216" s="403">
        <f>AE213+AE214+AE215</f>
        <v/>
      </c>
      <c r="AF216" s="403">
        <f>AF213+AF214+AF215</f>
        <v/>
      </c>
      <c r="AG216" s="403">
        <f>AG213+AG214+AG215</f>
        <v/>
      </c>
      <c r="AH216" s="387">
        <f>SUM(AD216:AG216)</f>
        <v/>
      </c>
      <c r="AI216" s="403">
        <f>AI213+AI214+AI215</f>
        <v/>
      </c>
      <c r="AJ216" s="403">
        <f>AJ213+AJ214+AJ215</f>
        <v/>
      </c>
      <c r="AK216" s="403">
        <f>AK213+AK214+AK215</f>
        <v/>
      </c>
      <c r="AL216" s="403">
        <f>AL213+AL214+AL215</f>
        <v/>
      </c>
      <c r="AM216" s="387">
        <f>SUM(AI216:AL216)</f>
        <v/>
      </c>
      <c r="AN216" s="403">
        <f>AN213+AN214+AN215</f>
        <v/>
      </c>
      <c r="AO216" s="403">
        <f>AO213+AO214+AO215</f>
        <v/>
      </c>
      <c r="AP216" s="403">
        <f>AP213+AP214+AP215</f>
        <v/>
      </c>
      <c r="AQ216" s="403">
        <f>AQ213+AQ214+AQ215</f>
        <v/>
      </c>
      <c r="AR216" s="387">
        <f>SUM(AN216:AQ216)</f>
        <v/>
      </c>
    </row>
    <row r="217" ht="15" customHeight="1" s="290">
      <c r="A217" s="397" t="n"/>
      <c r="B217" s="398" t="inlineStr">
        <is>
          <t xml:space="preserve">  Total Firm Compensation</t>
        </is>
      </c>
      <c r="C217" s="399" t="inlineStr">
        <is>
          <t>$K</t>
        </is>
      </c>
      <c r="D217" s="400" t="inlineStr">
        <is>
          <t xml:space="preserve"> total producer payouts + total non-producer comp</t>
        </is>
      </c>
      <c r="E217" s="401">
        <f>E205+E216</f>
        <v/>
      </c>
      <c r="F217" s="401">
        <f>F205+F216</f>
        <v/>
      </c>
      <c r="G217" s="401">
        <f>G205+G216</f>
        <v/>
      </c>
      <c r="H217" s="401">
        <f>H205+H216</f>
        <v/>
      </c>
      <c r="I217" s="387">
        <f>SUM(E217:H217)</f>
        <v/>
      </c>
      <c r="J217" s="401">
        <f>J205+J216</f>
        <v/>
      </c>
      <c r="K217" s="401">
        <f>K205+K216</f>
        <v/>
      </c>
      <c r="L217" s="401">
        <f>L205+L216</f>
        <v/>
      </c>
      <c r="M217" s="401">
        <f>M205+M216</f>
        <v/>
      </c>
      <c r="N217" s="387">
        <f>SUM(J217:M217)</f>
        <v/>
      </c>
      <c r="O217" s="401">
        <f>O205+O216</f>
        <v/>
      </c>
      <c r="P217" s="401">
        <f>P205+P216</f>
        <v/>
      </c>
      <c r="Q217" s="401">
        <f>Q205+Q216</f>
        <v/>
      </c>
      <c r="R217" s="401">
        <f>R205+R216</f>
        <v/>
      </c>
      <c r="S217" s="387">
        <f>SUM(O217:R217)</f>
        <v/>
      </c>
      <c r="T217" s="401">
        <f>T205+T216</f>
        <v/>
      </c>
      <c r="U217" s="401">
        <f>U205+U216</f>
        <v/>
      </c>
      <c r="V217" s="401">
        <f>V205+V216</f>
        <v/>
      </c>
      <c r="W217" s="401">
        <f>W205+W216</f>
        <v/>
      </c>
      <c r="X217" s="387">
        <f>SUM(T217:W217)</f>
        <v/>
      </c>
      <c r="Y217" s="401">
        <f>Y205+Y216</f>
        <v/>
      </c>
      <c r="Z217" s="401">
        <f>Z205+Z216</f>
        <v/>
      </c>
      <c r="AA217" s="401">
        <f>AA205+AA216</f>
        <v/>
      </c>
      <c r="AB217" s="401">
        <f>AB205+AB216</f>
        <v/>
      </c>
      <c r="AC217" s="387">
        <f>SUM(Y217:AB217)</f>
        <v/>
      </c>
      <c r="AD217" s="401">
        <f>AD205+AD216</f>
        <v/>
      </c>
      <c r="AE217" s="401">
        <f>AE205+AE216</f>
        <v/>
      </c>
      <c r="AF217" s="401">
        <f>AF205+AF216</f>
        <v/>
      </c>
      <c r="AG217" s="401">
        <f>AG205+AG216</f>
        <v/>
      </c>
      <c r="AH217" s="387">
        <f>SUM(AD217:AG217)</f>
        <v/>
      </c>
      <c r="AI217" s="401">
        <f>AI205+AI216</f>
        <v/>
      </c>
      <c r="AJ217" s="401">
        <f>AJ205+AJ216</f>
        <v/>
      </c>
      <c r="AK217" s="401">
        <f>AK205+AK216</f>
        <v/>
      </c>
      <c r="AL217" s="401">
        <f>AL205+AL216</f>
        <v/>
      </c>
      <c r="AM217" s="387">
        <f>SUM(AI217:AL217)</f>
        <v/>
      </c>
      <c r="AN217" s="401">
        <f>AN205+AN216</f>
        <v/>
      </c>
      <c r="AO217" s="401">
        <f>AO205+AO216</f>
        <v/>
      </c>
      <c r="AP217" s="401">
        <f>AP205+AP216</f>
        <v/>
      </c>
      <c r="AQ217" s="401">
        <f>AQ205+AQ216</f>
        <v/>
      </c>
      <c r="AR217" s="387">
        <f>SUM(AN217:AQ217)</f>
        <v/>
      </c>
    </row>
    <row r="218" ht="13.5" customHeight="1" s="290">
      <c r="A218" s="395" t="n"/>
      <c r="B218" s="373" t="inlineStr">
        <is>
          <t xml:space="preserve">  Total Compensation as % of GCI</t>
        </is>
      </c>
      <c r="C218" s="374" t="inlineStr">
        <is>
          <t>%</t>
        </is>
      </c>
      <c r="D218" s="396" t="inlineStr">
        <is>
          <t xml:space="preserve"> total comp ÷ Total GCI  (diagnostic: expect 55–80%)</t>
        </is>
      </c>
      <c r="E218" s="376">
        <f>IFERROR(E217/E201,0)</f>
        <v/>
      </c>
      <c r="F218" s="376">
        <f>IFERROR(F217/F201,0)</f>
        <v/>
      </c>
      <c r="G218" s="376">
        <f>IFERROR(G217/G201,0)</f>
        <v/>
      </c>
      <c r="H218" s="376">
        <f>IFERROR(H217/H201,0)</f>
        <v/>
      </c>
      <c r="I218" s="344">
        <f>IFERROR(I217/I201,0)</f>
        <v/>
      </c>
      <c r="J218" s="376">
        <f>IFERROR(J217/J201,0)</f>
        <v/>
      </c>
      <c r="K218" s="376">
        <f>IFERROR(K217/K201,0)</f>
        <v/>
      </c>
      <c r="L218" s="376">
        <f>IFERROR(L217/L201,0)</f>
        <v/>
      </c>
      <c r="M218" s="376">
        <f>IFERROR(M217/M201,0)</f>
        <v/>
      </c>
      <c r="N218" s="344">
        <f>IFERROR(N217/N201,0)</f>
        <v/>
      </c>
      <c r="O218" s="376">
        <f>IFERROR(O217/O201,0)</f>
        <v/>
      </c>
      <c r="P218" s="376">
        <f>IFERROR(P217/P201,0)</f>
        <v/>
      </c>
      <c r="Q218" s="376">
        <f>IFERROR(Q217/Q201,0)</f>
        <v/>
      </c>
      <c r="R218" s="376">
        <f>IFERROR(R217/R201,0)</f>
        <v/>
      </c>
      <c r="S218" s="344">
        <f>IFERROR(S217/S201,0)</f>
        <v/>
      </c>
      <c r="T218" s="376">
        <f>IFERROR(T217/T201,0)</f>
        <v/>
      </c>
      <c r="U218" s="376">
        <f>IFERROR(U217/U201,0)</f>
        <v/>
      </c>
      <c r="V218" s="376">
        <f>IFERROR(V217/V201,0)</f>
        <v/>
      </c>
      <c r="W218" s="376">
        <f>IFERROR(W217/W201,0)</f>
        <v/>
      </c>
      <c r="X218" s="344">
        <f>IFERROR(X217/X201,0)</f>
        <v/>
      </c>
      <c r="Y218" s="376">
        <f>IFERROR(Y217/Y201,0)</f>
        <v/>
      </c>
      <c r="Z218" s="376">
        <f>IFERROR(Z217/Z201,0)</f>
        <v/>
      </c>
      <c r="AA218" s="376">
        <f>IFERROR(AA217/AA201,0)</f>
        <v/>
      </c>
      <c r="AB218" s="376">
        <f>IFERROR(AB217/AB201,0)</f>
        <v/>
      </c>
      <c r="AC218" s="344">
        <f>IFERROR(AC217/AC201,0)</f>
        <v/>
      </c>
      <c r="AD218" s="376">
        <f>IFERROR(AD217/AD201,0)</f>
        <v/>
      </c>
      <c r="AE218" s="376">
        <f>IFERROR(AE217/AE201,0)</f>
        <v/>
      </c>
      <c r="AF218" s="376">
        <f>IFERROR(AF217/AF201,0)</f>
        <v/>
      </c>
      <c r="AG218" s="376">
        <f>IFERROR(AG217/AG201,0)</f>
        <v/>
      </c>
      <c r="AH218" s="344">
        <f>IFERROR(AH217/AH201,0)</f>
        <v/>
      </c>
      <c r="AI218" s="376">
        <f>IFERROR(AI217/AI201,0)</f>
        <v/>
      </c>
      <c r="AJ218" s="376">
        <f>IFERROR(AJ217/AJ201,0)</f>
        <v/>
      </c>
      <c r="AK218" s="376">
        <f>IFERROR(AK217/AK201,0)</f>
        <v/>
      </c>
      <c r="AL218" s="376">
        <f>IFERROR(AL217/AL201,0)</f>
        <v/>
      </c>
      <c r="AM218" s="344">
        <f>IFERROR(AM217/AM201,0)</f>
        <v/>
      </c>
      <c r="AN218" s="376">
        <f>IFERROR(AN217/AN201,0)</f>
        <v/>
      </c>
      <c r="AO218" s="376">
        <f>IFERROR(AO217/AO201,0)</f>
        <v/>
      </c>
      <c r="AP218" s="376">
        <f>IFERROR(AP217/AP201,0)</f>
        <v/>
      </c>
      <c r="AQ218" s="376">
        <f>IFERROR(AQ217/AQ201,0)</f>
        <v/>
      </c>
      <c r="AR218" s="344">
        <f>IFERROR(AR217/AR201,0)</f>
        <v/>
      </c>
    </row>
    <row r="219" ht="4.5" customHeight="1" s="290"/>
    <row r="220" ht="3" customHeight="1" s="290">
      <c r="A220" s="293" t="n"/>
    </row>
    <row r="221" ht="4.5" customHeight="1" s="290"/>
    <row r="222" ht="15.75" customHeight="1" s="290">
      <c r="A222" s="338" t="inlineStr">
        <is>
          <t xml:space="preserve">  SECTION D — DISCRETIONARY BONUS POOL  (References Company Dollar from Section E above)</t>
        </is>
      </c>
    </row>
    <row r="223" ht="3.75" customHeight="1" s="290"/>
    <row r="224" ht="12.75" customHeight="1" s="290">
      <c r="A224" s="348" t="inlineStr">
        <is>
          <t xml:space="preserve">  Bonus pool = Company Dollar × Bonus Pool %. Company Dollar is defined in Section E above. Section E bonus row is updated below to reference this section's output.</t>
        </is>
      </c>
    </row>
    <row r="225" ht="3.75" customHeight="1" s="290"/>
    <row r="226" ht="13.5" customHeight="1" s="290">
      <c r="A226" s="345" t="n"/>
      <c r="B226" s="370" t="inlineStr">
        <is>
          <t xml:space="preserve">  Company Dollar (from Section E)</t>
        </is>
      </c>
      <c r="C226" s="371" t="inlineStr">
        <is>
          <t>$K</t>
        </is>
      </c>
      <c r="D226" s="404" t="inlineStr">
        <is>
          <t>← Section E row 207</t>
        </is>
      </c>
      <c r="E226" s="361">
        <f>E207</f>
        <v/>
      </c>
      <c r="F226" s="361">
        <f>F207</f>
        <v/>
      </c>
      <c r="G226" s="361">
        <f>G207</f>
        <v/>
      </c>
      <c r="H226" s="361">
        <f>H207</f>
        <v/>
      </c>
      <c r="I226" s="405">
        <f>SUM(E226:H226)</f>
        <v/>
      </c>
      <c r="J226" s="361">
        <f>J207</f>
        <v/>
      </c>
      <c r="K226" s="361">
        <f>K207</f>
        <v/>
      </c>
      <c r="L226" s="361">
        <f>L207</f>
        <v/>
      </c>
      <c r="M226" s="361">
        <f>M207</f>
        <v/>
      </c>
      <c r="N226" s="405">
        <f>SUM(J226:M226)</f>
        <v/>
      </c>
      <c r="O226" s="361">
        <f>O207</f>
        <v/>
      </c>
      <c r="P226" s="361">
        <f>P207</f>
        <v/>
      </c>
      <c r="Q226" s="361">
        <f>Q207</f>
        <v/>
      </c>
      <c r="R226" s="361">
        <f>R207</f>
        <v/>
      </c>
      <c r="S226" s="405">
        <f>SUM(O226:R226)</f>
        <v/>
      </c>
      <c r="T226" s="361">
        <f>T207</f>
        <v/>
      </c>
      <c r="U226" s="361">
        <f>U207</f>
        <v/>
      </c>
      <c r="V226" s="361">
        <f>V207</f>
        <v/>
      </c>
      <c r="W226" s="361">
        <f>W207</f>
        <v/>
      </c>
      <c r="X226" s="405">
        <f>SUM(T226:W226)</f>
        <v/>
      </c>
      <c r="Y226" s="361">
        <f>Y207</f>
        <v/>
      </c>
      <c r="Z226" s="361">
        <f>Z207</f>
        <v/>
      </c>
      <c r="AA226" s="361">
        <f>AA207</f>
        <v/>
      </c>
      <c r="AB226" s="361">
        <f>AB207</f>
        <v/>
      </c>
      <c r="AC226" s="405">
        <f>SUM(Y226:AB226)</f>
        <v/>
      </c>
      <c r="AD226" s="361">
        <f>AD207</f>
        <v/>
      </c>
      <c r="AE226" s="361">
        <f>AE207</f>
        <v/>
      </c>
      <c r="AF226" s="361">
        <f>AF207</f>
        <v/>
      </c>
      <c r="AG226" s="361">
        <f>AG207</f>
        <v/>
      </c>
      <c r="AH226" s="405">
        <f>SUM(AD226:AG226)</f>
        <v/>
      </c>
      <c r="AI226" s="361">
        <f>AI207</f>
        <v/>
      </c>
      <c r="AJ226" s="361">
        <f>AJ207</f>
        <v/>
      </c>
      <c r="AK226" s="361">
        <f>AK207</f>
        <v/>
      </c>
      <c r="AL226" s="361">
        <f>AL207</f>
        <v/>
      </c>
      <c r="AM226" s="405">
        <f>SUM(AI226:AL226)</f>
        <v/>
      </c>
      <c r="AN226" s="361">
        <f>AN207</f>
        <v/>
      </c>
      <c r="AO226" s="361">
        <f>AO207</f>
        <v/>
      </c>
      <c r="AP226" s="361">
        <f>AP207</f>
        <v/>
      </c>
      <c r="AQ226" s="361">
        <f>AQ207</f>
        <v/>
      </c>
      <c r="AR226" s="405">
        <f>SUM(AN226:AQ226)</f>
        <v/>
      </c>
    </row>
    <row r="227" ht="13.5" customHeight="1" s="290">
      <c r="A227" s="345" t="n"/>
      <c r="B227" s="370" t="inlineStr">
        <is>
          <t xml:space="preserve">  Bonus Pool % (Active — from Tab 03)</t>
        </is>
      </c>
      <c r="C227" s="371" t="inlineStr">
        <is>
          <t>%</t>
        </is>
      </c>
      <c r="D227" s="394" t="inlineStr">
        <is>
          <t>← Tab 03 row 288 (Discretionary Bonus Pool Active)</t>
        </is>
      </c>
      <c r="E227" s="361">
        <f>'03 Operational Assumptions'!E288</f>
        <v/>
      </c>
      <c r="F227" s="361">
        <f>'03 Operational Assumptions'!F288</f>
        <v/>
      </c>
      <c r="G227" s="361">
        <f>'03 Operational Assumptions'!G288</f>
        <v/>
      </c>
      <c r="H227" s="361">
        <f>'03 Operational Assumptions'!H288</f>
        <v/>
      </c>
      <c r="I227" s="361">
        <f>AVERAGE(E227:H227)</f>
        <v/>
      </c>
      <c r="J227" s="361">
        <f>'03 Operational Assumptions'!J288</f>
        <v/>
      </c>
      <c r="K227" s="361">
        <f>'03 Operational Assumptions'!K288</f>
        <v/>
      </c>
      <c r="L227" s="361">
        <f>'03 Operational Assumptions'!L288</f>
        <v/>
      </c>
      <c r="M227" s="361">
        <f>'03 Operational Assumptions'!M288</f>
        <v/>
      </c>
      <c r="N227" s="361">
        <f>AVERAGE(J227:M227)</f>
        <v/>
      </c>
      <c r="O227" s="361">
        <f>'03 Operational Assumptions'!O288</f>
        <v/>
      </c>
      <c r="P227" s="361">
        <f>'03 Operational Assumptions'!P288</f>
        <v/>
      </c>
      <c r="Q227" s="361">
        <f>'03 Operational Assumptions'!Q288</f>
        <v/>
      </c>
      <c r="R227" s="361">
        <f>'03 Operational Assumptions'!R288</f>
        <v/>
      </c>
      <c r="S227" s="361">
        <f>AVERAGE(O227:R227)</f>
        <v/>
      </c>
      <c r="T227" s="361">
        <f>'03 Operational Assumptions'!T288</f>
        <v/>
      </c>
      <c r="U227" s="361">
        <f>'03 Operational Assumptions'!U288</f>
        <v/>
      </c>
      <c r="V227" s="361">
        <f>'03 Operational Assumptions'!V288</f>
        <v/>
      </c>
      <c r="W227" s="361">
        <f>'03 Operational Assumptions'!W288</f>
        <v/>
      </c>
      <c r="X227" s="361">
        <f>AVERAGE(T227:W227)</f>
        <v/>
      </c>
      <c r="Y227" s="361">
        <f>'03 Operational Assumptions'!Y288</f>
        <v/>
      </c>
      <c r="Z227" s="361">
        <f>'03 Operational Assumptions'!Z288</f>
        <v/>
      </c>
      <c r="AA227" s="361">
        <f>'03 Operational Assumptions'!AA288</f>
        <v/>
      </c>
      <c r="AB227" s="361">
        <f>'03 Operational Assumptions'!AB288</f>
        <v/>
      </c>
      <c r="AC227" s="361">
        <f>AVERAGE(Y227:AB227)</f>
        <v/>
      </c>
      <c r="AD227" s="361">
        <f>'03 Operational Assumptions'!AD288</f>
        <v/>
      </c>
      <c r="AE227" s="361">
        <f>'03 Operational Assumptions'!AE288</f>
        <v/>
      </c>
      <c r="AF227" s="361">
        <f>'03 Operational Assumptions'!AF288</f>
        <v/>
      </c>
      <c r="AG227" s="361">
        <f>'03 Operational Assumptions'!AG288</f>
        <v/>
      </c>
      <c r="AH227" s="361">
        <f>AVERAGE(AD227:AG227)</f>
        <v/>
      </c>
      <c r="AI227" s="361">
        <f>'03 Operational Assumptions'!AI288</f>
        <v/>
      </c>
      <c r="AJ227" s="361">
        <f>'03 Operational Assumptions'!AJ288</f>
        <v/>
      </c>
      <c r="AK227" s="361">
        <f>'03 Operational Assumptions'!AK288</f>
        <v/>
      </c>
      <c r="AL227" s="361">
        <f>'03 Operational Assumptions'!AL288</f>
        <v/>
      </c>
      <c r="AM227" s="361">
        <f>AVERAGE(AI227:AL227)</f>
        <v/>
      </c>
      <c r="AN227" s="361">
        <f>'03 Operational Assumptions'!AN288</f>
        <v/>
      </c>
      <c r="AO227" s="361">
        <f>'03 Operational Assumptions'!AO288</f>
        <v/>
      </c>
      <c r="AP227" s="361">
        <f>'03 Operational Assumptions'!AP288</f>
        <v/>
      </c>
      <c r="AQ227" s="361">
        <f>'03 Operational Assumptions'!AQ288</f>
        <v/>
      </c>
      <c r="AR227" s="361">
        <f>AVERAGE(AN227:AQ227)</f>
        <v/>
      </c>
    </row>
    <row r="228" ht="15" customHeight="1" s="290">
      <c r="A228" s="397" t="n"/>
      <c r="B228" s="398" t="inlineStr">
        <is>
          <t xml:space="preserve">  ★ Discretionary Bonus Pool</t>
        </is>
      </c>
      <c r="C228" s="399" t="inlineStr">
        <is>
          <t>$K</t>
        </is>
      </c>
      <c r="D228" s="400" t="inlineStr">
        <is>
          <t xml:space="preserve"> MAX(0, company dollar × Bonus Pool %))</t>
        </is>
      </c>
      <c r="E228" s="401">
        <f>MAX(0,E226*E227)</f>
        <v/>
      </c>
      <c r="F228" s="401">
        <f>MAX(0,F226*F227)</f>
        <v/>
      </c>
      <c r="G228" s="401">
        <f>MAX(0,G226*G227)</f>
        <v/>
      </c>
      <c r="H228" s="401">
        <f>MAX(0,H226*H227)</f>
        <v/>
      </c>
      <c r="I228" s="387">
        <f>SUM(E228:H228)</f>
        <v/>
      </c>
      <c r="J228" s="401">
        <f>MAX(0,J226*J227)</f>
        <v/>
      </c>
      <c r="K228" s="401">
        <f>MAX(0,K226*K227)</f>
        <v/>
      </c>
      <c r="L228" s="401">
        <f>MAX(0,L226*L227)</f>
        <v/>
      </c>
      <c r="M228" s="401">
        <f>MAX(0,M226*M227)</f>
        <v/>
      </c>
      <c r="N228" s="387">
        <f>SUM(J228:M228)</f>
        <v/>
      </c>
      <c r="O228" s="401">
        <f>MAX(0,O226*O227)</f>
        <v/>
      </c>
      <c r="P228" s="401">
        <f>MAX(0,P226*P227)</f>
        <v/>
      </c>
      <c r="Q228" s="401">
        <f>MAX(0,Q226*Q227)</f>
        <v/>
      </c>
      <c r="R228" s="401">
        <f>MAX(0,R226*R227)</f>
        <v/>
      </c>
      <c r="S228" s="387">
        <f>SUM(O228:R228)</f>
        <v/>
      </c>
      <c r="T228" s="401">
        <f>MAX(0,T226*T227)</f>
        <v/>
      </c>
      <c r="U228" s="401">
        <f>MAX(0,U226*U227)</f>
        <v/>
      </c>
      <c r="V228" s="401">
        <f>MAX(0,V226*V227)</f>
        <v/>
      </c>
      <c r="W228" s="401">
        <f>MAX(0,W226*W227)</f>
        <v/>
      </c>
      <c r="X228" s="387">
        <f>SUM(T228:W228)</f>
        <v/>
      </c>
      <c r="Y228" s="401">
        <f>MAX(0,Y226*Y227)</f>
        <v/>
      </c>
      <c r="Z228" s="401">
        <f>MAX(0,Z226*Z227)</f>
        <v/>
      </c>
      <c r="AA228" s="401">
        <f>MAX(0,AA226*AA227)</f>
        <v/>
      </c>
      <c r="AB228" s="401">
        <f>MAX(0,AB226*AB227)</f>
        <v/>
      </c>
      <c r="AC228" s="387">
        <f>SUM(Y228:AB228)</f>
        <v/>
      </c>
      <c r="AD228" s="401">
        <f>MAX(0,AD226*AD227)</f>
        <v/>
      </c>
      <c r="AE228" s="401">
        <f>MAX(0,AE226*AE227)</f>
        <v/>
      </c>
      <c r="AF228" s="401">
        <f>MAX(0,AF226*AF227)</f>
        <v/>
      </c>
      <c r="AG228" s="401">
        <f>MAX(0,AG226*AG227)</f>
        <v/>
      </c>
      <c r="AH228" s="387">
        <f>SUM(AD228:AG228)</f>
        <v/>
      </c>
      <c r="AI228" s="401">
        <f>MAX(0,AI226*AI227)</f>
        <v/>
      </c>
      <c r="AJ228" s="401">
        <f>MAX(0,AJ226*AJ227)</f>
        <v/>
      </c>
      <c r="AK228" s="401">
        <f>MAX(0,AK226*AK227)</f>
        <v/>
      </c>
      <c r="AL228" s="401">
        <f>MAX(0,AL226*AL227)</f>
        <v/>
      </c>
      <c r="AM228" s="387">
        <f>SUM(AI228:AL228)</f>
        <v/>
      </c>
      <c r="AN228" s="401">
        <f>MAX(0,AN226*AN227)</f>
        <v/>
      </c>
      <c r="AO228" s="401">
        <f>MAX(0,AO226*AO227)</f>
        <v/>
      </c>
      <c r="AP228" s="401">
        <f>MAX(0,AP226*AP227)</f>
        <v/>
      </c>
      <c r="AQ228" s="401">
        <f>MAX(0,AQ226*AQ227)</f>
        <v/>
      </c>
      <c r="AR228" s="387">
        <f>SUM(AN228:AQ228)</f>
        <v/>
      </c>
    </row>
    <row r="229" ht="13.5" customHeight="1" s="290">
      <c r="A229" s="395" t="n"/>
      <c r="B229" s="373" t="inlineStr">
        <is>
          <t xml:space="preserve">  Bonus Pool as % of GCI</t>
        </is>
      </c>
      <c r="C229" s="374" t="inlineStr">
        <is>
          <t>%</t>
        </is>
      </c>
      <c r="D229" s="396" t="inlineStr">
        <is>
          <t xml:space="preserve"> bonus pool ÷ Total GCI  (diagnostic)</t>
        </is>
      </c>
      <c r="E229" s="376">
        <f>IFERROR(E228/E201,0)</f>
        <v/>
      </c>
      <c r="F229" s="376">
        <f>IFERROR(F228/F201,0)</f>
        <v/>
      </c>
      <c r="G229" s="376">
        <f>IFERROR(G228/G201,0)</f>
        <v/>
      </c>
      <c r="H229" s="376">
        <f>IFERROR(H228/H201,0)</f>
        <v/>
      </c>
      <c r="I229" s="344">
        <f>IFERROR(I228/I201,0)</f>
        <v/>
      </c>
      <c r="J229" s="376">
        <f>IFERROR(J228/J201,0)</f>
        <v/>
      </c>
      <c r="K229" s="376">
        <f>IFERROR(K228/K201,0)</f>
        <v/>
      </c>
      <c r="L229" s="376">
        <f>IFERROR(L228/L201,0)</f>
        <v/>
      </c>
      <c r="M229" s="376">
        <f>IFERROR(M228/M201,0)</f>
        <v/>
      </c>
      <c r="N229" s="344">
        <f>IFERROR(N228/N201,0)</f>
        <v/>
      </c>
      <c r="O229" s="376">
        <f>IFERROR(O228/O201,0)</f>
        <v/>
      </c>
      <c r="P229" s="376">
        <f>IFERROR(P228/P201,0)</f>
        <v/>
      </c>
      <c r="Q229" s="376">
        <f>IFERROR(Q228/Q201,0)</f>
        <v/>
      </c>
      <c r="R229" s="376">
        <f>IFERROR(R228/R201,0)</f>
        <v/>
      </c>
      <c r="S229" s="344">
        <f>IFERROR(S228/S201,0)</f>
        <v/>
      </c>
      <c r="T229" s="376">
        <f>IFERROR(T228/T201,0)</f>
        <v/>
      </c>
      <c r="U229" s="376">
        <f>IFERROR(U228/U201,0)</f>
        <v/>
      </c>
      <c r="V229" s="376">
        <f>IFERROR(V228/V201,0)</f>
        <v/>
      </c>
      <c r="W229" s="376">
        <f>IFERROR(W228/W201,0)</f>
        <v/>
      </c>
      <c r="X229" s="344">
        <f>IFERROR(X228/X201,0)</f>
        <v/>
      </c>
      <c r="Y229" s="376">
        <f>IFERROR(Y228/Y201,0)</f>
        <v/>
      </c>
      <c r="Z229" s="376">
        <f>IFERROR(Z228/Z201,0)</f>
        <v/>
      </c>
      <c r="AA229" s="376">
        <f>IFERROR(AA228/AA201,0)</f>
        <v/>
      </c>
      <c r="AB229" s="376">
        <f>IFERROR(AB228/AB201,0)</f>
        <v/>
      </c>
      <c r="AC229" s="344">
        <f>IFERROR(AC228/AC201,0)</f>
        <v/>
      </c>
      <c r="AD229" s="376">
        <f>IFERROR(AD228/AD201,0)</f>
        <v/>
      </c>
      <c r="AE229" s="376">
        <f>IFERROR(AE228/AE201,0)</f>
        <v/>
      </c>
      <c r="AF229" s="376">
        <f>IFERROR(AF228/AF201,0)</f>
        <v/>
      </c>
      <c r="AG229" s="376">
        <f>IFERROR(AG228/AG201,0)</f>
        <v/>
      </c>
      <c r="AH229" s="344">
        <f>IFERROR(AH228/AH201,0)</f>
        <v/>
      </c>
      <c r="AI229" s="376">
        <f>IFERROR(AI228/AI201,0)</f>
        <v/>
      </c>
      <c r="AJ229" s="376">
        <f>IFERROR(AJ228/AJ201,0)</f>
        <v/>
      </c>
      <c r="AK229" s="376">
        <f>IFERROR(AK228/AK201,0)</f>
        <v/>
      </c>
      <c r="AL229" s="376">
        <f>IFERROR(AL228/AL201,0)</f>
        <v/>
      </c>
      <c r="AM229" s="344">
        <f>IFERROR(AM228/AM201,0)</f>
        <v/>
      </c>
      <c r="AN229" s="376">
        <f>IFERROR(AN228/AN201,0)</f>
        <v/>
      </c>
      <c r="AO229" s="376">
        <f>IFERROR(AO228/AO201,0)</f>
        <v/>
      </c>
      <c r="AP229" s="376">
        <f>IFERROR(AP228/AP201,0)</f>
        <v/>
      </c>
      <c r="AQ229" s="376">
        <f>IFERROR(AQ228/AQ201,0)</f>
        <v/>
      </c>
      <c r="AR229" s="344">
        <f>IFERROR(AR228/AR201,0)</f>
        <v/>
      </c>
    </row>
    <row r="230" ht="4.5" customHeight="1" s="290"/>
    <row r="231" ht="3" customHeight="1" s="290">
      <c r="A231" s="293" t="n"/>
    </row>
    <row r="232" ht="4.5" customHeight="1" s="290"/>
    <row r="233" ht="15.75" customHeight="1" s="290">
      <c r="A233" s="338" t="inlineStr">
        <is>
          <t xml:space="preserve">  SECTION F — COMPENSATION ENGINE CHECKS  [ Results feed Tab 11 — Checks ]</t>
        </is>
      </c>
    </row>
    <row r="234" ht="3.75" customHeight="1" s="290"/>
    <row r="235" ht="12.75" customHeight="1" s="290">
      <c r="A235" s="348" t="inlineStr">
        <is>
          <t xml:space="preserve">  Checks run on annual columns. PASS = valid. FAIL = investigate before building Tab 08 P&amp;L. Payout ratio range: 45–75%. Advisory comp ratio range: 40–75%. Total comp / GCI: 55–80%.</t>
        </is>
      </c>
    </row>
    <row r="236" ht="3.75" customHeight="1" s="290"/>
    <row r="237" ht="15" customHeight="1" s="290">
      <c r="B237" s="358" t="inlineStr">
        <is>
          <t>Check Description</t>
        </is>
      </c>
      <c r="D237" s="358" t="inlineStr">
        <is>
          <t>Logic / Source</t>
        </is>
      </c>
      <c r="I237" s="358" t="inlineStr">
        <is>
          <t>2023A</t>
        </is>
      </c>
      <c r="N237" s="358" t="inlineStr">
        <is>
          <t>2024A</t>
        </is>
      </c>
      <c r="S237" s="358" t="inlineStr">
        <is>
          <t>2025A</t>
        </is>
      </c>
      <c r="X237" s="358" t="inlineStr">
        <is>
          <t>2026E</t>
        </is>
      </c>
      <c r="AC237" s="358" t="inlineStr">
        <is>
          <t>2027E</t>
        </is>
      </c>
      <c r="AH237" s="358" t="inlineStr">
        <is>
          <t>2028E</t>
        </is>
      </c>
      <c r="AM237" s="358" t="inlineStr">
        <is>
          <t>2029E</t>
        </is>
      </c>
      <c r="AR237" s="358" t="inlineStr">
        <is>
          <t>2030E</t>
        </is>
      </c>
    </row>
    <row r="238" ht="3" customHeight="1" s="290"/>
    <row r="239" ht="13.5" customHeight="1" s="290">
      <c r="A239" s="359" t="n"/>
      <c r="B239" s="353" t="inlineStr">
        <is>
          <t xml:space="preserve">  ✔  Company Dollar ≥ 0  (must not be negative)</t>
        </is>
      </c>
      <c r="D239" s="354" t="inlineStr">
        <is>
          <t>Row 207</t>
        </is>
      </c>
      <c r="E239" s="368" t="inlineStr">
        <is>
          <t>—</t>
        </is>
      </c>
      <c r="F239" s="368" t="inlineStr">
        <is>
          <t>—</t>
        </is>
      </c>
      <c r="G239" s="368" t="inlineStr">
        <is>
          <t>—</t>
        </is>
      </c>
      <c r="H239" s="368" t="inlineStr">
        <is>
          <t>—</t>
        </is>
      </c>
      <c r="I239" s="356">
        <f>IF(I207&gt;=0,"PASS","FAIL — NEGATIVE COMPANY DOLLAR")</f>
        <v/>
      </c>
      <c r="J239" s="368" t="inlineStr">
        <is>
          <t>—</t>
        </is>
      </c>
      <c r="K239" s="368" t="inlineStr">
        <is>
          <t>—</t>
        </is>
      </c>
      <c r="L239" s="368" t="inlineStr">
        <is>
          <t>—</t>
        </is>
      </c>
      <c r="M239" s="368" t="inlineStr">
        <is>
          <t>—</t>
        </is>
      </c>
      <c r="N239" s="356">
        <f>IF(N207&gt;=0,"PASS","FAIL — NEGATIVE COMPANY DOLLAR")</f>
        <v/>
      </c>
      <c r="O239" s="368" t="inlineStr">
        <is>
          <t>—</t>
        </is>
      </c>
      <c r="P239" s="368" t="inlineStr">
        <is>
          <t>—</t>
        </is>
      </c>
      <c r="Q239" s="368" t="inlineStr">
        <is>
          <t>—</t>
        </is>
      </c>
      <c r="R239" s="368" t="inlineStr">
        <is>
          <t>—</t>
        </is>
      </c>
      <c r="S239" s="356">
        <f>IF(S207&gt;=0,"PASS","FAIL — NEGATIVE COMPANY DOLLAR")</f>
        <v/>
      </c>
      <c r="T239" s="368" t="inlineStr">
        <is>
          <t>—</t>
        </is>
      </c>
      <c r="U239" s="368" t="inlineStr">
        <is>
          <t>—</t>
        </is>
      </c>
      <c r="V239" s="368" t="inlineStr">
        <is>
          <t>—</t>
        </is>
      </c>
      <c r="W239" s="368" t="inlineStr">
        <is>
          <t>—</t>
        </is>
      </c>
      <c r="X239" s="356">
        <f>IF(X207&gt;=0,"PASS","FAIL — NEGATIVE COMPANY DOLLAR")</f>
        <v/>
      </c>
      <c r="Y239" s="368" t="inlineStr">
        <is>
          <t>—</t>
        </is>
      </c>
      <c r="Z239" s="368" t="inlineStr">
        <is>
          <t>—</t>
        </is>
      </c>
      <c r="AA239" s="368" t="inlineStr">
        <is>
          <t>—</t>
        </is>
      </c>
      <c r="AB239" s="368" t="inlineStr">
        <is>
          <t>—</t>
        </is>
      </c>
      <c r="AC239" s="356">
        <f>IF(AC207&gt;=0,"PASS","FAIL — NEGATIVE COMPANY DOLLAR")</f>
        <v/>
      </c>
      <c r="AD239" s="368" t="inlineStr">
        <is>
          <t>—</t>
        </is>
      </c>
      <c r="AE239" s="368" t="inlineStr">
        <is>
          <t>—</t>
        </is>
      </c>
      <c r="AF239" s="368" t="inlineStr">
        <is>
          <t>—</t>
        </is>
      </c>
      <c r="AG239" s="368" t="inlineStr">
        <is>
          <t>—</t>
        </is>
      </c>
      <c r="AH239" s="356">
        <f>IF(AH207&gt;=0,"PASS","FAIL — NEGATIVE COMPANY DOLLAR")</f>
        <v/>
      </c>
      <c r="AI239" s="368" t="inlineStr">
        <is>
          <t>—</t>
        </is>
      </c>
      <c r="AJ239" s="368" t="inlineStr">
        <is>
          <t>—</t>
        </is>
      </c>
      <c r="AK239" s="368" t="inlineStr">
        <is>
          <t>—</t>
        </is>
      </c>
      <c r="AL239" s="368" t="inlineStr">
        <is>
          <t>—</t>
        </is>
      </c>
      <c r="AM239" s="356">
        <f>IF(AM207&gt;=0,"PASS","FAIL — NEGATIVE COMPANY DOLLAR")</f>
        <v/>
      </c>
      <c r="AN239" s="368" t="inlineStr">
        <is>
          <t>—</t>
        </is>
      </c>
      <c r="AO239" s="368" t="inlineStr">
        <is>
          <t>—</t>
        </is>
      </c>
      <c r="AP239" s="368" t="inlineStr">
        <is>
          <t>—</t>
        </is>
      </c>
      <c r="AQ239" s="368" t="inlineStr">
        <is>
          <t>—</t>
        </is>
      </c>
      <c r="AR239" s="356">
        <f>IF(AR207&gt;=0,"PASS","FAIL — NEGATIVE COMPANY DOLLAR")</f>
        <v/>
      </c>
    </row>
    <row r="240" ht="13.5" customHeight="1" s="290">
      <c r="A240" s="359" t="n"/>
      <c r="B240" s="353" t="inlineStr">
        <is>
          <t xml:space="preserve">  ✔  Blended Payout Ratio: 45%–75%  (sanity bounds)</t>
        </is>
      </c>
      <c r="D240" s="354" t="inlineStr">
        <is>
          <t>Row 209</t>
        </is>
      </c>
      <c r="E240" s="368" t="inlineStr">
        <is>
          <t>—</t>
        </is>
      </c>
      <c r="F240" s="368" t="inlineStr">
        <is>
          <t>—</t>
        </is>
      </c>
      <c r="G240" s="368" t="inlineStr">
        <is>
          <t>—</t>
        </is>
      </c>
      <c r="H240" s="368" t="inlineStr">
        <is>
          <t>—</t>
        </is>
      </c>
      <c r="I240" s="356">
        <f>IF(AND(I209&gt;=0.45,I209&lt;=0.75),"PASS",IF(I209=0,"WARN — NO INPUTS","FAIL — RATIO OUT OF RANGE"))</f>
        <v/>
      </c>
      <c r="J240" s="368" t="inlineStr">
        <is>
          <t>—</t>
        </is>
      </c>
      <c r="K240" s="368" t="inlineStr">
        <is>
          <t>—</t>
        </is>
      </c>
      <c r="L240" s="368" t="inlineStr">
        <is>
          <t>—</t>
        </is>
      </c>
      <c r="M240" s="368" t="inlineStr">
        <is>
          <t>—</t>
        </is>
      </c>
      <c r="N240" s="356">
        <f>IF(AND(N209&gt;=0.45,N209&lt;=0.75),"PASS",IF(N209=0,"WARN — NO INPUTS","FAIL — RATIO OUT OF RANGE"))</f>
        <v/>
      </c>
      <c r="O240" s="368" t="inlineStr">
        <is>
          <t>—</t>
        </is>
      </c>
      <c r="P240" s="368" t="inlineStr">
        <is>
          <t>—</t>
        </is>
      </c>
      <c r="Q240" s="368" t="inlineStr">
        <is>
          <t>—</t>
        </is>
      </c>
      <c r="R240" s="368" t="inlineStr">
        <is>
          <t>—</t>
        </is>
      </c>
      <c r="S240" s="356">
        <f>IF(AND(S209&gt;=0.45,S209&lt;=0.75),"PASS",IF(S209=0,"WARN — NO INPUTS","FAIL — RATIO OUT OF RANGE"))</f>
        <v/>
      </c>
      <c r="T240" s="368" t="inlineStr">
        <is>
          <t>—</t>
        </is>
      </c>
      <c r="U240" s="368" t="inlineStr">
        <is>
          <t>—</t>
        </is>
      </c>
      <c r="V240" s="368" t="inlineStr">
        <is>
          <t>—</t>
        </is>
      </c>
      <c r="W240" s="368" t="inlineStr">
        <is>
          <t>—</t>
        </is>
      </c>
      <c r="X240" s="356">
        <f>IF(AND(X209&gt;=0.45,X209&lt;=0.75),"PASS",IF(X209=0,"WARN — NO INPUTS","FAIL — RATIO OUT OF RANGE"))</f>
        <v/>
      </c>
      <c r="Y240" s="368" t="inlineStr">
        <is>
          <t>—</t>
        </is>
      </c>
      <c r="Z240" s="368" t="inlineStr">
        <is>
          <t>—</t>
        </is>
      </c>
      <c r="AA240" s="368" t="inlineStr">
        <is>
          <t>—</t>
        </is>
      </c>
      <c r="AB240" s="368" t="inlineStr">
        <is>
          <t>—</t>
        </is>
      </c>
      <c r="AC240" s="356">
        <f>IF(AND(AC209&gt;=0.45,AC209&lt;=0.75),"PASS",IF(AC209=0,"WARN — NO INPUTS","FAIL — RATIO OUT OF RANGE"))</f>
        <v/>
      </c>
      <c r="AD240" s="368" t="inlineStr">
        <is>
          <t>—</t>
        </is>
      </c>
      <c r="AE240" s="368" t="inlineStr">
        <is>
          <t>—</t>
        </is>
      </c>
      <c r="AF240" s="368" t="inlineStr">
        <is>
          <t>—</t>
        </is>
      </c>
      <c r="AG240" s="368" t="inlineStr">
        <is>
          <t>—</t>
        </is>
      </c>
      <c r="AH240" s="356">
        <f>IF(AND(AH209&gt;=0.45,AH209&lt;=0.75),"PASS",IF(AH209=0,"WARN — NO INPUTS","FAIL — RATIO OUT OF RANGE"))</f>
        <v/>
      </c>
      <c r="AI240" s="368" t="inlineStr">
        <is>
          <t>—</t>
        </is>
      </c>
      <c r="AJ240" s="368" t="inlineStr">
        <is>
          <t>—</t>
        </is>
      </c>
      <c r="AK240" s="368" t="inlineStr">
        <is>
          <t>—</t>
        </is>
      </c>
      <c r="AL240" s="368" t="inlineStr">
        <is>
          <t>—</t>
        </is>
      </c>
      <c r="AM240" s="356">
        <f>IF(AND(AM209&gt;=0.45,AM209&lt;=0.75),"PASS",IF(AM209=0,"WARN — NO INPUTS","FAIL — RATIO OUT OF RANGE"))</f>
        <v/>
      </c>
      <c r="AN240" s="368" t="inlineStr">
        <is>
          <t>—</t>
        </is>
      </c>
      <c r="AO240" s="368" t="inlineStr">
        <is>
          <t>—</t>
        </is>
      </c>
      <c r="AP240" s="368" t="inlineStr">
        <is>
          <t>—</t>
        </is>
      </c>
      <c r="AQ240" s="368" t="inlineStr">
        <is>
          <t>—</t>
        </is>
      </c>
      <c r="AR240" s="356">
        <f>IF(AND(AR209&gt;=0.45,AR209&lt;=0.75),"PASS",IF(AR209=0,"WARN — NO INPUTS","FAIL — RATIO OUT OF RANGE"))</f>
        <v/>
      </c>
    </row>
    <row r="241" ht="13.5" customHeight="1" s="290">
      <c r="A241" s="359" t="n"/>
      <c r="B241" s="353" t="inlineStr">
        <is>
          <t xml:space="preserve">  ✔  Advisory Comp Ratio: 40%–75%  (sanity bounds)</t>
        </is>
      </c>
      <c r="D241" s="354" t="inlineStr">
        <is>
          <t>Row 177</t>
        </is>
      </c>
      <c r="E241" s="368" t="inlineStr">
        <is>
          <t>—</t>
        </is>
      </c>
      <c r="F241" s="368" t="inlineStr">
        <is>
          <t>—</t>
        </is>
      </c>
      <c r="G241" s="368" t="inlineStr">
        <is>
          <t>—</t>
        </is>
      </c>
      <c r="H241" s="368" t="inlineStr">
        <is>
          <t>—</t>
        </is>
      </c>
      <c r="I241" s="356">
        <f>IF(AND(I177&gt;=0.4,I177&lt;=0.75),"PASS",IF(I177=0,"WARN — NO INPUTS","FAIL — RATIO OUT OF RANGE"))</f>
        <v/>
      </c>
      <c r="J241" s="368" t="inlineStr">
        <is>
          <t>—</t>
        </is>
      </c>
      <c r="K241" s="368" t="inlineStr">
        <is>
          <t>—</t>
        </is>
      </c>
      <c r="L241" s="368" t="inlineStr">
        <is>
          <t>—</t>
        </is>
      </c>
      <c r="M241" s="368" t="inlineStr">
        <is>
          <t>—</t>
        </is>
      </c>
      <c r="N241" s="356">
        <f>IF(AND(N177&gt;=0.4,N177&lt;=0.75),"PASS",IF(N177=0,"WARN — NO INPUTS","FAIL — RATIO OUT OF RANGE"))</f>
        <v/>
      </c>
      <c r="O241" s="368" t="inlineStr">
        <is>
          <t>—</t>
        </is>
      </c>
      <c r="P241" s="368" t="inlineStr">
        <is>
          <t>—</t>
        </is>
      </c>
      <c r="Q241" s="368" t="inlineStr">
        <is>
          <t>—</t>
        </is>
      </c>
      <c r="R241" s="368" t="inlineStr">
        <is>
          <t>—</t>
        </is>
      </c>
      <c r="S241" s="356">
        <f>IF(AND(S177&gt;=0.4,S177&lt;=0.75),"PASS",IF(S177=0,"WARN — NO INPUTS","FAIL — RATIO OUT OF RANGE"))</f>
        <v/>
      </c>
      <c r="T241" s="368" t="inlineStr">
        <is>
          <t>—</t>
        </is>
      </c>
      <c r="U241" s="368" t="inlineStr">
        <is>
          <t>—</t>
        </is>
      </c>
      <c r="V241" s="368" t="inlineStr">
        <is>
          <t>—</t>
        </is>
      </c>
      <c r="W241" s="368" t="inlineStr">
        <is>
          <t>—</t>
        </is>
      </c>
      <c r="X241" s="356">
        <f>IF(AND(X177&gt;=0.4,X177&lt;=0.75),"PASS",IF(X177=0,"WARN — NO INPUTS","FAIL — RATIO OUT OF RANGE"))</f>
        <v/>
      </c>
      <c r="Y241" s="368" t="inlineStr">
        <is>
          <t>—</t>
        </is>
      </c>
      <c r="Z241" s="368" t="inlineStr">
        <is>
          <t>—</t>
        </is>
      </c>
      <c r="AA241" s="368" t="inlineStr">
        <is>
          <t>—</t>
        </is>
      </c>
      <c r="AB241" s="368" t="inlineStr">
        <is>
          <t>—</t>
        </is>
      </c>
      <c r="AC241" s="356">
        <f>IF(AND(AC177&gt;=0.4,AC177&lt;=0.75),"PASS",IF(AC177=0,"WARN — NO INPUTS","FAIL — RATIO OUT OF RANGE"))</f>
        <v/>
      </c>
      <c r="AD241" s="368" t="inlineStr">
        <is>
          <t>—</t>
        </is>
      </c>
      <c r="AE241" s="368" t="inlineStr">
        <is>
          <t>—</t>
        </is>
      </c>
      <c r="AF241" s="368" t="inlineStr">
        <is>
          <t>—</t>
        </is>
      </c>
      <c r="AG241" s="368" t="inlineStr">
        <is>
          <t>—</t>
        </is>
      </c>
      <c r="AH241" s="356">
        <f>IF(AND(AH177&gt;=0.4,AH177&lt;=0.75),"PASS",IF(AH177=0,"WARN — NO INPUTS","FAIL — RATIO OUT OF RANGE"))</f>
        <v/>
      </c>
      <c r="AI241" s="368" t="inlineStr">
        <is>
          <t>—</t>
        </is>
      </c>
      <c r="AJ241" s="368" t="inlineStr">
        <is>
          <t>—</t>
        </is>
      </c>
      <c r="AK241" s="368" t="inlineStr">
        <is>
          <t>—</t>
        </is>
      </c>
      <c r="AL241" s="368" t="inlineStr">
        <is>
          <t>—</t>
        </is>
      </c>
      <c r="AM241" s="356">
        <f>IF(AND(AM177&gt;=0.4,AM177&lt;=0.75),"PASS",IF(AM177=0,"WARN — NO INPUTS","FAIL — RATIO OUT OF RANGE"))</f>
        <v/>
      </c>
      <c r="AN241" s="368" t="inlineStr">
        <is>
          <t>—</t>
        </is>
      </c>
      <c r="AO241" s="368" t="inlineStr">
        <is>
          <t>—</t>
        </is>
      </c>
      <c r="AP241" s="368" t="inlineStr">
        <is>
          <t>—</t>
        </is>
      </c>
      <c r="AQ241" s="368" t="inlineStr">
        <is>
          <t>—</t>
        </is>
      </c>
      <c r="AR241" s="356">
        <f>IF(AND(AR177&gt;=0.4,AR177&lt;=0.75),"PASS",IF(AR177=0,"WARN — NO INPUTS","FAIL — RATIO OUT OF RANGE"))</f>
        <v/>
      </c>
    </row>
    <row r="242" ht="13.5" customHeight="1" s="290">
      <c r="A242" s="359" t="n"/>
      <c r="B242" s="353" t="inlineStr">
        <is>
          <t xml:space="preserve">  ✔  Total Comp / GCI: 55%–80%  (sanity bounds)</t>
        </is>
      </c>
      <c r="D242" s="354" t="inlineStr">
        <is>
          <t>Row 218</t>
        </is>
      </c>
      <c r="E242" s="368" t="inlineStr">
        <is>
          <t>—</t>
        </is>
      </c>
      <c r="F242" s="368" t="inlineStr">
        <is>
          <t>—</t>
        </is>
      </c>
      <c r="G242" s="368" t="inlineStr">
        <is>
          <t>—</t>
        </is>
      </c>
      <c r="H242" s="368" t="inlineStr">
        <is>
          <t>—</t>
        </is>
      </c>
      <c r="I242" s="356">
        <f>IF(AND(I218&gt;=0.55,I218&lt;=0.8),"PASS",IF(I218=0,"WARN — NO INPUTS","FAIL — RATIO OUT OF RANGE"))</f>
        <v/>
      </c>
      <c r="J242" s="368" t="inlineStr">
        <is>
          <t>—</t>
        </is>
      </c>
      <c r="K242" s="368" t="inlineStr">
        <is>
          <t>—</t>
        </is>
      </c>
      <c r="L242" s="368" t="inlineStr">
        <is>
          <t>—</t>
        </is>
      </c>
      <c r="M242" s="368" t="inlineStr">
        <is>
          <t>—</t>
        </is>
      </c>
      <c r="N242" s="356">
        <f>IF(AND(N218&gt;=0.55,N218&lt;=0.8),"PASS",IF(N218=0,"WARN — NO INPUTS","FAIL — RATIO OUT OF RANGE"))</f>
        <v/>
      </c>
      <c r="O242" s="368" t="inlineStr">
        <is>
          <t>—</t>
        </is>
      </c>
      <c r="P242" s="368" t="inlineStr">
        <is>
          <t>—</t>
        </is>
      </c>
      <c r="Q242" s="368" t="inlineStr">
        <is>
          <t>—</t>
        </is>
      </c>
      <c r="R242" s="368" t="inlineStr">
        <is>
          <t>—</t>
        </is>
      </c>
      <c r="S242" s="356">
        <f>IF(AND(S218&gt;=0.55,S218&lt;=0.8),"PASS",IF(S218=0,"WARN — NO INPUTS","FAIL — RATIO OUT OF RANGE"))</f>
        <v/>
      </c>
      <c r="T242" s="368" t="inlineStr">
        <is>
          <t>—</t>
        </is>
      </c>
      <c r="U242" s="368" t="inlineStr">
        <is>
          <t>—</t>
        </is>
      </c>
      <c r="V242" s="368" t="inlineStr">
        <is>
          <t>—</t>
        </is>
      </c>
      <c r="W242" s="368" t="inlineStr">
        <is>
          <t>—</t>
        </is>
      </c>
      <c r="X242" s="356">
        <f>IF(AND(X218&gt;=0.55,X218&lt;=0.8),"PASS",IF(X218=0,"WARN — NO INPUTS","FAIL — RATIO OUT OF RANGE"))</f>
        <v/>
      </c>
      <c r="Y242" s="368" t="inlineStr">
        <is>
          <t>—</t>
        </is>
      </c>
      <c r="Z242" s="368" t="inlineStr">
        <is>
          <t>—</t>
        </is>
      </c>
      <c r="AA242" s="368" t="inlineStr">
        <is>
          <t>—</t>
        </is>
      </c>
      <c r="AB242" s="368" t="inlineStr">
        <is>
          <t>—</t>
        </is>
      </c>
      <c r="AC242" s="356">
        <f>IF(AND(AC218&gt;=0.55,AC218&lt;=0.8),"PASS",IF(AC218=0,"WARN — NO INPUTS","FAIL — RATIO OUT OF RANGE"))</f>
        <v/>
      </c>
      <c r="AD242" s="368" t="inlineStr">
        <is>
          <t>—</t>
        </is>
      </c>
      <c r="AE242" s="368" t="inlineStr">
        <is>
          <t>—</t>
        </is>
      </c>
      <c r="AF242" s="368" t="inlineStr">
        <is>
          <t>—</t>
        </is>
      </c>
      <c r="AG242" s="368" t="inlineStr">
        <is>
          <t>—</t>
        </is>
      </c>
      <c r="AH242" s="356">
        <f>IF(AND(AH218&gt;=0.55,AH218&lt;=0.8),"PASS",IF(AH218=0,"WARN — NO INPUTS","FAIL — RATIO OUT OF RANGE"))</f>
        <v/>
      </c>
      <c r="AI242" s="368" t="inlineStr">
        <is>
          <t>—</t>
        </is>
      </c>
      <c r="AJ242" s="368" t="inlineStr">
        <is>
          <t>—</t>
        </is>
      </c>
      <c r="AK242" s="368" t="inlineStr">
        <is>
          <t>—</t>
        </is>
      </c>
      <c r="AL242" s="368" t="inlineStr">
        <is>
          <t>—</t>
        </is>
      </c>
      <c r="AM242" s="356">
        <f>IF(AND(AM218&gt;=0.55,AM218&lt;=0.8),"PASS",IF(AM218=0,"WARN — NO INPUTS","FAIL — RATIO OUT OF RANGE"))</f>
        <v/>
      </c>
      <c r="AN242" s="368" t="inlineStr">
        <is>
          <t>—</t>
        </is>
      </c>
      <c r="AO242" s="368" t="inlineStr">
        <is>
          <t>—</t>
        </is>
      </c>
      <c r="AP242" s="368" t="inlineStr">
        <is>
          <t>—</t>
        </is>
      </c>
      <c r="AQ242" s="368" t="inlineStr">
        <is>
          <t>—</t>
        </is>
      </c>
      <c r="AR242" s="356">
        <f>IF(AND(AR218&gt;=0.55,AR218&lt;=0.8),"PASS",IF(AR218=0,"WARN — NO INPUTS","FAIL — RATIO OUT OF RANGE"))</f>
        <v/>
      </c>
    </row>
    <row r="243" ht="13.5" customHeight="1" s="290">
      <c r="A243" s="359" t="n"/>
      <c r="B243" s="353" t="inlineStr">
        <is>
          <t xml:space="preserve">  ✔  Total Producer Payouts ≥ 0</t>
        </is>
      </c>
      <c r="D243" s="354" t="inlineStr">
        <is>
          <t>Row 205</t>
        </is>
      </c>
      <c r="E243" s="368" t="inlineStr">
        <is>
          <t>—</t>
        </is>
      </c>
      <c r="F243" s="368" t="inlineStr">
        <is>
          <t>—</t>
        </is>
      </c>
      <c r="G243" s="368" t="inlineStr">
        <is>
          <t>—</t>
        </is>
      </c>
      <c r="H243" s="368" t="inlineStr">
        <is>
          <t>—</t>
        </is>
      </c>
      <c r="I243" s="356">
        <f>IF(I205&gt;=0,"PASS","FAIL — NEGATIVE PAYOUTS")</f>
        <v/>
      </c>
      <c r="J243" s="368" t="inlineStr">
        <is>
          <t>—</t>
        </is>
      </c>
      <c r="K243" s="368" t="inlineStr">
        <is>
          <t>—</t>
        </is>
      </c>
      <c r="L243" s="368" t="inlineStr">
        <is>
          <t>—</t>
        </is>
      </c>
      <c r="M243" s="368" t="inlineStr">
        <is>
          <t>—</t>
        </is>
      </c>
      <c r="N243" s="356">
        <f>IF(N205&gt;=0,"PASS","FAIL — NEGATIVE PAYOUTS")</f>
        <v/>
      </c>
      <c r="O243" s="368" t="inlineStr">
        <is>
          <t>—</t>
        </is>
      </c>
      <c r="P243" s="368" t="inlineStr">
        <is>
          <t>—</t>
        </is>
      </c>
      <c r="Q243" s="368" t="inlineStr">
        <is>
          <t>—</t>
        </is>
      </c>
      <c r="R243" s="368" t="inlineStr">
        <is>
          <t>—</t>
        </is>
      </c>
      <c r="S243" s="356">
        <f>IF(S205&gt;=0,"PASS","FAIL — NEGATIVE PAYOUTS")</f>
        <v/>
      </c>
      <c r="T243" s="368" t="inlineStr">
        <is>
          <t>—</t>
        </is>
      </c>
      <c r="U243" s="368" t="inlineStr">
        <is>
          <t>—</t>
        </is>
      </c>
      <c r="V243" s="368" t="inlineStr">
        <is>
          <t>—</t>
        </is>
      </c>
      <c r="W243" s="368" t="inlineStr">
        <is>
          <t>—</t>
        </is>
      </c>
      <c r="X243" s="356">
        <f>IF(X205&gt;=0,"PASS","FAIL — NEGATIVE PAYOUTS")</f>
        <v/>
      </c>
      <c r="Y243" s="368" t="inlineStr">
        <is>
          <t>—</t>
        </is>
      </c>
      <c r="Z243" s="368" t="inlineStr">
        <is>
          <t>—</t>
        </is>
      </c>
      <c r="AA243" s="368" t="inlineStr">
        <is>
          <t>—</t>
        </is>
      </c>
      <c r="AB243" s="368" t="inlineStr">
        <is>
          <t>—</t>
        </is>
      </c>
      <c r="AC243" s="356">
        <f>IF(AC205&gt;=0,"PASS","FAIL — NEGATIVE PAYOUTS")</f>
        <v/>
      </c>
      <c r="AD243" s="368" t="inlineStr">
        <is>
          <t>—</t>
        </is>
      </c>
      <c r="AE243" s="368" t="inlineStr">
        <is>
          <t>—</t>
        </is>
      </c>
      <c r="AF243" s="368" t="inlineStr">
        <is>
          <t>—</t>
        </is>
      </c>
      <c r="AG243" s="368" t="inlineStr">
        <is>
          <t>—</t>
        </is>
      </c>
      <c r="AH243" s="356">
        <f>IF(AH205&gt;=0,"PASS","FAIL — NEGATIVE PAYOUTS")</f>
        <v/>
      </c>
      <c r="AI243" s="368" t="inlineStr">
        <is>
          <t>—</t>
        </is>
      </c>
      <c r="AJ243" s="368" t="inlineStr">
        <is>
          <t>—</t>
        </is>
      </c>
      <c r="AK243" s="368" t="inlineStr">
        <is>
          <t>—</t>
        </is>
      </c>
      <c r="AL243" s="368" t="inlineStr">
        <is>
          <t>—</t>
        </is>
      </c>
      <c r="AM243" s="356">
        <f>IF(AM205&gt;=0,"PASS","FAIL — NEGATIVE PAYOUTS")</f>
        <v/>
      </c>
      <c r="AN243" s="368" t="inlineStr">
        <is>
          <t>—</t>
        </is>
      </c>
      <c r="AO243" s="368" t="inlineStr">
        <is>
          <t>—</t>
        </is>
      </c>
      <c r="AP243" s="368" t="inlineStr">
        <is>
          <t>—</t>
        </is>
      </c>
      <c r="AQ243" s="368" t="inlineStr">
        <is>
          <t>—</t>
        </is>
      </c>
      <c r="AR243" s="356">
        <f>IF(AR205&gt;=0,"PASS","FAIL — NEGATIVE PAYOUTS")</f>
        <v/>
      </c>
    </row>
    <row r="244" ht="13.5" customHeight="1" s="290">
      <c r="A244" s="359" t="n"/>
      <c r="B244" s="353" t="inlineStr">
        <is>
          <t xml:space="preserve">  ✔  Advisory Compensation ≥ 0</t>
        </is>
      </c>
      <c r="D244" s="354" t="inlineStr">
        <is>
          <t>Row 176</t>
        </is>
      </c>
      <c r="E244" s="368" t="inlineStr">
        <is>
          <t>—</t>
        </is>
      </c>
      <c r="F244" s="368" t="inlineStr">
        <is>
          <t>—</t>
        </is>
      </c>
      <c r="G244" s="368" t="inlineStr">
        <is>
          <t>—</t>
        </is>
      </c>
      <c r="H244" s="368" t="inlineStr">
        <is>
          <t>—</t>
        </is>
      </c>
      <c r="I244" s="356">
        <f>IF(I176&gt;=0,"PASS","FAIL — NEGATIVE ADVISORY COMP")</f>
        <v/>
      </c>
      <c r="J244" s="368" t="inlineStr">
        <is>
          <t>—</t>
        </is>
      </c>
      <c r="K244" s="368" t="inlineStr">
        <is>
          <t>—</t>
        </is>
      </c>
      <c r="L244" s="368" t="inlineStr">
        <is>
          <t>—</t>
        </is>
      </c>
      <c r="M244" s="368" t="inlineStr">
        <is>
          <t>—</t>
        </is>
      </c>
      <c r="N244" s="356">
        <f>IF(N176&gt;=0,"PASS","FAIL — NEGATIVE ADVISORY COMP")</f>
        <v/>
      </c>
      <c r="O244" s="368" t="inlineStr">
        <is>
          <t>—</t>
        </is>
      </c>
      <c r="P244" s="368" t="inlineStr">
        <is>
          <t>—</t>
        </is>
      </c>
      <c r="Q244" s="368" t="inlineStr">
        <is>
          <t>—</t>
        </is>
      </c>
      <c r="R244" s="368" t="inlineStr">
        <is>
          <t>—</t>
        </is>
      </c>
      <c r="S244" s="356">
        <f>IF(S176&gt;=0,"PASS","FAIL — NEGATIVE ADVISORY COMP")</f>
        <v/>
      </c>
      <c r="T244" s="368" t="inlineStr">
        <is>
          <t>—</t>
        </is>
      </c>
      <c r="U244" s="368" t="inlineStr">
        <is>
          <t>—</t>
        </is>
      </c>
      <c r="V244" s="368" t="inlineStr">
        <is>
          <t>—</t>
        </is>
      </c>
      <c r="W244" s="368" t="inlineStr">
        <is>
          <t>—</t>
        </is>
      </c>
      <c r="X244" s="356">
        <f>IF(X176&gt;=0,"PASS","FAIL — NEGATIVE ADVISORY COMP")</f>
        <v/>
      </c>
      <c r="Y244" s="368" t="inlineStr">
        <is>
          <t>—</t>
        </is>
      </c>
      <c r="Z244" s="368" t="inlineStr">
        <is>
          <t>—</t>
        </is>
      </c>
      <c r="AA244" s="368" t="inlineStr">
        <is>
          <t>—</t>
        </is>
      </c>
      <c r="AB244" s="368" t="inlineStr">
        <is>
          <t>—</t>
        </is>
      </c>
      <c r="AC244" s="356">
        <f>IF(AC176&gt;=0,"PASS","FAIL — NEGATIVE ADVISORY COMP")</f>
        <v/>
      </c>
      <c r="AD244" s="368" t="inlineStr">
        <is>
          <t>—</t>
        </is>
      </c>
      <c r="AE244" s="368" t="inlineStr">
        <is>
          <t>—</t>
        </is>
      </c>
      <c r="AF244" s="368" t="inlineStr">
        <is>
          <t>—</t>
        </is>
      </c>
      <c r="AG244" s="368" t="inlineStr">
        <is>
          <t>—</t>
        </is>
      </c>
      <c r="AH244" s="356">
        <f>IF(AH176&gt;=0,"PASS","FAIL — NEGATIVE ADVISORY COMP")</f>
        <v/>
      </c>
      <c r="AI244" s="368" t="inlineStr">
        <is>
          <t>—</t>
        </is>
      </c>
      <c r="AJ244" s="368" t="inlineStr">
        <is>
          <t>—</t>
        </is>
      </c>
      <c r="AK244" s="368" t="inlineStr">
        <is>
          <t>—</t>
        </is>
      </c>
      <c r="AL244" s="368" t="inlineStr">
        <is>
          <t>—</t>
        </is>
      </c>
      <c r="AM244" s="356">
        <f>IF(AM176&gt;=0,"PASS","FAIL — NEGATIVE ADVISORY COMP")</f>
        <v/>
      </c>
      <c r="AN244" s="368" t="inlineStr">
        <is>
          <t>—</t>
        </is>
      </c>
      <c r="AO244" s="368" t="inlineStr">
        <is>
          <t>—</t>
        </is>
      </c>
      <c r="AP244" s="368" t="inlineStr">
        <is>
          <t>—</t>
        </is>
      </c>
      <c r="AQ244" s="368" t="inlineStr">
        <is>
          <t>—</t>
        </is>
      </c>
      <c r="AR244" s="356">
        <f>IF(AR176&gt;=0,"PASS","FAIL — NEGATIVE ADVISORY COMP")</f>
        <v/>
      </c>
    </row>
    <row r="245" ht="13.5" customHeight="1" s="290">
      <c r="A245" s="359" t="n"/>
      <c r="B245" s="353" t="inlineStr">
        <is>
          <t xml:space="preserve">  ✔  Corporate &amp; Support Compensation ≥ 0</t>
        </is>
      </c>
      <c r="D245" s="354" t="inlineStr">
        <is>
          <t>Row 191</t>
        </is>
      </c>
      <c r="E245" s="368" t="inlineStr">
        <is>
          <t>—</t>
        </is>
      </c>
      <c r="F245" s="368" t="inlineStr">
        <is>
          <t>—</t>
        </is>
      </c>
      <c r="G245" s="368" t="inlineStr">
        <is>
          <t>—</t>
        </is>
      </c>
      <c r="H245" s="368" t="inlineStr">
        <is>
          <t>—</t>
        </is>
      </c>
      <c r="I245" s="356">
        <f>IF(I191&gt;=0,"PASS","FAIL — NEGATIVE CORP COMP")</f>
        <v/>
      </c>
      <c r="J245" s="368" t="inlineStr">
        <is>
          <t>—</t>
        </is>
      </c>
      <c r="K245" s="368" t="inlineStr">
        <is>
          <t>—</t>
        </is>
      </c>
      <c r="L245" s="368" t="inlineStr">
        <is>
          <t>—</t>
        </is>
      </c>
      <c r="M245" s="368" t="inlineStr">
        <is>
          <t>—</t>
        </is>
      </c>
      <c r="N245" s="356">
        <f>IF(N191&gt;=0,"PASS","FAIL — NEGATIVE CORP COMP")</f>
        <v/>
      </c>
      <c r="O245" s="368" t="inlineStr">
        <is>
          <t>—</t>
        </is>
      </c>
      <c r="P245" s="368" t="inlineStr">
        <is>
          <t>—</t>
        </is>
      </c>
      <c r="Q245" s="368" t="inlineStr">
        <is>
          <t>—</t>
        </is>
      </c>
      <c r="R245" s="368" t="inlineStr">
        <is>
          <t>—</t>
        </is>
      </c>
      <c r="S245" s="356">
        <f>IF(S191&gt;=0,"PASS","FAIL — NEGATIVE CORP COMP")</f>
        <v/>
      </c>
      <c r="T245" s="368" t="inlineStr">
        <is>
          <t>—</t>
        </is>
      </c>
      <c r="U245" s="368" t="inlineStr">
        <is>
          <t>—</t>
        </is>
      </c>
      <c r="V245" s="368" t="inlineStr">
        <is>
          <t>—</t>
        </is>
      </c>
      <c r="W245" s="368" t="inlineStr">
        <is>
          <t>—</t>
        </is>
      </c>
      <c r="X245" s="356">
        <f>IF(X191&gt;=0,"PASS","FAIL — NEGATIVE CORP COMP")</f>
        <v/>
      </c>
      <c r="Y245" s="368" t="inlineStr">
        <is>
          <t>—</t>
        </is>
      </c>
      <c r="Z245" s="368" t="inlineStr">
        <is>
          <t>—</t>
        </is>
      </c>
      <c r="AA245" s="368" t="inlineStr">
        <is>
          <t>—</t>
        </is>
      </c>
      <c r="AB245" s="368" t="inlineStr">
        <is>
          <t>—</t>
        </is>
      </c>
      <c r="AC245" s="356">
        <f>IF(AC191&gt;=0,"PASS","FAIL — NEGATIVE CORP COMP")</f>
        <v/>
      </c>
      <c r="AD245" s="368" t="inlineStr">
        <is>
          <t>—</t>
        </is>
      </c>
      <c r="AE245" s="368" t="inlineStr">
        <is>
          <t>—</t>
        </is>
      </c>
      <c r="AF245" s="368" t="inlineStr">
        <is>
          <t>—</t>
        </is>
      </c>
      <c r="AG245" s="368" t="inlineStr">
        <is>
          <t>—</t>
        </is>
      </c>
      <c r="AH245" s="356">
        <f>IF(AH191&gt;=0,"PASS","FAIL — NEGATIVE CORP COMP")</f>
        <v/>
      </c>
      <c r="AI245" s="368" t="inlineStr">
        <is>
          <t>—</t>
        </is>
      </c>
      <c r="AJ245" s="368" t="inlineStr">
        <is>
          <t>—</t>
        </is>
      </c>
      <c r="AK245" s="368" t="inlineStr">
        <is>
          <t>—</t>
        </is>
      </c>
      <c r="AL245" s="368" t="inlineStr">
        <is>
          <t>—</t>
        </is>
      </c>
      <c r="AM245" s="356">
        <f>IF(AM191&gt;=0,"PASS","FAIL — NEGATIVE CORP COMP")</f>
        <v/>
      </c>
      <c r="AN245" s="368" t="inlineStr">
        <is>
          <t>—</t>
        </is>
      </c>
      <c r="AO245" s="368" t="inlineStr">
        <is>
          <t>—</t>
        </is>
      </c>
      <c r="AP245" s="368" t="inlineStr">
        <is>
          <t>—</t>
        </is>
      </c>
      <c r="AQ245" s="368" t="inlineStr">
        <is>
          <t>—</t>
        </is>
      </c>
      <c r="AR245" s="356">
        <f>IF(AR191&gt;=0,"PASS","FAIL — NEGATIVE CORP COMP")</f>
        <v/>
      </c>
    </row>
    <row r="246" ht="13.5" customHeight="1" s="290">
      <c r="A246" s="359" t="n"/>
      <c r="B246" s="353" t="inlineStr">
        <is>
          <t xml:space="preserve">  ✔  Bonus Pool ≥ 0  (MAX(0,...) enforced in formula)</t>
        </is>
      </c>
      <c r="D246" s="354" t="inlineStr">
        <is>
          <t>Row 228</t>
        </is>
      </c>
      <c r="E246" s="368" t="inlineStr">
        <is>
          <t>—</t>
        </is>
      </c>
      <c r="F246" s="368" t="inlineStr">
        <is>
          <t>—</t>
        </is>
      </c>
      <c r="G246" s="368" t="inlineStr">
        <is>
          <t>—</t>
        </is>
      </c>
      <c r="H246" s="368" t="inlineStr">
        <is>
          <t>—</t>
        </is>
      </c>
      <c r="I246" s="356">
        <f>IF(I228&gt;=0,"PASS","FAIL — NEGATIVE BONUS POOL")</f>
        <v/>
      </c>
      <c r="J246" s="368" t="inlineStr">
        <is>
          <t>—</t>
        </is>
      </c>
      <c r="K246" s="368" t="inlineStr">
        <is>
          <t>—</t>
        </is>
      </c>
      <c r="L246" s="368" t="inlineStr">
        <is>
          <t>—</t>
        </is>
      </c>
      <c r="M246" s="368" t="inlineStr">
        <is>
          <t>—</t>
        </is>
      </c>
      <c r="N246" s="356">
        <f>IF(N228&gt;=0,"PASS","FAIL — NEGATIVE BONUS POOL")</f>
        <v/>
      </c>
      <c r="O246" s="368" t="inlineStr">
        <is>
          <t>—</t>
        </is>
      </c>
      <c r="P246" s="368" t="inlineStr">
        <is>
          <t>—</t>
        </is>
      </c>
      <c r="Q246" s="368" t="inlineStr">
        <is>
          <t>—</t>
        </is>
      </c>
      <c r="R246" s="368" t="inlineStr">
        <is>
          <t>—</t>
        </is>
      </c>
      <c r="S246" s="356">
        <f>IF(S228&gt;=0,"PASS","FAIL — NEGATIVE BONUS POOL")</f>
        <v/>
      </c>
      <c r="T246" s="368" t="inlineStr">
        <is>
          <t>—</t>
        </is>
      </c>
      <c r="U246" s="368" t="inlineStr">
        <is>
          <t>—</t>
        </is>
      </c>
      <c r="V246" s="368" t="inlineStr">
        <is>
          <t>—</t>
        </is>
      </c>
      <c r="W246" s="368" t="inlineStr">
        <is>
          <t>—</t>
        </is>
      </c>
      <c r="X246" s="356">
        <f>IF(X228&gt;=0,"PASS","FAIL — NEGATIVE BONUS POOL")</f>
        <v/>
      </c>
      <c r="Y246" s="368" t="inlineStr">
        <is>
          <t>—</t>
        </is>
      </c>
      <c r="Z246" s="368" t="inlineStr">
        <is>
          <t>—</t>
        </is>
      </c>
      <c r="AA246" s="368" t="inlineStr">
        <is>
          <t>—</t>
        </is>
      </c>
      <c r="AB246" s="368" t="inlineStr">
        <is>
          <t>—</t>
        </is>
      </c>
      <c r="AC246" s="356">
        <f>IF(AC228&gt;=0,"PASS","FAIL — NEGATIVE BONUS POOL")</f>
        <v/>
      </c>
      <c r="AD246" s="368" t="inlineStr">
        <is>
          <t>—</t>
        </is>
      </c>
      <c r="AE246" s="368" t="inlineStr">
        <is>
          <t>—</t>
        </is>
      </c>
      <c r="AF246" s="368" t="inlineStr">
        <is>
          <t>—</t>
        </is>
      </c>
      <c r="AG246" s="368" t="inlineStr">
        <is>
          <t>—</t>
        </is>
      </c>
      <c r="AH246" s="356">
        <f>IF(AH228&gt;=0,"PASS","FAIL — NEGATIVE BONUS POOL")</f>
        <v/>
      </c>
      <c r="AI246" s="368" t="inlineStr">
        <is>
          <t>—</t>
        </is>
      </c>
      <c r="AJ246" s="368" t="inlineStr">
        <is>
          <t>—</t>
        </is>
      </c>
      <c r="AK246" s="368" t="inlineStr">
        <is>
          <t>—</t>
        </is>
      </c>
      <c r="AL246" s="368" t="inlineStr">
        <is>
          <t>—</t>
        </is>
      </c>
      <c r="AM246" s="356">
        <f>IF(AM228&gt;=0,"PASS","FAIL — NEGATIVE BONUS POOL")</f>
        <v/>
      </c>
      <c r="AN246" s="368" t="inlineStr">
        <is>
          <t>—</t>
        </is>
      </c>
      <c r="AO246" s="368" t="inlineStr">
        <is>
          <t>—</t>
        </is>
      </c>
      <c r="AP246" s="368" t="inlineStr">
        <is>
          <t>—</t>
        </is>
      </c>
      <c r="AQ246" s="368" t="inlineStr">
        <is>
          <t>—</t>
        </is>
      </c>
      <c r="AR246" s="356">
        <f>IF(AR228&gt;=0,"PASS","FAIL — NEGATIVE BONUS POOL")</f>
        <v/>
      </c>
    </row>
    <row r="247" ht="13.5" customHeight="1" s="290">
      <c r="A247" s="359" t="n"/>
      <c r="B247" s="353" t="inlineStr">
        <is>
          <t xml:space="preserve">  ✔  Total Firm Compensation ≥ 0</t>
        </is>
      </c>
      <c r="D247" s="354" t="inlineStr">
        <is>
          <t>Row 217</t>
        </is>
      </c>
      <c r="E247" s="368" t="inlineStr">
        <is>
          <t>—</t>
        </is>
      </c>
      <c r="F247" s="368" t="inlineStr">
        <is>
          <t>—</t>
        </is>
      </c>
      <c r="G247" s="368" t="inlineStr">
        <is>
          <t>—</t>
        </is>
      </c>
      <c r="H247" s="368" t="inlineStr">
        <is>
          <t>—</t>
        </is>
      </c>
      <c r="I247" s="356">
        <f>IF(I217&gt;=0,"PASS","FAIL — NEGATIVE TOTAL COMP")</f>
        <v/>
      </c>
      <c r="J247" s="368" t="inlineStr">
        <is>
          <t>—</t>
        </is>
      </c>
      <c r="K247" s="368" t="inlineStr">
        <is>
          <t>—</t>
        </is>
      </c>
      <c r="L247" s="368" t="inlineStr">
        <is>
          <t>—</t>
        </is>
      </c>
      <c r="M247" s="368" t="inlineStr">
        <is>
          <t>—</t>
        </is>
      </c>
      <c r="N247" s="356">
        <f>IF(N217&gt;=0,"PASS","FAIL — NEGATIVE TOTAL COMP")</f>
        <v/>
      </c>
      <c r="O247" s="368" t="inlineStr">
        <is>
          <t>—</t>
        </is>
      </c>
      <c r="P247" s="368" t="inlineStr">
        <is>
          <t>—</t>
        </is>
      </c>
      <c r="Q247" s="368" t="inlineStr">
        <is>
          <t>—</t>
        </is>
      </c>
      <c r="R247" s="368" t="inlineStr">
        <is>
          <t>—</t>
        </is>
      </c>
      <c r="S247" s="356">
        <f>IF(S217&gt;=0,"PASS","FAIL — NEGATIVE TOTAL COMP")</f>
        <v/>
      </c>
      <c r="T247" s="368" t="inlineStr">
        <is>
          <t>—</t>
        </is>
      </c>
      <c r="U247" s="368" t="inlineStr">
        <is>
          <t>—</t>
        </is>
      </c>
      <c r="V247" s="368" t="inlineStr">
        <is>
          <t>—</t>
        </is>
      </c>
      <c r="W247" s="368" t="inlineStr">
        <is>
          <t>—</t>
        </is>
      </c>
      <c r="X247" s="356">
        <f>IF(X217&gt;=0,"PASS","FAIL — NEGATIVE TOTAL COMP")</f>
        <v/>
      </c>
      <c r="Y247" s="368" t="inlineStr">
        <is>
          <t>—</t>
        </is>
      </c>
      <c r="Z247" s="368" t="inlineStr">
        <is>
          <t>—</t>
        </is>
      </c>
      <c r="AA247" s="368" t="inlineStr">
        <is>
          <t>—</t>
        </is>
      </c>
      <c r="AB247" s="368" t="inlineStr">
        <is>
          <t>—</t>
        </is>
      </c>
      <c r="AC247" s="356">
        <f>IF(AC217&gt;=0,"PASS","FAIL — NEGATIVE TOTAL COMP")</f>
        <v/>
      </c>
      <c r="AD247" s="368" t="inlineStr">
        <is>
          <t>—</t>
        </is>
      </c>
      <c r="AE247" s="368" t="inlineStr">
        <is>
          <t>—</t>
        </is>
      </c>
      <c r="AF247" s="368" t="inlineStr">
        <is>
          <t>—</t>
        </is>
      </c>
      <c r="AG247" s="368" t="inlineStr">
        <is>
          <t>—</t>
        </is>
      </c>
      <c r="AH247" s="356">
        <f>IF(AH217&gt;=0,"PASS","FAIL — NEGATIVE TOTAL COMP")</f>
        <v/>
      </c>
      <c r="AI247" s="368" t="inlineStr">
        <is>
          <t>—</t>
        </is>
      </c>
      <c r="AJ247" s="368" t="inlineStr">
        <is>
          <t>—</t>
        </is>
      </c>
      <c r="AK247" s="368" t="inlineStr">
        <is>
          <t>—</t>
        </is>
      </c>
      <c r="AL247" s="368" t="inlineStr">
        <is>
          <t>—</t>
        </is>
      </c>
      <c r="AM247" s="356">
        <f>IF(AM217&gt;=0,"PASS","FAIL — NEGATIVE TOTAL COMP")</f>
        <v/>
      </c>
      <c r="AN247" s="368" t="inlineStr">
        <is>
          <t>—</t>
        </is>
      </c>
      <c r="AO247" s="368" t="inlineStr">
        <is>
          <t>—</t>
        </is>
      </c>
      <c r="AP247" s="368" t="inlineStr">
        <is>
          <t>—</t>
        </is>
      </c>
      <c r="AQ247" s="368" t="inlineStr">
        <is>
          <t>—</t>
        </is>
      </c>
      <c r="AR247" s="356">
        <f>IF(AR217&gt;=0,"PASS","FAIL — NEGATIVE TOTAL COMP")</f>
        <v/>
      </c>
    </row>
    <row r="248" ht="13.5" customHeight="1" s="290">
      <c r="A248" s="359" t="n"/>
      <c r="B248" s="353" t="inlineStr">
        <is>
          <t xml:space="preserve">  ✔  Leasing Payout Ratio ≥ 0 and ≤ 100%</t>
        </is>
      </c>
      <c r="D248" s="354" t="inlineStr">
        <is>
          <t>Row 51</t>
        </is>
      </c>
      <c r="E248" s="368" t="inlineStr">
        <is>
          <t>—</t>
        </is>
      </c>
      <c r="F248" s="368" t="inlineStr">
        <is>
          <t>—</t>
        </is>
      </c>
      <c r="G248" s="368" t="inlineStr">
        <is>
          <t>—</t>
        </is>
      </c>
      <c r="H248" s="368" t="inlineStr">
        <is>
          <t>—</t>
        </is>
      </c>
      <c r="I248" s="356">
        <f>IF(AND(I51&gt;=0,I51&lt;=1),"PASS",IF(I51=0,"WARN — NO INPUTS","FAIL — RATIO OUT OF RANGE"))</f>
        <v/>
      </c>
      <c r="J248" s="368" t="inlineStr">
        <is>
          <t>—</t>
        </is>
      </c>
      <c r="K248" s="368" t="inlineStr">
        <is>
          <t>—</t>
        </is>
      </c>
      <c r="L248" s="368" t="inlineStr">
        <is>
          <t>—</t>
        </is>
      </c>
      <c r="M248" s="368" t="inlineStr">
        <is>
          <t>—</t>
        </is>
      </c>
      <c r="N248" s="356">
        <f>IF(AND(N51&gt;=0,N51&lt;=1),"PASS",IF(N51=0,"WARN — NO INPUTS","FAIL — RATIO OUT OF RANGE"))</f>
        <v/>
      </c>
      <c r="O248" s="368" t="inlineStr">
        <is>
          <t>—</t>
        </is>
      </c>
      <c r="P248" s="368" t="inlineStr">
        <is>
          <t>—</t>
        </is>
      </c>
      <c r="Q248" s="368" t="inlineStr">
        <is>
          <t>—</t>
        </is>
      </c>
      <c r="R248" s="368" t="inlineStr">
        <is>
          <t>—</t>
        </is>
      </c>
      <c r="S248" s="356">
        <f>IF(AND(S51&gt;=0,S51&lt;=1),"PASS",IF(S51=0,"WARN — NO INPUTS","FAIL — RATIO OUT OF RANGE"))</f>
        <v/>
      </c>
      <c r="T248" s="368" t="inlineStr">
        <is>
          <t>—</t>
        </is>
      </c>
      <c r="U248" s="368" t="inlineStr">
        <is>
          <t>—</t>
        </is>
      </c>
      <c r="V248" s="368" t="inlineStr">
        <is>
          <t>—</t>
        </is>
      </c>
      <c r="W248" s="368" t="inlineStr">
        <is>
          <t>—</t>
        </is>
      </c>
      <c r="X248" s="356">
        <f>IF(AND(X51&gt;=0,X51&lt;=1),"PASS",IF(X51=0,"WARN — NO INPUTS","FAIL — RATIO OUT OF RANGE"))</f>
        <v/>
      </c>
      <c r="Y248" s="368" t="inlineStr">
        <is>
          <t>—</t>
        </is>
      </c>
      <c r="Z248" s="368" t="inlineStr">
        <is>
          <t>—</t>
        </is>
      </c>
      <c r="AA248" s="368" t="inlineStr">
        <is>
          <t>—</t>
        </is>
      </c>
      <c r="AB248" s="368" t="inlineStr">
        <is>
          <t>—</t>
        </is>
      </c>
      <c r="AC248" s="356">
        <f>IF(AND(AC51&gt;=0,AC51&lt;=1),"PASS",IF(AC51=0,"WARN — NO INPUTS","FAIL — RATIO OUT OF RANGE"))</f>
        <v/>
      </c>
      <c r="AD248" s="368" t="inlineStr">
        <is>
          <t>—</t>
        </is>
      </c>
      <c r="AE248" s="368" t="inlineStr">
        <is>
          <t>—</t>
        </is>
      </c>
      <c r="AF248" s="368" t="inlineStr">
        <is>
          <t>—</t>
        </is>
      </c>
      <c r="AG248" s="368" t="inlineStr">
        <is>
          <t>—</t>
        </is>
      </c>
      <c r="AH248" s="356">
        <f>IF(AND(AH51&gt;=0,AH51&lt;=1),"PASS",IF(AH51=0,"WARN — NO INPUTS","FAIL — RATIO OUT OF RANGE"))</f>
        <v/>
      </c>
      <c r="AI248" s="368" t="inlineStr">
        <is>
          <t>—</t>
        </is>
      </c>
      <c r="AJ248" s="368" t="inlineStr">
        <is>
          <t>—</t>
        </is>
      </c>
      <c r="AK248" s="368" t="inlineStr">
        <is>
          <t>—</t>
        </is>
      </c>
      <c r="AL248" s="368" t="inlineStr">
        <is>
          <t>—</t>
        </is>
      </c>
      <c r="AM248" s="356">
        <f>IF(AND(AM51&gt;=0,AM51&lt;=1),"PASS",IF(AM51=0,"WARN — NO INPUTS","FAIL — RATIO OUT OF RANGE"))</f>
        <v/>
      </c>
      <c r="AN248" s="368" t="inlineStr">
        <is>
          <t>—</t>
        </is>
      </c>
      <c r="AO248" s="368" t="inlineStr">
        <is>
          <t>—</t>
        </is>
      </c>
      <c r="AP248" s="368" t="inlineStr">
        <is>
          <t>—</t>
        </is>
      </c>
      <c r="AQ248" s="368" t="inlineStr">
        <is>
          <t>—</t>
        </is>
      </c>
      <c r="AR248" s="356">
        <f>IF(AND(AR51&gt;=0,AR51&lt;=1),"PASS",IF(AR51=0,"WARN — NO INPUTS","FAIL — RATIO OUT OF RANGE"))</f>
        <v/>
      </c>
    </row>
    <row r="249" ht="13.5" customHeight="1" s="290">
      <c r="A249" s="359" t="n"/>
      <c r="B249" s="353" t="inlineStr">
        <is>
          <t xml:space="preserve">  ✔  Investment Sales Payout Ratio ≥ 0 and ≤ 100%</t>
        </is>
      </c>
      <c r="D249" s="354" t="inlineStr">
        <is>
          <t>Row 97</t>
        </is>
      </c>
      <c r="E249" s="368" t="inlineStr">
        <is>
          <t>—</t>
        </is>
      </c>
      <c r="F249" s="368" t="inlineStr">
        <is>
          <t>—</t>
        </is>
      </c>
      <c r="G249" s="368" t="inlineStr">
        <is>
          <t>—</t>
        </is>
      </c>
      <c r="H249" s="368" t="inlineStr">
        <is>
          <t>—</t>
        </is>
      </c>
      <c r="I249" s="356">
        <f>IF(AND(I97&gt;=0,I97&lt;=1),"PASS",IF(I97=0,"WARN — NO INPUTS","FAIL — RATIO OUT OF RANGE"))</f>
        <v/>
      </c>
      <c r="J249" s="368" t="inlineStr">
        <is>
          <t>—</t>
        </is>
      </c>
      <c r="K249" s="368" t="inlineStr">
        <is>
          <t>—</t>
        </is>
      </c>
      <c r="L249" s="368" t="inlineStr">
        <is>
          <t>—</t>
        </is>
      </c>
      <c r="M249" s="368" t="inlineStr">
        <is>
          <t>—</t>
        </is>
      </c>
      <c r="N249" s="356">
        <f>IF(AND(N97&gt;=0,N97&lt;=1),"PASS",IF(N97=0,"WARN — NO INPUTS","FAIL — RATIO OUT OF RANGE"))</f>
        <v/>
      </c>
      <c r="O249" s="368" t="inlineStr">
        <is>
          <t>—</t>
        </is>
      </c>
      <c r="P249" s="368" t="inlineStr">
        <is>
          <t>—</t>
        </is>
      </c>
      <c r="Q249" s="368" t="inlineStr">
        <is>
          <t>—</t>
        </is>
      </c>
      <c r="R249" s="368" t="inlineStr">
        <is>
          <t>—</t>
        </is>
      </c>
      <c r="S249" s="356">
        <f>IF(AND(S97&gt;=0,S97&lt;=1),"PASS",IF(S97=0,"WARN — NO INPUTS","FAIL — RATIO OUT OF RANGE"))</f>
        <v/>
      </c>
      <c r="T249" s="368" t="inlineStr">
        <is>
          <t>—</t>
        </is>
      </c>
      <c r="U249" s="368" t="inlineStr">
        <is>
          <t>—</t>
        </is>
      </c>
      <c r="V249" s="368" t="inlineStr">
        <is>
          <t>—</t>
        </is>
      </c>
      <c r="W249" s="368" t="inlineStr">
        <is>
          <t>—</t>
        </is>
      </c>
      <c r="X249" s="356">
        <f>IF(AND(X97&gt;=0,X97&lt;=1),"PASS",IF(X97=0,"WARN — NO INPUTS","FAIL — RATIO OUT OF RANGE"))</f>
        <v/>
      </c>
      <c r="Y249" s="368" t="inlineStr">
        <is>
          <t>—</t>
        </is>
      </c>
      <c r="Z249" s="368" t="inlineStr">
        <is>
          <t>—</t>
        </is>
      </c>
      <c r="AA249" s="368" t="inlineStr">
        <is>
          <t>—</t>
        </is>
      </c>
      <c r="AB249" s="368" t="inlineStr">
        <is>
          <t>—</t>
        </is>
      </c>
      <c r="AC249" s="356">
        <f>IF(AND(AC97&gt;=0,AC97&lt;=1),"PASS",IF(AC97=0,"WARN — NO INPUTS","FAIL — RATIO OUT OF RANGE"))</f>
        <v/>
      </c>
      <c r="AD249" s="368" t="inlineStr">
        <is>
          <t>—</t>
        </is>
      </c>
      <c r="AE249" s="368" t="inlineStr">
        <is>
          <t>—</t>
        </is>
      </c>
      <c r="AF249" s="368" t="inlineStr">
        <is>
          <t>—</t>
        </is>
      </c>
      <c r="AG249" s="368" t="inlineStr">
        <is>
          <t>—</t>
        </is>
      </c>
      <c r="AH249" s="356">
        <f>IF(AND(AH97&gt;=0,AH97&lt;=1),"PASS",IF(AH97=0,"WARN — NO INPUTS","FAIL — RATIO OUT OF RANGE"))</f>
        <v/>
      </c>
      <c r="AI249" s="368" t="inlineStr">
        <is>
          <t>—</t>
        </is>
      </c>
      <c r="AJ249" s="368" t="inlineStr">
        <is>
          <t>—</t>
        </is>
      </c>
      <c r="AK249" s="368" t="inlineStr">
        <is>
          <t>—</t>
        </is>
      </c>
      <c r="AL249" s="368" t="inlineStr">
        <is>
          <t>—</t>
        </is>
      </c>
      <c r="AM249" s="356">
        <f>IF(AND(AM97&gt;=0,AM97&lt;=1),"PASS",IF(AM97=0,"WARN — NO INPUTS","FAIL — RATIO OUT OF RANGE"))</f>
        <v/>
      </c>
      <c r="AN249" s="368" t="inlineStr">
        <is>
          <t>—</t>
        </is>
      </c>
      <c r="AO249" s="368" t="inlineStr">
        <is>
          <t>—</t>
        </is>
      </c>
      <c r="AP249" s="368" t="inlineStr">
        <is>
          <t>—</t>
        </is>
      </c>
      <c r="AQ249" s="368" t="inlineStr">
        <is>
          <t>—</t>
        </is>
      </c>
      <c r="AR249" s="356">
        <f>IF(AND(AR97&gt;=0,AR97&lt;=1),"PASS",IF(AR97=0,"WARN — NO INPUTS","FAIL — RATIO OUT OF RANGE"))</f>
        <v/>
      </c>
    </row>
    <row r="250" ht="13.5" customHeight="1" s="290">
      <c r="A250" s="359" t="n"/>
      <c r="B250" s="353" t="inlineStr">
        <is>
          <t xml:space="preserve">  ✔  Debt &amp; Equity Payout Ratio ≥ 0 and ≤ 100%</t>
        </is>
      </c>
      <c r="D250" s="354" t="inlineStr">
        <is>
          <t>Row 143</t>
        </is>
      </c>
      <c r="E250" s="368" t="inlineStr">
        <is>
          <t>—</t>
        </is>
      </c>
      <c r="F250" s="368" t="inlineStr">
        <is>
          <t>—</t>
        </is>
      </c>
      <c r="G250" s="368" t="inlineStr">
        <is>
          <t>—</t>
        </is>
      </c>
      <c r="H250" s="368" t="inlineStr">
        <is>
          <t>—</t>
        </is>
      </c>
      <c r="I250" s="356">
        <f>IF(AND(I143&gt;=0,I143&lt;=1),"PASS",IF(I143=0,"WARN — NO INPUTS","FAIL — RATIO OUT OF RANGE"))</f>
        <v/>
      </c>
      <c r="J250" s="368" t="inlineStr">
        <is>
          <t>—</t>
        </is>
      </c>
      <c r="K250" s="368" t="inlineStr">
        <is>
          <t>—</t>
        </is>
      </c>
      <c r="L250" s="368" t="inlineStr">
        <is>
          <t>—</t>
        </is>
      </c>
      <c r="M250" s="368" t="inlineStr">
        <is>
          <t>—</t>
        </is>
      </c>
      <c r="N250" s="356">
        <f>IF(AND(N143&gt;=0,N143&lt;=1),"PASS",IF(N143=0,"WARN — NO INPUTS","FAIL — RATIO OUT OF RANGE"))</f>
        <v/>
      </c>
      <c r="O250" s="368" t="inlineStr">
        <is>
          <t>—</t>
        </is>
      </c>
      <c r="P250" s="368" t="inlineStr">
        <is>
          <t>—</t>
        </is>
      </c>
      <c r="Q250" s="368" t="inlineStr">
        <is>
          <t>—</t>
        </is>
      </c>
      <c r="R250" s="368" t="inlineStr">
        <is>
          <t>—</t>
        </is>
      </c>
      <c r="S250" s="356">
        <f>IF(AND(S143&gt;=0,S143&lt;=1),"PASS",IF(S143=0,"WARN — NO INPUTS","FAIL — RATIO OUT OF RANGE"))</f>
        <v/>
      </c>
      <c r="T250" s="368" t="inlineStr">
        <is>
          <t>—</t>
        </is>
      </c>
      <c r="U250" s="368" t="inlineStr">
        <is>
          <t>—</t>
        </is>
      </c>
      <c r="V250" s="368" t="inlineStr">
        <is>
          <t>—</t>
        </is>
      </c>
      <c r="W250" s="368" t="inlineStr">
        <is>
          <t>—</t>
        </is>
      </c>
      <c r="X250" s="356">
        <f>IF(AND(X143&gt;=0,X143&lt;=1),"PASS",IF(X143=0,"WARN — NO INPUTS","FAIL — RATIO OUT OF RANGE"))</f>
        <v/>
      </c>
      <c r="Y250" s="368" t="inlineStr">
        <is>
          <t>—</t>
        </is>
      </c>
      <c r="Z250" s="368" t="inlineStr">
        <is>
          <t>—</t>
        </is>
      </c>
      <c r="AA250" s="368" t="inlineStr">
        <is>
          <t>—</t>
        </is>
      </c>
      <c r="AB250" s="368" t="inlineStr">
        <is>
          <t>—</t>
        </is>
      </c>
      <c r="AC250" s="356">
        <f>IF(AND(AC143&gt;=0,AC143&lt;=1),"PASS",IF(AC143=0,"WARN — NO INPUTS","FAIL — RATIO OUT OF RANGE"))</f>
        <v/>
      </c>
      <c r="AD250" s="368" t="inlineStr">
        <is>
          <t>—</t>
        </is>
      </c>
      <c r="AE250" s="368" t="inlineStr">
        <is>
          <t>—</t>
        </is>
      </c>
      <c r="AF250" s="368" t="inlineStr">
        <is>
          <t>—</t>
        </is>
      </c>
      <c r="AG250" s="368" t="inlineStr">
        <is>
          <t>—</t>
        </is>
      </c>
      <c r="AH250" s="356">
        <f>IF(AND(AH143&gt;=0,AH143&lt;=1),"PASS",IF(AH143=0,"WARN — NO INPUTS","FAIL — RATIO OUT OF RANGE"))</f>
        <v/>
      </c>
      <c r="AI250" s="368" t="inlineStr">
        <is>
          <t>—</t>
        </is>
      </c>
      <c r="AJ250" s="368" t="inlineStr">
        <is>
          <t>—</t>
        </is>
      </c>
      <c r="AK250" s="368" t="inlineStr">
        <is>
          <t>—</t>
        </is>
      </c>
      <c r="AL250" s="368" t="inlineStr">
        <is>
          <t>—</t>
        </is>
      </c>
      <c r="AM250" s="356">
        <f>IF(AND(AM143&gt;=0,AM143&lt;=1),"PASS",IF(AM143=0,"WARN — NO INPUTS","FAIL — RATIO OUT OF RANGE"))</f>
        <v/>
      </c>
      <c r="AN250" s="368" t="inlineStr">
        <is>
          <t>—</t>
        </is>
      </c>
      <c r="AO250" s="368" t="inlineStr">
        <is>
          <t>—</t>
        </is>
      </c>
      <c r="AP250" s="368" t="inlineStr">
        <is>
          <t>—</t>
        </is>
      </c>
      <c r="AQ250" s="368" t="inlineStr">
        <is>
          <t>—</t>
        </is>
      </c>
      <c r="AR250" s="356">
        <f>IF(AND(AR143&gt;=0,AR143&lt;=1),"PASS",IF(AR143=0,"WARN — NO INPUTS","FAIL — RATIO OUT OF RANGE"))</f>
        <v/>
      </c>
    </row>
    <row r="251" ht="4.5" customHeight="1" s="290"/>
    <row r="252" ht="18" customHeight="1" s="290">
      <c r="A252" s="360" t="inlineStr">
        <is>
          <t xml:space="preserve">  All checks above feed Tab 11 — Checks. Payout ratio, advisory ratio, and total comp ratio checks show WARN (not FAIL) with zero inputs — they will flip to PASS or FAIL once assumption values are entered in Tabs 02, 03, and 04.</t>
        </is>
      </c>
    </row>
    <row r="253" ht="4.5" customHeight="1" s="290"/>
    <row r="254" ht="3" customHeight="1" s="290">
      <c r="A254" s="293" t="n"/>
    </row>
  </sheetData>
  <mergeCells count="44">
    <mergeCell ref="A53:AR53"/>
    <mergeCell ref="A147:AR147"/>
    <mergeCell ref="A231:AR231"/>
    <mergeCell ref="A81:AR81"/>
    <mergeCell ref="A115:AR115"/>
    <mergeCell ref="A199:AR199"/>
    <mergeCell ref="A93:AR93"/>
    <mergeCell ref="A211:AR211"/>
    <mergeCell ref="A9:AR9"/>
    <mergeCell ref="A220:AR220"/>
    <mergeCell ref="A167:AR167"/>
    <mergeCell ref="A127:AR127"/>
    <mergeCell ref="A11:AR11"/>
    <mergeCell ref="A222:AR222"/>
    <mergeCell ref="A1:AR1"/>
    <mergeCell ref="A103:AR103"/>
    <mergeCell ref="A197:AR197"/>
    <mergeCell ref="A69:AR69"/>
    <mergeCell ref="A7:AR7"/>
    <mergeCell ref="A252:AR252"/>
    <mergeCell ref="A99:AR99"/>
    <mergeCell ref="A183:AR183"/>
    <mergeCell ref="A193:AR193"/>
    <mergeCell ref="A233:AR233"/>
    <mergeCell ref="A149:AR149"/>
    <mergeCell ref="A145:AR145"/>
    <mergeCell ref="A101:AR101"/>
    <mergeCell ref="A139:AR139"/>
    <mergeCell ref="A55:AR55"/>
    <mergeCell ref="A179:AR179"/>
    <mergeCell ref="A195:AR195"/>
    <mergeCell ref="A57:AR57"/>
    <mergeCell ref="A235:AR235"/>
    <mergeCell ref="A2:AR2"/>
    <mergeCell ref="A47:AR47"/>
    <mergeCell ref="A175:AR175"/>
    <mergeCell ref="A151:AR151"/>
    <mergeCell ref="A254:AR254"/>
    <mergeCell ref="A5:AR5"/>
    <mergeCell ref="A23:AR23"/>
    <mergeCell ref="A181:AR181"/>
    <mergeCell ref="A159:AR159"/>
    <mergeCell ref="A35:AR35"/>
    <mergeCell ref="A224:AR224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FF8C00"/>
    <outlinePr summaryBelow="1" summaryRight="1"/>
    <pageSetUpPr fitToPage="1"/>
  </sheetPr>
  <dimension ref="A1:AR1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2" customWidth="1" style="289" min="1" max="1"/>
    <col width="40" customWidth="1" style="289" min="2" max="2"/>
    <col width="10" customWidth="1" style="289" min="3" max="3"/>
    <col width="22" customWidth="1" style="289" min="4" max="4"/>
    <col width="8.800000000000001" customWidth="1" style="289" min="5" max="8"/>
    <col width="10.51" customWidth="1" style="289" min="9" max="9"/>
    <col width="8.800000000000001" customWidth="1" style="289" min="10" max="13"/>
    <col width="10.51" customWidth="1" style="289" min="14" max="14"/>
    <col width="8.800000000000001" customWidth="1" style="289" min="15" max="18"/>
    <col width="10.51" customWidth="1" style="289" min="19" max="19"/>
    <col width="8.800000000000001" customWidth="1" style="289" min="20" max="23"/>
    <col width="10.51" customWidth="1" style="289" min="24" max="24"/>
    <col width="8.800000000000001" customWidth="1" style="289" min="25" max="28"/>
    <col width="10.51" customWidth="1" style="289" min="29" max="29"/>
    <col width="8.800000000000001" customWidth="1" style="289" min="30" max="33"/>
    <col width="10.51" customWidth="1" style="289" min="34" max="34"/>
    <col width="8.800000000000001" customWidth="1" style="289" min="35" max="38"/>
    <col width="10.51" customWidth="1" style="289" min="39" max="39"/>
    <col width="8.800000000000001" customWidth="1" style="289" min="40" max="43"/>
    <col width="10.51" customWidth="1" style="289" min="44" max="44"/>
  </cols>
  <sheetData>
    <row r="1" ht="25.5" customHeight="1" s="290">
      <c r="A1" s="330" t="inlineStr">
        <is>
          <t xml:space="preserve">  07  |  OPEX ENGINE  —  Driver-Based Operating Expenses</t>
        </is>
      </c>
    </row>
    <row r="2" ht="15" customHeight="1" s="290">
      <c r="A2" s="331" t="inlineStr">
        <is>
          <t xml:space="preserve">  Green = link from Tabs 03/04/05/06  |  Black = calculation  |  Sections: A=Fixed Opex  B=Variable Opex  C=D&amp;A  D=Summary  E=Checks</t>
        </is>
      </c>
    </row>
    <row r="3" ht="30" customHeight="1" s="290">
      <c r="A3" s="332" t="n"/>
      <c r="B3" s="333" t="inlineStr">
        <is>
          <t>Row Description</t>
        </is>
      </c>
      <c r="C3" s="333" t="inlineStr">
        <is>
          <t>Units</t>
        </is>
      </c>
      <c r="D3" s="333" t="inlineStr">
        <is>
          <t>Source / Note</t>
        </is>
      </c>
      <c r="E3" s="334" t="inlineStr">
        <is>
          <t>2023A
Q1</t>
        </is>
      </c>
      <c r="F3" s="334" t="inlineStr">
        <is>
          <t>2023A
Q2</t>
        </is>
      </c>
      <c r="G3" s="334" t="inlineStr">
        <is>
          <t>2023A
Q3</t>
        </is>
      </c>
      <c r="H3" s="334" t="inlineStr">
        <is>
          <t>2023A
Q4</t>
        </is>
      </c>
      <c r="I3" s="335" t="inlineStr">
        <is>
          <t>2023A
Annual</t>
        </is>
      </c>
      <c r="J3" s="334" t="inlineStr">
        <is>
          <t>2024A
Q1</t>
        </is>
      </c>
      <c r="K3" s="334" t="inlineStr">
        <is>
          <t>2024A
Q2</t>
        </is>
      </c>
      <c r="L3" s="334" t="inlineStr">
        <is>
          <t>2024A
Q3</t>
        </is>
      </c>
      <c r="M3" s="334" t="inlineStr">
        <is>
          <t>2024A
Q4</t>
        </is>
      </c>
      <c r="N3" s="335" t="inlineStr">
        <is>
          <t>2024A
Annual</t>
        </is>
      </c>
      <c r="O3" s="334" t="inlineStr">
        <is>
          <t>2025A
Q1</t>
        </is>
      </c>
      <c r="P3" s="334" t="inlineStr">
        <is>
          <t>2025A
Q2</t>
        </is>
      </c>
      <c r="Q3" s="334" t="inlineStr">
        <is>
          <t>2025A
Q3</t>
        </is>
      </c>
      <c r="R3" s="334" t="inlineStr">
        <is>
          <t>2025A
Q4</t>
        </is>
      </c>
      <c r="S3" s="335" t="inlineStr">
        <is>
          <t>2025A
Annual</t>
        </is>
      </c>
      <c r="T3" s="336" t="inlineStr">
        <is>
          <t>2026E
Q1</t>
        </is>
      </c>
      <c r="U3" s="336" t="inlineStr">
        <is>
          <t>2026E
Q2</t>
        </is>
      </c>
      <c r="V3" s="336" t="inlineStr">
        <is>
          <t>2026E
Q3</t>
        </is>
      </c>
      <c r="W3" s="336" t="inlineStr">
        <is>
          <t>2026E
Q4</t>
        </is>
      </c>
      <c r="X3" s="337" t="inlineStr">
        <is>
          <t>2026E
Annual</t>
        </is>
      </c>
      <c r="Y3" s="336" t="inlineStr">
        <is>
          <t>2027E
Q1</t>
        </is>
      </c>
      <c r="Z3" s="336" t="inlineStr">
        <is>
          <t>2027E
Q2</t>
        </is>
      </c>
      <c r="AA3" s="336" t="inlineStr">
        <is>
          <t>2027E
Q3</t>
        </is>
      </c>
      <c r="AB3" s="336" t="inlineStr">
        <is>
          <t>2027E
Q4</t>
        </is>
      </c>
      <c r="AC3" s="337" t="inlineStr">
        <is>
          <t>2027E
Annual</t>
        </is>
      </c>
      <c r="AD3" s="336" t="inlineStr">
        <is>
          <t>2028E
Q1</t>
        </is>
      </c>
      <c r="AE3" s="336" t="inlineStr">
        <is>
          <t>2028E
Q2</t>
        </is>
      </c>
      <c r="AF3" s="336" t="inlineStr">
        <is>
          <t>2028E
Q3</t>
        </is>
      </c>
      <c r="AG3" s="336" t="inlineStr">
        <is>
          <t>2028E
Q4</t>
        </is>
      </c>
      <c r="AH3" s="337" t="inlineStr">
        <is>
          <t>2028E
Annual</t>
        </is>
      </c>
      <c r="AI3" s="336" t="inlineStr">
        <is>
          <t>2029E
Q1</t>
        </is>
      </c>
      <c r="AJ3" s="336" t="inlineStr">
        <is>
          <t>2029E
Q2</t>
        </is>
      </c>
      <c r="AK3" s="336" t="inlineStr">
        <is>
          <t>2029E
Q3</t>
        </is>
      </c>
      <c r="AL3" s="336" t="inlineStr">
        <is>
          <t>2029E
Q4</t>
        </is>
      </c>
      <c r="AM3" s="337" t="inlineStr">
        <is>
          <t>2029E
Annual</t>
        </is>
      </c>
      <c r="AN3" s="336" t="inlineStr">
        <is>
          <t>2030E
Q1</t>
        </is>
      </c>
      <c r="AO3" s="336" t="inlineStr">
        <is>
          <t>2030E
Q2</t>
        </is>
      </c>
      <c r="AP3" s="336" t="inlineStr">
        <is>
          <t>2030E
Q3</t>
        </is>
      </c>
      <c r="AQ3" s="336" t="inlineStr">
        <is>
          <t>2030E
Q4</t>
        </is>
      </c>
      <c r="AR3" s="337" t="inlineStr">
        <is>
          <t>2030E
Annual</t>
        </is>
      </c>
    </row>
    <row r="4" ht="4.5" customHeight="1" s="290"/>
    <row r="5" ht="15.75" customHeight="1" s="290">
      <c r="A5" s="338" t="inlineStr">
        <is>
          <t xml:space="preserve">  SECTION A — FIXED OPERATING EXPENSES</t>
        </is>
      </c>
    </row>
    <row r="6" ht="3.75" customHeight="1" s="290"/>
    <row r="7" ht="12.75" customHeight="1" s="290">
      <c r="A7" s="348" t="inlineStr">
        <is>
          <t xml:space="preserve">  Fixed costs are structural period costs entered as annual totals in Tab 03. Tab 07 allocates them quarterly (Annual ÷ 4). E&amp;O insurance is semi-variable: computed as bps × Total GCI (scales with revenue). All other fixed items use the annual ÷ 4 allocation.</t>
        </is>
      </c>
    </row>
    <row r="8" ht="3.75" customHeight="1" s="290"/>
    <row r="9" ht="13.5" customHeight="1" s="290">
      <c r="A9" s="345" t="n"/>
      <c r="B9" s="370" t="inlineStr">
        <is>
          <t xml:space="preserve">  Office Rent / Occupancy — Annual Input</t>
        </is>
      </c>
      <c r="C9" s="371" t="inlineStr">
        <is>
          <t>$K/yr</t>
        </is>
      </c>
      <c r="D9" s="394" t="inlineStr">
        <is>
          <t>← Tab 03 row 298 annual col ÷ 4  (quarterly allocation)</t>
        </is>
      </c>
      <c r="E9" s="361">
        <f>'03 Operational Assumptions'!I298/4</f>
        <v/>
      </c>
      <c r="F9" s="361">
        <f>'03 Operational Assumptions'!I298/4</f>
        <v/>
      </c>
      <c r="G9" s="361">
        <f>'03 Operational Assumptions'!I298/4</f>
        <v/>
      </c>
      <c r="H9" s="361">
        <f>'03 Operational Assumptions'!I298/4</f>
        <v/>
      </c>
      <c r="I9" s="361">
        <f>'03 Operational Assumptions'!I298</f>
        <v/>
      </c>
      <c r="J9" s="361">
        <f>'03 Operational Assumptions'!N298/4</f>
        <v/>
      </c>
      <c r="K9" s="361">
        <f>'03 Operational Assumptions'!N298/4</f>
        <v/>
      </c>
      <c r="L9" s="361">
        <f>'03 Operational Assumptions'!N298/4</f>
        <v/>
      </c>
      <c r="M9" s="361">
        <f>'03 Operational Assumptions'!N298/4</f>
        <v/>
      </c>
      <c r="N9" s="361">
        <f>'03 Operational Assumptions'!N298</f>
        <v/>
      </c>
      <c r="O9" s="361">
        <f>'03 Operational Assumptions'!S298/4</f>
        <v/>
      </c>
      <c r="P9" s="361">
        <f>'03 Operational Assumptions'!S298/4</f>
        <v/>
      </c>
      <c r="Q9" s="361">
        <f>'03 Operational Assumptions'!S298/4</f>
        <v/>
      </c>
      <c r="R9" s="361">
        <f>'03 Operational Assumptions'!S298/4</f>
        <v/>
      </c>
      <c r="S9" s="361">
        <f>'03 Operational Assumptions'!S298</f>
        <v/>
      </c>
      <c r="T9" s="361">
        <f>'03 Operational Assumptions'!X298/4</f>
        <v/>
      </c>
      <c r="U9" s="361">
        <f>'03 Operational Assumptions'!X298/4</f>
        <v/>
      </c>
      <c r="V9" s="361">
        <f>'03 Operational Assumptions'!X298/4</f>
        <v/>
      </c>
      <c r="W9" s="361">
        <f>'03 Operational Assumptions'!X298/4</f>
        <v/>
      </c>
      <c r="X9" s="361">
        <f>'03 Operational Assumptions'!X298</f>
        <v/>
      </c>
      <c r="Y9" s="361">
        <f>'03 Operational Assumptions'!AC298/4</f>
        <v/>
      </c>
      <c r="Z9" s="361">
        <f>'03 Operational Assumptions'!AC298/4</f>
        <v/>
      </c>
      <c r="AA9" s="361">
        <f>'03 Operational Assumptions'!AC298/4</f>
        <v/>
      </c>
      <c r="AB9" s="361">
        <f>'03 Operational Assumptions'!AC298/4</f>
        <v/>
      </c>
      <c r="AC9" s="361">
        <f>'03 Operational Assumptions'!AC298</f>
        <v/>
      </c>
      <c r="AD9" s="361">
        <f>'03 Operational Assumptions'!AH298/4</f>
        <v/>
      </c>
      <c r="AE9" s="361">
        <f>'03 Operational Assumptions'!AH298/4</f>
        <v/>
      </c>
      <c r="AF9" s="361">
        <f>'03 Operational Assumptions'!AH298/4</f>
        <v/>
      </c>
      <c r="AG9" s="361">
        <f>'03 Operational Assumptions'!AH298/4</f>
        <v/>
      </c>
      <c r="AH9" s="361">
        <f>'03 Operational Assumptions'!AH298</f>
        <v/>
      </c>
      <c r="AI9" s="361">
        <f>'03 Operational Assumptions'!AM298/4</f>
        <v/>
      </c>
      <c r="AJ9" s="361">
        <f>'03 Operational Assumptions'!AM298/4</f>
        <v/>
      </c>
      <c r="AK9" s="361">
        <f>'03 Operational Assumptions'!AM298/4</f>
        <v/>
      </c>
      <c r="AL9" s="361">
        <f>'03 Operational Assumptions'!AM298/4</f>
        <v/>
      </c>
      <c r="AM9" s="361">
        <f>'03 Operational Assumptions'!AM298</f>
        <v/>
      </c>
      <c r="AN9" s="361">
        <f>'03 Operational Assumptions'!AR298/4</f>
        <v/>
      </c>
      <c r="AO9" s="361">
        <f>'03 Operational Assumptions'!AR298/4</f>
        <v/>
      </c>
      <c r="AP9" s="361">
        <f>'03 Operational Assumptions'!AR298/4</f>
        <v/>
      </c>
      <c r="AQ9" s="361">
        <f>'03 Operational Assumptions'!AR298/4</f>
        <v/>
      </c>
      <c r="AR9" s="361">
        <f>'03 Operational Assumptions'!AR298</f>
        <v/>
      </c>
    </row>
    <row r="10" ht="13.5" customHeight="1" s="290">
      <c r="A10" s="395" t="n"/>
      <c r="B10" s="373" t="inlineStr">
        <is>
          <t xml:space="preserve">  Quarterly Rent / Occupancy</t>
        </is>
      </c>
      <c r="C10" s="374" t="inlineStr">
        <is>
          <t>$K/qtr</t>
        </is>
      </c>
      <c r="D10" s="396" t="inlineStr">
        <is>
          <t xml:space="preserve"> annual input ÷ 4 (via input link above)</t>
        </is>
      </c>
      <c r="E10" s="376">
        <f>E9</f>
        <v/>
      </c>
      <c r="F10" s="376">
        <f>F9</f>
        <v/>
      </c>
      <c r="G10" s="376">
        <f>G9</f>
        <v/>
      </c>
      <c r="H10" s="376">
        <f>H9</f>
        <v/>
      </c>
      <c r="I10" s="344">
        <f>SUM(E10:H10)</f>
        <v/>
      </c>
      <c r="J10" s="376">
        <f>J9</f>
        <v/>
      </c>
      <c r="K10" s="376">
        <f>K9</f>
        <v/>
      </c>
      <c r="L10" s="376">
        <f>L9</f>
        <v/>
      </c>
      <c r="M10" s="376">
        <f>M9</f>
        <v/>
      </c>
      <c r="N10" s="344">
        <f>SUM(J10:M10)</f>
        <v/>
      </c>
      <c r="O10" s="376">
        <f>O9</f>
        <v/>
      </c>
      <c r="P10" s="376">
        <f>P9</f>
        <v/>
      </c>
      <c r="Q10" s="376">
        <f>Q9</f>
        <v/>
      </c>
      <c r="R10" s="376">
        <f>R9</f>
        <v/>
      </c>
      <c r="S10" s="344">
        <f>SUM(O10:R10)</f>
        <v/>
      </c>
      <c r="T10" s="376">
        <f>T9</f>
        <v/>
      </c>
      <c r="U10" s="376">
        <f>U9</f>
        <v/>
      </c>
      <c r="V10" s="376">
        <f>V9</f>
        <v/>
      </c>
      <c r="W10" s="376">
        <f>W9</f>
        <v/>
      </c>
      <c r="X10" s="344">
        <f>SUM(T10:W10)</f>
        <v/>
      </c>
      <c r="Y10" s="376">
        <f>Y9</f>
        <v/>
      </c>
      <c r="Z10" s="376">
        <f>Z9</f>
        <v/>
      </c>
      <c r="AA10" s="376">
        <f>AA9</f>
        <v/>
      </c>
      <c r="AB10" s="376">
        <f>AB9</f>
        <v/>
      </c>
      <c r="AC10" s="344">
        <f>SUM(Y10:AB10)</f>
        <v/>
      </c>
      <c r="AD10" s="376">
        <f>AD9</f>
        <v/>
      </c>
      <c r="AE10" s="376">
        <f>AE9</f>
        <v/>
      </c>
      <c r="AF10" s="376">
        <f>AF9</f>
        <v/>
      </c>
      <c r="AG10" s="376">
        <f>AG9</f>
        <v/>
      </c>
      <c r="AH10" s="344">
        <f>SUM(AD10:AG10)</f>
        <v/>
      </c>
      <c r="AI10" s="376">
        <f>AI9</f>
        <v/>
      </c>
      <c r="AJ10" s="376">
        <f>AJ9</f>
        <v/>
      </c>
      <c r="AK10" s="376">
        <f>AK9</f>
        <v/>
      </c>
      <c r="AL10" s="376">
        <f>AL9</f>
        <v/>
      </c>
      <c r="AM10" s="344">
        <f>SUM(AI10:AL10)</f>
        <v/>
      </c>
      <c r="AN10" s="376">
        <f>AN9</f>
        <v/>
      </c>
      <c r="AO10" s="376">
        <f>AO9</f>
        <v/>
      </c>
      <c r="AP10" s="376">
        <f>AP9</f>
        <v/>
      </c>
      <c r="AQ10" s="376">
        <f>AQ9</f>
        <v/>
      </c>
      <c r="AR10" s="344">
        <f>SUM(AN10:AQ10)</f>
        <v/>
      </c>
    </row>
    <row r="11" ht="3" customHeight="1" s="290"/>
    <row r="12" ht="15" customHeight="1" s="290">
      <c r="A12" s="307" t="inlineStr">
        <is>
          <t xml:space="preserve">    A2 — E&amp;O Insurance  (Semi-Variable: Rate × Total GCI)</t>
        </is>
      </c>
    </row>
    <row r="13" ht="3" customHeight="1" s="290"/>
    <row r="14" ht="13.5" customHeight="1" s="290">
      <c r="A14" s="345" t="n"/>
      <c r="B14" s="370" t="inlineStr">
        <is>
          <t xml:space="preserve">  E&amp;O Insurance Rate</t>
        </is>
      </c>
      <c r="C14" s="371" t="inlineStr">
        <is>
          <t>bps of GCI</t>
        </is>
      </c>
      <c r="D14" s="394" t="inlineStr">
        <is>
          <t>← Tab 03 row 299 quarterly cols (bps rate)</t>
        </is>
      </c>
      <c r="E14" s="361">
        <f>'03 Operational Assumptions'!E299</f>
        <v/>
      </c>
      <c r="F14" s="361">
        <f>'03 Operational Assumptions'!F299</f>
        <v/>
      </c>
      <c r="G14" s="361">
        <f>'03 Operational Assumptions'!G299</f>
        <v/>
      </c>
      <c r="H14" s="361">
        <f>'03 Operational Assumptions'!H299</f>
        <v/>
      </c>
      <c r="I14" s="361">
        <f>'03 Operational Assumptions'!I299/4</f>
        <v/>
      </c>
      <c r="J14" s="361">
        <f>'03 Operational Assumptions'!J299</f>
        <v/>
      </c>
      <c r="K14" s="361">
        <f>'03 Operational Assumptions'!K299</f>
        <v/>
      </c>
      <c r="L14" s="361">
        <f>'03 Operational Assumptions'!L299</f>
        <v/>
      </c>
      <c r="M14" s="361">
        <f>'03 Operational Assumptions'!M299</f>
        <v/>
      </c>
      <c r="N14" s="361">
        <f>'03 Operational Assumptions'!N299/4</f>
        <v/>
      </c>
      <c r="O14" s="361">
        <f>'03 Operational Assumptions'!O299</f>
        <v/>
      </c>
      <c r="P14" s="361">
        <f>'03 Operational Assumptions'!P299</f>
        <v/>
      </c>
      <c r="Q14" s="361">
        <f>'03 Operational Assumptions'!Q299</f>
        <v/>
      </c>
      <c r="R14" s="361">
        <f>'03 Operational Assumptions'!R299</f>
        <v/>
      </c>
      <c r="S14" s="361">
        <f>'03 Operational Assumptions'!S299/4</f>
        <v/>
      </c>
      <c r="T14" s="361">
        <f>'03 Operational Assumptions'!T299</f>
        <v/>
      </c>
      <c r="U14" s="361">
        <f>'03 Operational Assumptions'!U299</f>
        <v/>
      </c>
      <c r="V14" s="361">
        <f>'03 Operational Assumptions'!V299</f>
        <v/>
      </c>
      <c r="W14" s="361">
        <f>'03 Operational Assumptions'!W299</f>
        <v/>
      </c>
      <c r="X14" s="361">
        <f>'03 Operational Assumptions'!X299/4</f>
        <v/>
      </c>
      <c r="Y14" s="361">
        <f>'03 Operational Assumptions'!Y299</f>
        <v/>
      </c>
      <c r="Z14" s="361">
        <f>'03 Operational Assumptions'!Z299</f>
        <v/>
      </c>
      <c r="AA14" s="361">
        <f>'03 Operational Assumptions'!AA299</f>
        <v/>
      </c>
      <c r="AB14" s="361">
        <f>'03 Operational Assumptions'!AB299</f>
        <v/>
      </c>
      <c r="AC14" s="361">
        <f>'03 Operational Assumptions'!AC299/4</f>
        <v/>
      </c>
      <c r="AD14" s="361">
        <f>'03 Operational Assumptions'!AD299</f>
        <v/>
      </c>
      <c r="AE14" s="361">
        <f>'03 Operational Assumptions'!AE299</f>
        <v/>
      </c>
      <c r="AF14" s="361">
        <f>'03 Operational Assumptions'!AF299</f>
        <v/>
      </c>
      <c r="AG14" s="361">
        <f>'03 Operational Assumptions'!AG299</f>
        <v/>
      </c>
      <c r="AH14" s="361">
        <f>'03 Operational Assumptions'!AH299/4</f>
        <v/>
      </c>
      <c r="AI14" s="361">
        <f>'03 Operational Assumptions'!AI299</f>
        <v/>
      </c>
      <c r="AJ14" s="361">
        <f>'03 Operational Assumptions'!AJ299</f>
        <v/>
      </c>
      <c r="AK14" s="361">
        <f>'03 Operational Assumptions'!AK299</f>
        <v/>
      </c>
      <c r="AL14" s="361">
        <f>'03 Operational Assumptions'!AL299</f>
        <v/>
      </c>
      <c r="AM14" s="361">
        <f>'03 Operational Assumptions'!AM299/4</f>
        <v/>
      </c>
      <c r="AN14" s="361">
        <f>'03 Operational Assumptions'!AN299</f>
        <v/>
      </c>
      <c r="AO14" s="361">
        <f>'03 Operational Assumptions'!AO299</f>
        <v/>
      </c>
      <c r="AP14" s="361">
        <f>'03 Operational Assumptions'!AP299</f>
        <v/>
      </c>
      <c r="AQ14" s="361">
        <f>'03 Operational Assumptions'!AQ299</f>
        <v/>
      </c>
      <c r="AR14" s="361">
        <f>'03 Operational Assumptions'!AR299/4</f>
        <v/>
      </c>
    </row>
    <row r="15" ht="13.5" customHeight="1" s="290">
      <c r="A15" s="345" t="n"/>
      <c r="B15" s="370" t="inlineStr">
        <is>
          <t xml:space="preserve">  Total GCI (for E&amp;O computation)</t>
        </is>
      </c>
      <c r="C15" s="371" t="inlineStr">
        <is>
          <t>$K</t>
        </is>
      </c>
      <c r="D15" s="394" t="inlineStr">
        <is>
          <t>← Tab 05 row 195 (Total GCI)</t>
        </is>
      </c>
      <c r="E15" s="361">
        <f>'05 Revenue Engine'!E195</f>
        <v/>
      </c>
      <c r="F15" s="361">
        <f>'05 Revenue Engine'!F195</f>
        <v/>
      </c>
      <c r="G15" s="361">
        <f>'05 Revenue Engine'!G195</f>
        <v/>
      </c>
      <c r="H15" s="361">
        <f>'05 Revenue Engine'!H195</f>
        <v/>
      </c>
      <c r="I15" s="361">
        <f>'05 Revenue Engine'!I195</f>
        <v/>
      </c>
      <c r="J15" s="361">
        <f>'05 Revenue Engine'!J195</f>
        <v/>
      </c>
      <c r="K15" s="361">
        <f>'05 Revenue Engine'!K195</f>
        <v/>
      </c>
      <c r="L15" s="361">
        <f>'05 Revenue Engine'!L195</f>
        <v/>
      </c>
      <c r="M15" s="361">
        <f>'05 Revenue Engine'!M195</f>
        <v/>
      </c>
      <c r="N15" s="361">
        <f>'05 Revenue Engine'!N195</f>
        <v/>
      </c>
      <c r="O15" s="361">
        <f>'05 Revenue Engine'!O195</f>
        <v/>
      </c>
      <c r="P15" s="361">
        <f>'05 Revenue Engine'!P195</f>
        <v/>
      </c>
      <c r="Q15" s="361">
        <f>'05 Revenue Engine'!Q195</f>
        <v/>
      </c>
      <c r="R15" s="361">
        <f>'05 Revenue Engine'!R195</f>
        <v/>
      </c>
      <c r="S15" s="361">
        <f>'05 Revenue Engine'!S195</f>
        <v/>
      </c>
      <c r="T15" s="361">
        <f>'05 Revenue Engine'!T195</f>
        <v/>
      </c>
      <c r="U15" s="361">
        <f>'05 Revenue Engine'!U195</f>
        <v/>
      </c>
      <c r="V15" s="361">
        <f>'05 Revenue Engine'!V195</f>
        <v/>
      </c>
      <c r="W15" s="361">
        <f>'05 Revenue Engine'!W195</f>
        <v/>
      </c>
      <c r="X15" s="361">
        <f>'05 Revenue Engine'!X195</f>
        <v/>
      </c>
      <c r="Y15" s="361">
        <f>'05 Revenue Engine'!Y195</f>
        <v/>
      </c>
      <c r="Z15" s="361">
        <f>'05 Revenue Engine'!Z195</f>
        <v/>
      </c>
      <c r="AA15" s="361">
        <f>'05 Revenue Engine'!AA195</f>
        <v/>
      </c>
      <c r="AB15" s="361">
        <f>'05 Revenue Engine'!AB195</f>
        <v/>
      </c>
      <c r="AC15" s="361">
        <f>'05 Revenue Engine'!AC195</f>
        <v/>
      </c>
      <c r="AD15" s="361">
        <f>'05 Revenue Engine'!AD195</f>
        <v/>
      </c>
      <c r="AE15" s="361">
        <f>'05 Revenue Engine'!AE195</f>
        <v/>
      </c>
      <c r="AF15" s="361">
        <f>'05 Revenue Engine'!AF195</f>
        <v/>
      </c>
      <c r="AG15" s="361">
        <f>'05 Revenue Engine'!AG195</f>
        <v/>
      </c>
      <c r="AH15" s="361">
        <f>'05 Revenue Engine'!AH195</f>
        <v/>
      </c>
      <c r="AI15" s="361">
        <f>'05 Revenue Engine'!AI195</f>
        <v/>
      </c>
      <c r="AJ15" s="361">
        <f>'05 Revenue Engine'!AJ195</f>
        <v/>
      </c>
      <c r="AK15" s="361">
        <f>'05 Revenue Engine'!AK195</f>
        <v/>
      </c>
      <c r="AL15" s="361">
        <f>'05 Revenue Engine'!AL195</f>
        <v/>
      </c>
      <c r="AM15" s="361">
        <f>'05 Revenue Engine'!AM195</f>
        <v/>
      </c>
      <c r="AN15" s="361">
        <f>'05 Revenue Engine'!AN195</f>
        <v/>
      </c>
      <c r="AO15" s="361">
        <f>'05 Revenue Engine'!AO195</f>
        <v/>
      </c>
      <c r="AP15" s="361">
        <f>'05 Revenue Engine'!AP195</f>
        <v/>
      </c>
      <c r="AQ15" s="361">
        <f>'05 Revenue Engine'!AQ195</f>
        <v/>
      </c>
      <c r="AR15" s="361">
        <f>'05 Revenue Engine'!AR195</f>
        <v/>
      </c>
    </row>
    <row r="16" ht="13.5" customHeight="1" s="290">
      <c r="A16" s="395" t="n"/>
      <c r="B16" s="373" t="inlineStr">
        <is>
          <t xml:space="preserve">  E&amp;O Insurance Cost</t>
        </is>
      </c>
      <c r="C16" s="374" t="inlineStr">
        <is>
          <t>$K/qtr</t>
        </is>
      </c>
      <c r="D16" s="396" t="inlineStr">
        <is>
          <t xml:space="preserve"> (e&amp;o bps ÷ 10,000) × Total GCI  →  $K)</t>
        </is>
      </c>
      <c r="E16" s="376">
        <f>E14/10000*E15</f>
        <v/>
      </c>
      <c r="F16" s="376">
        <f>F14/10000*F15</f>
        <v/>
      </c>
      <c r="G16" s="376">
        <f>G14/10000*G15</f>
        <v/>
      </c>
      <c r="H16" s="376">
        <f>H14/10000*H15</f>
        <v/>
      </c>
      <c r="I16" s="344">
        <f>SUM(E16:H16)</f>
        <v/>
      </c>
      <c r="J16" s="376">
        <f>J14/10000*J15</f>
        <v/>
      </c>
      <c r="K16" s="376">
        <f>K14/10000*K15</f>
        <v/>
      </c>
      <c r="L16" s="376">
        <f>L14/10000*L15</f>
        <v/>
      </c>
      <c r="M16" s="376">
        <f>M14/10000*M15</f>
        <v/>
      </c>
      <c r="N16" s="344">
        <f>SUM(J16:M16)</f>
        <v/>
      </c>
      <c r="O16" s="376">
        <f>O14/10000*O15</f>
        <v/>
      </c>
      <c r="P16" s="376">
        <f>P14/10000*P15</f>
        <v/>
      </c>
      <c r="Q16" s="376">
        <f>Q14/10000*Q15</f>
        <v/>
      </c>
      <c r="R16" s="376">
        <f>R14/10000*R15</f>
        <v/>
      </c>
      <c r="S16" s="344">
        <f>SUM(O16:R16)</f>
        <v/>
      </c>
      <c r="T16" s="376">
        <f>T14/10000*T15</f>
        <v/>
      </c>
      <c r="U16" s="376">
        <f>U14/10000*U15</f>
        <v/>
      </c>
      <c r="V16" s="376">
        <f>V14/10000*V15</f>
        <v/>
      </c>
      <c r="W16" s="376">
        <f>W14/10000*W15</f>
        <v/>
      </c>
      <c r="X16" s="344">
        <f>SUM(T16:W16)</f>
        <v/>
      </c>
      <c r="Y16" s="376">
        <f>Y14/10000*Y15</f>
        <v/>
      </c>
      <c r="Z16" s="376">
        <f>Z14/10000*Z15</f>
        <v/>
      </c>
      <c r="AA16" s="376">
        <f>AA14/10000*AA15</f>
        <v/>
      </c>
      <c r="AB16" s="376">
        <f>AB14/10000*AB15</f>
        <v/>
      </c>
      <c r="AC16" s="344">
        <f>SUM(Y16:AB16)</f>
        <v/>
      </c>
      <c r="AD16" s="376">
        <f>AD14/10000*AD15</f>
        <v/>
      </c>
      <c r="AE16" s="376">
        <f>AE14/10000*AE15</f>
        <v/>
      </c>
      <c r="AF16" s="376">
        <f>AF14/10000*AF15</f>
        <v/>
      </c>
      <c r="AG16" s="376">
        <f>AG14/10000*AG15</f>
        <v/>
      </c>
      <c r="AH16" s="344">
        <f>SUM(AD16:AG16)</f>
        <v/>
      </c>
      <c r="AI16" s="376">
        <f>AI14/10000*AI15</f>
        <v/>
      </c>
      <c r="AJ16" s="376">
        <f>AJ14/10000*AJ15</f>
        <v/>
      </c>
      <c r="AK16" s="376">
        <f>AK14/10000*AK15</f>
        <v/>
      </c>
      <c r="AL16" s="376">
        <f>AL14/10000*AL15</f>
        <v/>
      </c>
      <c r="AM16" s="344">
        <f>SUM(AI16:AL16)</f>
        <v/>
      </c>
      <c r="AN16" s="376">
        <f>AN14/10000*AN15</f>
        <v/>
      </c>
      <c r="AO16" s="376">
        <f>AO14/10000*AO15</f>
        <v/>
      </c>
      <c r="AP16" s="376">
        <f>AP14/10000*AP15</f>
        <v/>
      </c>
      <c r="AQ16" s="376">
        <f>AQ14/10000*AQ15</f>
        <v/>
      </c>
      <c r="AR16" s="344">
        <f>SUM(AN16:AQ16)</f>
        <v/>
      </c>
    </row>
    <row r="17" ht="3" customHeight="1" s="290"/>
    <row r="18" ht="15" customHeight="1" s="290">
      <c r="A18" s="307" t="inlineStr">
        <is>
          <t xml:space="preserve">    A3 — Other Fixed Expenses  (Annual Input ÷ 4)</t>
        </is>
      </c>
    </row>
    <row r="19" ht="3" customHeight="1" s="290"/>
    <row r="20" ht="13.5" customHeight="1" s="290">
      <c r="A20" s="345" t="n"/>
      <c r="B20" s="370" t="inlineStr">
        <is>
          <t xml:space="preserve">  D&amp;O Insurance</t>
        </is>
      </c>
      <c r="C20" s="371" t="inlineStr">
        <is>
          <t>$K/qtr</t>
        </is>
      </c>
      <c r="D20" s="394" t="inlineStr">
        <is>
          <t>← Tab 03 row 300 annual ÷ 4</t>
        </is>
      </c>
      <c r="E20" s="361">
        <f>'03 Operational Assumptions'!I300/4</f>
        <v/>
      </c>
      <c r="F20" s="361">
        <f>'03 Operational Assumptions'!I300/4</f>
        <v/>
      </c>
      <c r="G20" s="361">
        <f>'03 Operational Assumptions'!I300/4</f>
        <v/>
      </c>
      <c r="H20" s="361">
        <f>'03 Operational Assumptions'!I300/4</f>
        <v/>
      </c>
      <c r="I20" s="361">
        <f>'03 Operational Assumptions'!I300</f>
        <v/>
      </c>
      <c r="J20" s="361">
        <f>'03 Operational Assumptions'!N300/4</f>
        <v/>
      </c>
      <c r="K20" s="361">
        <f>'03 Operational Assumptions'!N300/4</f>
        <v/>
      </c>
      <c r="L20" s="361">
        <f>'03 Operational Assumptions'!N300/4</f>
        <v/>
      </c>
      <c r="M20" s="361">
        <f>'03 Operational Assumptions'!N300/4</f>
        <v/>
      </c>
      <c r="N20" s="361">
        <f>'03 Operational Assumptions'!N300</f>
        <v/>
      </c>
      <c r="O20" s="361">
        <f>'03 Operational Assumptions'!S300/4</f>
        <v/>
      </c>
      <c r="P20" s="361">
        <f>'03 Operational Assumptions'!S300/4</f>
        <v/>
      </c>
      <c r="Q20" s="361">
        <f>'03 Operational Assumptions'!S300/4</f>
        <v/>
      </c>
      <c r="R20" s="361">
        <f>'03 Operational Assumptions'!S300/4</f>
        <v/>
      </c>
      <c r="S20" s="361">
        <f>'03 Operational Assumptions'!S300</f>
        <v/>
      </c>
      <c r="T20" s="361">
        <f>'03 Operational Assumptions'!X300/4</f>
        <v/>
      </c>
      <c r="U20" s="361">
        <f>'03 Operational Assumptions'!X300/4</f>
        <v/>
      </c>
      <c r="V20" s="361">
        <f>'03 Operational Assumptions'!X300/4</f>
        <v/>
      </c>
      <c r="W20" s="361">
        <f>'03 Operational Assumptions'!X300/4</f>
        <v/>
      </c>
      <c r="X20" s="361">
        <f>'03 Operational Assumptions'!X300</f>
        <v/>
      </c>
      <c r="Y20" s="361">
        <f>'03 Operational Assumptions'!AC300/4</f>
        <v/>
      </c>
      <c r="Z20" s="361">
        <f>'03 Operational Assumptions'!AC300/4</f>
        <v/>
      </c>
      <c r="AA20" s="361">
        <f>'03 Operational Assumptions'!AC300/4</f>
        <v/>
      </c>
      <c r="AB20" s="361">
        <f>'03 Operational Assumptions'!AC300/4</f>
        <v/>
      </c>
      <c r="AC20" s="361">
        <f>'03 Operational Assumptions'!AC300</f>
        <v/>
      </c>
      <c r="AD20" s="361">
        <f>'03 Operational Assumptions'!AH300/4</f>
        <v/>
      </c>
      <c r="AE20" s="361">
        <f>'03 Operational Assumptions'!AH300/4</f>
        <v/>
      </c>
      <c r="AF20" s="361">
        <f>'03 Operational Assumptions'!AH300/4</f>
        <v/>
      </c>
      <c r="AG20" s="361">
        <f>'03 Operational Assumptions'!AH300/4</f>
        <v/>
      </c>
      <c r="AH20" s="361">
        <f>'03 Operational Assumptions'!AH300</f>
        <v/>
      </c>
      <c r="AI20" s="361">
        <f>'03 Operational Assumptions'!AM300/4</f>
        <v/>
      </c>
      <c r="AJ20" s="361">
        <f>'03 Operational Assumptions'!AM300/4</f>
        <v/>
      </c>
      <c r="AK20" s="361">
        <f>'03 Operational Assumptions'!AM300/4</f>
        <v/>
      </c>
      <c r="AL20" s="361">
        <f>'03 Operational Assumptions'!AM300/4</f>
        <v/>
      </c>
      <c r="AM20" s="361">
        <f>'03 Operational Assumptions'!AM300</f>
        <v/>
      </c>
      <c r="AN20" s="361">
        <f>'03 Operational Assumptions'!AR300/4</f>
        <v/>
      </c>
      <c r="AO20" s="361">
        <f>'03 Operational Assumptions'!AR300/4</f>
        <v/>
      </c>
      <c r="AP20" s="361">
        <f>'03 Operational Assumptions'!AR300/4</f>
        <v/>
      </c>
      <c r="AQ20" s="361">
        <f>'03 Operational Assumptions'!AR300/4</f>
        <v/>
      </c>
      <c r="AR20" s="361">
        <f>'03 Operational Assumptions'!AR300</f>
        <v/>
      </c>
    </row>
    <row r="21" ht="13.5" customHeight="1" s="290">
      <c r="A21" s="345" t="n"/>
      <c r="B21" s="370" t="inlineStr">
        <is>
          <t xml:space="preserve">  Audit, Tax &amp; Legal</t>
        </is>
      </c>
      <c r="C21" s="371" t="inlineStr">
        <is>
          <t>$K/qtr</t>
        </is>
      </c>
      <c r="D21" s="394" t="inlineStr">
        <is>
          <t>← Tab 03 row 301 annual ÷ 4</t>
        </is>
      </c>
      <c r="E21" s="361">
        <f>'03 Operational Assumptions'!I301/4</f>
        <v/>
      </c>
      <c r="F21" s="361">
        <f>'03 Operational Assumptions'!I301/4</f>
        <v/>
      </c>
      <c r="G21" s="361">
        <f>'03 Operational Assumptions'!I301/4</f>
        <v/>
      </c>
      <c r="H21" s="361">
        <f>'03 Operational Assumptions'!I301/4</f>
        <v/>
      </c>
      <c r="I21" s="361">
        <f>'03 Operational Assumptions'!I301</f>
        <v/>
      </c>
      <c r="J21" s="361">
        <f>'03 Operational Assumptions'!N301/4</f>
        <v/>
      </c>
      <c r="K21" s="361">
        <f>'03 Operational Assumptions'!N301/4</f>
        <v/>
      </c>
      <c r="L21" s="361">
        <f>'03 Operational Assumptions'!N301/4</f>
        <v/>
      </c>
      <c r="M21" s="361">
        <f>'03 Operational Assumptions'!N301/4</f>
        <v/>
      </c>
      <c r="N21" s="361">
        <f>'03 Operational Assumptions'!N301</f>
        <v/>
      </c>
      <c r="O21" s="361">
        <f>'03 Operational Assumptions'!S301/4</f>
        <v/>
      </c>
      <c r="P21" s="361">
        <f>'03 Operational Assumptions'!S301/4</f>
        <v/>
      </c>
      <c r="Q21" s="361">
        <f>'03 Operational Assumptions'!S301/4</f>
        <v/>
      </c>
      <c r="R21" s="361">
        <f>'03 Operational Assumptions'!S301/4</f>
        <v/>
      </c>
      <c r="S21" s="361">
        <f>'03 Operational Assumptions'!S301</f>
        <v/>
      </c>
      <c r="T21" s="361">
        <f>'03 Operational Assumptions'!X301/4</f>
        <v/>
      </c>
      <c r="U21" s="361">
        <f>'03 Operational Assumptions'!X301/4</f>
        <v/>
      </c>
      <c r="V21" s="361">
        <f>'03 Operational Assumptions'!X301/4</f>
        <v/>
      </c>
      <c r="W21" s="361">
        <f>'03 Operational Assumptions'!X301/4</f>
        <v/>
      </c>
      <c r="X21" s="361">
        <f>'03 Operational Assumptions'!X301</f>
        <v/>
      </c>
      <c r="Y21" s="361">
        <f>'03 Operational Assumptions'!AC301/4</f>
        <v/>
      </c>
      <c r="Z21" s="361">
        <f>'03 Operational Assumptions'!AC301/4</f>
        <v/>
      </c>
      <c r="AA21" s="361">
        <f>'03 Operational Assumptions'!AC301/4</f>
        <v/>
      </c>
      <c r="AB21" s="361">
        <f>'03 Operational Assumptions'!AC301/4</f>
        <v/>
      </c>
      <c r="AC21" s="361">
        <f>'03 Operational Assumptions'!AC301</f>
        <v/>
      </c>
      <c r="AD21" s="361">
        <f>'03 Operational Assumptions'!AH301/4</f>
        <v/>
      </c>
      <c r="AE21" s="361">
        <f>'03 Operational Assumptions'!AH301/4</f>
        <v/>
      </c>
      <c r="AF21" s="361">
        <f>'03 Operational Assumptions'!AH301/4</f>
        <v/>
      </c>
      <c r="AG21" s="361">
        <f>'03 Operational Assumptions'!AH301/4</f>
        <v/>
      </c>
      <c r="AH21" s="361">
        <f>'03 Operational Assumptions'!AH301</f>
        <v/>
      </c>
      <c r="AI21" s="361">
        <f>'03 Operational Assumptions'!AM301/4</f>
        <v/>
      </c>
      <c r="AJ21" s="361">
        <f>'03 Operational Assumptions'!AM301/4</f>
        <v/>
      </c>
      <c r="AK21" s="361">
        <f>'03 Operational Assumptions'!AM301/4</f>
        <v/>
      </c>
      <c r="AL21" s="361">
        <f>'03 Operational Assumptions'!AM301/4</f>
        <v/>
      </c>
      <c r="AM21" s="361">
        <f>'03 Operational Assumptions'!AM301</f>
        <v/>
      </c>
      <c r="AN21" s="361">
        <f>'03 Operational Assumptions'!AR301/4</f>
        <v/>
      </c>
      <c r="AO21" s="361">
        <f>'03 Operational Assumptions'!AR301/4</f>
        <v/>
      </c>
      <c r="AP21" s="361">
        <f>'03 Operational Assumptions'!AR301/4</f>
        <v/>
      </c>
      <c r="AQ21" s="361">
        <f>'03 Operational Assumptions'!AR301/4</f>
        <v/>
      </c>
      <c r="AR21" s="361">
        <f>'03 Operational Assumptions'!AR301</f>
        <v/>
      </c>
    </row>
    <row r="22" ht="13.5" customHeight="1" s="290">
      <c r="A22" s="345" t="n"/>
      <c r="B22" s="370" t="inlineStr">
        <is>
          <t xml:space="preserve">  Technology &amp; Data Subscriptions</t>
        </is>
      </c>
      <c r="C22" s="371" t="inlineStr">
        <is>
          <t>$K/qtr</t>
        </is>
      </c>
      <c r="D22" s="394" t="inlineStr">
        <is>
          <t>← Tab 03 row 302 annual ÷ 4</t>
        </is>
      </c>
      <c r="E22" s="361">
        <f>'03 Operational Assumptions'!I302/4</f>
        <v/>
      </c>
      <c r="F22" s="361">
        <f>'03 Operational Assumptions'!I302/4</f>
        <v/>
      </c>
      <c r="G22" s="361">
        <f>'03 Operational Assumptions'!I302/4</f>
        <v/>
      </c>
      <c r="H22" s="361">
        <f>'03 Operational Assumptions'!I302/4</f>
        <v/>
      </c>
      <c r="I22" s="361">
        <f>'03 Operational Assumptions'!I302</f>
        <v/>
      </c>
      <c r="J22" s="361">
        <f>'03 Operational Assumptions'!N302/4</f>
        <v/>
      </c>
      <c r="K22" s="361">
        <f>'03 Operational Assumptions'!N302/4</f>
        <v/>
      </c>
      <c r="L22" s="361">
        <f>'03 Operational Assumptions'!N302/4</f>
        <v/>
      </c>
      <c r="M22" s="361">
        <f>'03 Operational Assumptions'!N302/4</f>
        <v/>
      </c>
      <c r="N22" s="361">
        <f>'03 Operational Assumptions'!N302</f>
        <v/>
      </c>
      <c r="O22" s="361">
        <f>'03 Operational Assumptions'!S302/4</f>
        <v/>
      </c>
      <c r="P22" s="361">
        <f>'03 Operational Assumptions'!S302/4</f>
        <v/>
      </c>
      <c r="Q22" s="361">
        <f>'03 Operational Assumptions'!S302/4</f>
        <v/>
      </c>
      <c r="R22" s="361">
        <f>'03 Operational Assumptions'!S302/4</f>
        <v/>
      </c>
      <c r="S22" s="361">
        <f>'03 Operational Assumptions'!S302</f>
        <v/>
      </c>
      <c r="T22" s="361">
        <f>'03 Operational Assumptions'!X302/4</f>
        <v/>
      </c>
      <c r="U22" s="361">
        <f>'03 Operational Assumptions'!X302/4</f>
        <v/>
      </c>
      <c r="V22" s="361">
        <f>'03 Operational Assumptions'!X302/4</f>
        <v/>
      </c>
      <c r="W22" s="361">
        <f>'03 Operational Assumptions'!X302/4</f>
        <v/>
      </c>
      <c r="X22" s="361">
        <f>'03 Operational Assumptions'!X302</f>
        <v/>
      </c>
      <c r="Y22" s="361">
        <f>'03 Operational Assumptions'!AC302/4</f>
        <v/>
      </c>
      <c r="Z22" s="361">
        <f>'03 Operational Assumptions'!AC302/4</f>
        <v/>
      </c>
      <c r="AA22" s="361">
        <f>'03 Operational Assumptions'!AC302/4</f>
        <v/>
      </c>
      <c r="AB22" s="361">
        <f>'03 Operational Assumptions'!AC302/4</f>
        <v/>
      </c>
      <c r="AC22" s="361">
        <f>'03 Operational Assumptions'!AC302</f>
        <v/>
      </c>
      <c r="AD22" s="361">
        <f>'03 Operational Assumptions'!AH302/4</f>
        <v/>
      </c>
      <c r="AE22" s="361">
        <f>'03 Operational Assumptions'!AH302/4</f>
        <v/>
      </c>
      <c r="AF22" s="361">
        <f>'03 Operational Assumptions'!AH302/4</f>
        <v/>
      </c>
      <c r="AG22" s="361">
        <f>'03 Operational Assumptions'!AH302/4</f>
        <v/>
      </c>
      <c r="AH22" s="361">
        <f>'03 Operational Assumptions'!AH302</f>
        <v/>
      </c>
      <c r="AI22" s="361">
        <f>'03 Operational Assumptions'!AM302/4</f>
        <v/>
      </c>
      <c r="AJ22" s="361">
        <f>'03 Operational Assumptions'!AM302/4</f>
        <v/>
      </c>
      <c r="AK22" s="361">
        <f>'03 Operational Assumptions'!AM302/4</f>
        <v/>
      </c>
      <c r="AL22" s="361">
        <f>'03 Operational Assumptions'!AM302/4</f>
        <v/>
      </c>
      <c r="AM22" s="361">
        <f>'03 Operational Assumptions'!AM302</f>
        <v/>
      </c>
      <c r="AN22" s="361">
        <f>'03 Operational Assumptions'!AR302/4</f>
        <v/>
      </c>
      <c r="AO22" s="361">
        <f>'03 Operational Assumptions'!AR302/4</f>
        <v/>
      </c>
      <c r="AP22" s="361">
        <f>'03 Operational Assumptions'!AR302/4</f>
        <v/>
      </c>
      <c r="AQ22" s="361">
        <f>'03 Operational Assumptions'!AR302/4</f>
        <v/>
      </c>
      <c r="AR22" s="361">
        <f>'03 Operational Assumptions'!AR302</f>
        <v/>
      </c>
    </row>
    <row r="23" ht="13.5" customHeight="1" s="290">
      <c r="A23" s="345" t="n"/>
      <c r="B23" s="370" t="inlineStr">
        <is>
          <t xml:space="preserve">  Corporate Marketing &amp; Brand</t>
        </is>
      </c>
      <c r="C23" s="371" t="inlineStr">
        <is>
          <t>$K/qtr</t>
        </is>
      </c>
      <c r="D23" s="394" t="inlineStr">
        <is>
          <t>← Tab 03 row 303 annual ÷ 4</t>
        </is>
      </c>
      <c r="E23" s="361">
        <f>'03 Operational Assumptions'!I303/4</f>
        <v/>
      </c>
      <c r="F23" s="361">
        <f>'03 Operational Assumptions'!I303/4</f>
        <v/>
      </c>
      <c r="G23" s="361">
        <f>'03 Operational Assumptions'!I303/4</f>
        <v/>
      </c>
      <c r="H23" s="361">
        <f>'03 Operational Assumptions'!I303/4</f>
        <v/>
      </c>
      <c r="I23" s="361">
        <f>'03 Operational Assumptions'!I303</f>
        <v/>
      </c>
      <c r="J23" s="361">
        <f>'03 Operational Assumptions'!N303/4</f>
        <v/>
      </c>
      <c r="K23" s="361">
        <f>'03 Operational Assumptions'!N303/4</f>
        <v/>
      </c>
      <c r="L23" s="361">
        <f>'03 Operational Assumptions'!N303/4</f>
        <v/>
      </c>
      <c r="M23" s="361">
        <f>'03 Operational Assumptions'!N303/4</f>
        <v/>
      </c>
      <c r="N23" s="361">
        <f>'03 Operational Assumptions'!N303</f>
        <v/>
      </c>
      <c r="O23" s="361">
        <f>'03 Operational Assumptions'!S303/4</f>
        <v/>
      </c>
      <c r="P23" s="361">
        <f>'03 Operational Assumptions'!S303/4</f>
        <v/>
      </c>
      <c r="Q23" s="361">
        <f>'03 Operational Assumptions'!S303/4</f>
        <v/>
      </c>
      <c r="R23" s="361">
        <f>'03 Operational Assumptions'!S303/4</f>
        <v/>
      </c>
      <c r="S23" s="361">
        <f>'03 Operational Assumptions'!S303</f>
        <v/>
      </c>
      <c r="T23" s="361">
        <f>'03 Operational Assumptions'!X303/4</f>
        <v/>
      </c>
      <c r="U23" s="361">
        <f>'03 Operational Assumptions'!X303/4</f>
        <v/>
      </c>
      <c r="V23" s="361">
        <f>'03 Operational Assumptions'!X303/4</f>
        <v/>
      </c>
      <c r="W23" s="361">
        <f>'03 Operational Assumptions'!X303/4</f>
        <v/>
      </c>
      <c r="X23" s="361">
        <f>'03 Operational Assumptions'!X303</f>
        <v/>
      </c>
      <c r="Y23" s="361">
        <f>'03 Operational Assumptions'!AC303/4</f>
        <v/>
      </c>
      <c r="Z23" s="361">
        <f>'03 Operational Assumptions'!AC303/4</f>
        <v/>
      </c>
      <c r="AA23" s="361">
        <f>'03 Operational Assumptions'!AC303/4</f>
        <v/>
      </c>
      <c r="AB23" s="361">
        <f>'03 Operational Assumptions'!AC303/4</f>
        <v/>
      </c>
      <c r="AC23" s="361">
        <f>'03 Operational Assumptions'!AC303</f>
        <v/>
      </c>
      <c r="AD23" s="361">
        <f>'03 Operational Assumptions'!AH303/4</f>
        <v/>
      </c>
      <c r="AE23" s="361">
        <f>'03 Operational Assumptions'!AH303/4</f>
        <v/>
      </c>
      <c r="AF23" s="361">
        <f>'03 Operational Assumptions'!AH303/4</f>
        <v/>
      </c>
      <c r="AG23" s="361">
        <f>'03 Operational Assumptions'!AH303/4</f>
        <v/>
      </c>
      <c r="AH23" s="361">
        <f>'03 Operational Assumptions'!AH303</f>
        <v/>
      </c>
      <c r="AI23" s="361">
        <f>'03 Operational Assumptions'!AM303/4</f>
        <v/>
      </c>
      <c r="AJ23" s="361">
        <f>'03 Operational Assumptions'!AM303/4</f>
        <v/>
      </c>
      <c r="AK23" s="361">
        <f>'03 Operational Assumptions'!AM303/4</f>
        <v/>
      </c>
      <c r="AL23" s="361">
        <f>'03 Operational Assumptions'!AM303/4</f>
        <v/>
      </c>
      <c r="AM23" s="361">
        <f>'03 Operational Assumptions'!AM303</f>
        <v/>
      </c>
      <c r="AN23" s="361">
        <f>'03 Operational Assumptions'!AR303/4</f>
        <v/>
      </c>
      <c r="AO23" s="361">
        <f>'03 Operational Assumptions'!AR303/4</f>
        <v/>
      </c>
      <c r="AP23" s="361">
        <f>'03 Operational Assumptions'!AR303/4</f>
        <v/>
      </c>
      <c r="AQ23" s="361">
        <f>'03 Operational Assumptions'!AR303/4</f>
        <v/>
      </c>
      <c r="AR23" s="361">
        <f>'03 Operational Assumptions'!AR303</f>
        <v/>
      </c>
    </row>
    <row r="24" ht="13.5" customHeight="1" s="290">
      <c r="A24" s="345" t="n"/>
      <c r="B24" s="370" t="inlineStr">
        <is>
          <t xml:space="preserve">  Other G&amp;A</t>
        </is>
      </c>
      <c r="C24" s="371" t="inlineStr">
        <is>
          <t>$K/qtr</t>
        </is>
      </c>
      <c r="D24" s="394" t="inlineStr">
        <is>
          <t>← Tab 03 row 304 annual ÷ 4</t>
        </is>
      </c>
      <c r="E24" s="361">
        <f>'03 Operational Assumptions'!I304/4</f>
        <v/>
      </c>
      <c r="F24" s="361">
        <f>'03 Operational Assumptions'!I304/4</f>
        <v/>
      </c>
      <c r="G24" s="361">
        <f>'03 Operational Assumptions'!I304/4</f>
        <v/>
      </c>
      <c r="H24" s="361">
        <f>'03 Operational Assumptions'!I304/4</f>
        <v/>
      </c>
      <c r="I24" s="361">
        <f>'03 Operational Assumptions'!I304</f>
        <v/>
      </c>
      <c r="J24" s="361">
        <f>'03 Operational Assumptions'!N304/4</f>
        <v/>
      </c>
      <c r="K24" s="361">
        <f>'03 Operational Assumptions'!N304/4</f>
        <v/>
      </c>
      <c r="L24" s="361">
        <f>'03 Operational Assumptions'!N304/4</f>
        <v/>
      </c>
      <c r="M24" s="361">
        <f>'03 Operational Assumptions'!N304/4</f>
        <v/>
      </c>
      <c r="N24" s="361">
        <f>'03 Operational Assumptions'!N304</f>
        <v/>
      </c>
      <c r="O24" s="361">
        <f>'03 Operational Assumptions'!S304/4</f>
        <v/>
      </c>
      <c r="P24" s="361">
        <f>'03 Operational Assumptions'!S304/4</f>
        <v/>
      </c>
      <c r="Q24" s="361">
        <f>'03 Operational Assumptions'!S304/4</f>
        <v/>
      </c>
      <c r="R24" s="361">
        <f>'03 Operational Assumptions'!S304/4</f>
        <v/>
      </c>
      <c r="S24" s="361">
        <f>'03 Operational Assumptions'!S304</f>
        <v/>
      </c>
      <c r="T24" s="361">
        <f>'03 Operational Assumptions'!X304/4</f>
        <v/>
      </c>
      <c r="U24" s="361">
        <f>'03 Operational Assumptions'!X304/4</f>
        <v/>
      </c>
      <c r="V24" s="361">
        <f>'03 Operational Assumptions'!X304/4</f>
        <v/>
      </c>
      <c r="W24" s="361">
        <f>'03 Operational Assumptions'!X304/4</f>
        <v/>
      </c>
      <c r="X24" s="361">
        <f>'03 Operational Assumptions'!X304</f>
        <v/>
      </c>
      <c r="Y24" s="361">
        <f>'03 Operational Assumptions'!AC304/4</f>
        <v/>
      </c>
      <c r="Z24" s="361">
        <f>'03 Operational Assumptions'!AC304/4</f>
        <v/>
      </c>
      <c r="AA24" s="361">
        <f>'03 Operational Assumptions'!AC304/4</f>
        <v/>
      </c>
      <c r="AB24" s="361">
        <f>'03 Operational Assumptions'!AC304/4</f>
        <v/>
      </c>
      <c r="AC24" s="361">
        <f>'03 Operational Assumptions'!AC304</f>
        <v/>
      </c>
      <c r="AD24" s="361">
        <f>'03 Operational Assumptions'!AH304/4</f>
        <v/>
      </c>
      <c r="AE24" s="361">
        <f>'03 Operational Assumptions'!AH304/4</f>
        <v/>
      </c>
      <c r="AF24" s="361">
        <f>'03 Operational Assumptions'!AH304/4</f>
        <v/>
      </c>
      <c r="AG24" s="361">
        <f>'03 Operational Assumptions'!AH304/4</f>
        <v/>
      </c>
      <c r="AH24" s="361">
        <f>'03 Operational Assumptions'!AH304</f>
        <v/>
      </c>
      <c r="AI24" s="361">
        <f>'03 Operational Assumptions'!AM304/4</f>
        <v/>
      </c>
      <c r="AJ24" s="361">
        <f>'03 Operational Assumptions'!AM304/4</f>
        <v/>
      </c>
      <c r="AK24" s="361">
        <f>'03 Operational Assumptions'!AM304/4</f>
        <v/>
      </c>
      <c r="AL24" s="361">
        <f>'03 Operational Assumptions'!AM304/4</f>
        <v/>
      </c>
      <c r="AM24" s="361">
        <f>'03 Operational Assumptions'!AM304</f>
        <v/>
      </c>
      <c r="AN24" s="361">
        <f>'03 Operational Assumptions'!AR304/4</f>
        <v/>
      </c>
      <c r="AO24" s="361">
        <f>'03 Operational Assumptions'!AR304/4</f>
        <v/>
      </c>
      <c r="AP24" s="361">
        <f>'03 Operational Assumptions'!AR304/4</f>
        <v/>
      </c>
      <c r="AQ24" s="361">
        <f>'03 Operational Assumptions'!AR304/4</f>
        <v/>
      </c>
      <c r="AR24" s="361">
        <f>'03 Operational Assumptions'!AR304</f>
        <v/>
      </c>
    </row>
    <row r="25" ht="3.75" customHeight="1" s="290"/>
    <row r="26" ht="15" customHeight="1" s="290">
      <c r="A26" s="397" t="n"/>
      <c r="B26" s="377" t="inlineStr">
        <is>
          <t xml:space="preserve">  ★ Total Fixed Operating Expenses</t>
        </is>
      </c>
      <c r="C26" s="378" t="inlineStr">
        <is>
          <t>$K/qtr</t>
        </is>
      </c>
      <c r="D26" s="400" t="inlineStr">
        <is>
          <t xml:space="preserve"> rent + e&amp;o + d&amp;o + audit + tech + marketing + g&amp;a</t>
        </is>
      </c>
      <c r="E26" s="379">
        <f>SUM(E10,E16,E20,E21,E22,E23,E24)</f>
        <v/>
      </c>
      <c r="F26" s="379">
        <f>SUM(F10,F16,F20,F21,F22,F23,F24)</f>
        <v/>
      </c>
      <c r="G26" s="379">
        <f>SUM(G10,G16,G20,G21,G22,G23,G24)</f>
        <v/>
      </c>
      <c r="H26" s="379">
        <f>SUM(H10,H16,H20,H21,H22,H23,H24)</f>
        <v/>
      </c>
      <c r="I26" s="379">
        <f>SUM(E26:H26)</f>
        <v/>
      </c>
      <c r="J26" s="379">
        <f>SUM(J10,J16,J20,J21,J22,J23,J24)</f>
        <v/>
      </c>
      <c r="K26" s="379">
        <f>SUM(K10,K16,K20,K21,K22,K23,K24)</f>
        <v/>
      </c>
      <c r="L26" s="379">
        <f>SUM(L10,L16,L20,L21,L22,L23,L24)</f>
        <v/>
      </c>
      <c r="M26" s="379">
        <f>SUM(M10,M16,M20,M21,M22,M23,M24)</f>
        <v/>
      </c>
      <c r="N26" s="379">
        <f>SUM(J26:M26)</f>
        <v/>
      </c>
      <c r="O26" s="379">
        <f>SUM(O10,O16,O20,O21,O22,O23,O24)</f>
        <v/>
      </c>
      <c r="P26" s="379">
        <f>SUM(P10,P16,P20,P21,P22,P23,P24)</f>
        <v/>
      </c>
      <c r="Q26" s="379">
        <f>SUM(Q10,Q16,Q20,Q21,Q22,Q23,Q24)</f>
        <v/>
      </c>
      <c r="R26" s="379">
        <f>SUM(R10,R16,R20,R21,R22,R23,R24)</f>
        <v/>
      </c>
      <c r="S26" s="379">
        <f>SUM(O26:R26)</f>
        <v/>
      </c>
      <c r="T26" s="379">
        <f>SUM(T10,T16,T20,T21,T22,T23,T24)</f>
        <v/>
      </c>
      <c r="U26" s="379">
        <f>SUM(U10,U16,U20,U21,U22,U23,U24)</f>
        <v/>
      </c>
      <c r="V26" s="379">
        <f>SUM(V10,V16,V20,V21,V22,V23,V24)</f>
        <v/>
      </c>
      <c r="W26" s="379">
        <f>SUM(W10,W16,W20,W21,W22,W23,W24)</f>
        <v/>
      </c>
      <c r="X26" s="379">
        <f>SUM(T26:W26)</f>
        <v/>
      </c>
      <c r="Y26" s="379">
        <f>SUM(Y10,Y16,Y20,Y21,Y22,Y23,Y24)</f>
        <v/>
      </c>
      <c r="Z26" s="379">
        <f>SUM(Z10,Z16,Z20,Z21,Z22,Z23,Z24)</f>
        <v/>
      </c>
      <c r="AA26" s="379">
        <f>SUM(AA10,AA16,AA20,AA21,AA22,AA23,AA24)</f>
        <v/>
      </c>
      <c r="AB26" s="379">
        <f>SUM(AB10,AB16,AB20,AB21,AB22,AB23,AB24)</f>
        <v/>
      </c>
      <c r="AC26" s="379">
        <f>SUM(Y26:AB26)</f>
        <v/>
      </c>
      <c r="AD26" s="379">
        <f>SUM(AD10,AD16,AD20,AD21,AD22,AD23,AD24)</f>
        <v/>
      </c>
      <c r="AE26" s="379">
        <f>SUM(AE10,AE16,AE20,AE21,AE22,AE23,AE24)</f>
        <v/>
      </c>
      <c r="AF26" s="379">
        <f>SUM(AF10,AF16,AF20,AF21,AF22,AF23,AF24)</f>
        <v/>
      </c>
      <c r="AG26" s="379">
        <f>SUM(AG10,AG16,AG20,AG21,AG22,AG23,AG24)</f>
        <v/>
      </c>
      <c r="AH26" s="379">
        <f>SUM(AD26:AG26)</f>
        <v/>
      </c>
      <c r="AI26" s="379">
        <f>SUM(AI10,AI16,AI20,AI21,AI22,AI23,AI24)</f>
        <v/>
      </c>
      <c r="AJ26" s="379">
        <f>SUM(AJ10,AJ16,AJ20,AJ21,AJ22,AJ23,AJ24)</f>
        <v/>
      </c>
      <c r="AK26" s="379">
        <f>SUM(AK10,AK16,AK20,AK21,AK22,AK23,AK24)</f>
        <v/>
      </c>
      <c r="AL26" s="379">
        <f>SUM(AL10,AL16,AL20,AL21,AL22,AL23,AL24)</f>
        <v/>
      </c>
      <c r="AM26" s="379">
        <f>SUM(AI26:AL26)</f>
        <v/>
      </c>
      <c r="AN26" s="379">
        <f>SUM(AN10,AN16,AN20,AN21,AN22,AN23,AN24)</f>
        <v/>
      </c>
      <c r="AO26" s="379">
        <f>SUM(AO10,AO16,AO20,AO21,AO22,AO23,AO24)</f>
        <v/>
      </c>
      <c r="AP26" s="379">
        <f>SUM(AP10,AP16,AP20,AP21,AP22,AP23,AP24)</f>
        <v/>
      </c>
      <c r="AQ26" s="379">
        <f>SUM(AQ10,AQ16,AQ20,AQ21,AQ22,AQ23,AQ24)</f>
        <v/>
      </c>
      <c r="AR26" s="379">
        <f>SUM(AN26:AQ26)</f>
        <v/>
      </c>
    </row>
    <row r="27" ht="4.5" customHeight="1" s="290"/>
    <row r="28" ht="3" customHeight="1" s="290">
      <c r="A28" s="293" t="n"/>
    </row>
    <row r="29" ht="4.5" customHeight="1" s="290"/>
    <row r="30" ht="15.75" customHeight="1" s="290">
      <c r="A30" s="338" t="inlineStr">
        <is>
          <t xml:space="preserve">  SECTION B — VARIABLE OPERATING EXPENSES  (Driver-Based: scales with activity)</t>
        </is>
      </c>
    </row>
    <row r="31" ht="3.75" customHeight="1" s="290"/>
    <row r="32" ht="12.75" customHeight="1" s="290">
      <c r="A32" s="348" t="inlineStr">
        <is>
          <t xml:space="preserve">  Variable costs scale directly with activity drivers: deal counts, EPE headcount, and GCI. Each cost = rate × driver. Rates from Tab 03; drivers from Tabs 04 and 05.</t>
        </is>
      </c>
    </row>
    <row r="33" ht="3.75" customHeight="1" s="290"/>
    <row r="34" ht="15" customHeight="1" s="290">
      <c r="A34" s="307" t="inlineStr">
        <is>
          <t xml:space="preserve">    B1 — IS Deal Marketing</t>
        </is>
      </c>
    </row>
    <row r="35" ht="3" customHeight="1" s="290"/>
    <row r="36" ht="13.5" customHeight="1" s="290">
      <c r="A36" s="345" t="n"/>
      <c r="B36" s="370" t="inlineStr">
        <is>
          <t xml:space="preserve">  Total IS Deal Count</t>
        </is>
      </c>
      <c r="C36" s="371" t="inlineStr">
        <is>
          <t>#/qtr</t>
        </is>
      </c>
      <c r="D36" s="394" t="inlineStr">
        <is>
          <t>← Tab 05 row 76 (Total IS Deal Count)</t>
        </is>
      </c>
      <c r="E36" s="361">
        <f>'05 Revenue Engine'!E76</f>
        <v/>
      </c>
      <c r="F36" s="361">
        <f>'05 Revenue Engine'!F76</f>
        <v/>
      </c>
      <c r="G36" s="361">
        <f>'05 Revenue Engine'!G76</f>
        <v/>
      </c>
      <c r="H36" s="361">
        <f>'05 Revenue Engine'!H76</f>
        <v/>
      </c>
      <c r="I36" s="361">
        <f>SUM(E36:H36)</f>
        <v/>
      </c>
      <c r="J36" s="361">
        <f>'05 Revenue Engine'!J76</f>
        <v/>
      </c>
      <c r="K36" s="361">
        <f>'05 Revenue Engine'!K76</f>
        <v/>
      </c>
      <c r="L36" s="361">
        <f>'05 Revenue Engine'!L76</f>
        <v/>
      </c>
      <c r="M36" s="361">
        <f>'05 Revenue Engine'!M76</f>
        <v/>
      </c>
      <c r="N36" s="361">
        <f>SUM(J36:M36)</f>
        <v/>
      </c>
      <c r="O36" s="361">
        <f>'05 Revenue Engine'!O76</f>
        <v/>
      </c>
      <c r="P36" s="361">
        <f>'05 Revenue Engine'!P76</f>
        <v/>
      </c>
      <c r="Q36" s="361">
        <f>'05 Revenue Engine'!Q76</f>
        <v/>
      </c>
      <c r="R36" s="361">
        <f>'05 Revenue Engine'!R76</f>
        <v/>
      </c>
      <c r="S36" s="361">
        <f>SUM(O36:R36)</f>
        <v/>
      </c>
      <c r="T36" s="361">
        <f>'05 Revenue Engine'!T76</f>
        <v/>
      </c>
      <c r="U36" s="361">
        <f>'05 Revenue Engine'!U76</f>
        <v/>
      </c>
      <c r="V36" s="361">
        <f>'05 Revenue Engine'!V76</f>
        <v/>
      </c>
      <c r="W36" s="361">
        <f>'05 Revenue Engine'!W76</f>
        <v/>
      </c>
      <c r="X36" s="361">
        <f>SUM(T36:W36)</f>
        <v/>
      </c>
      <c r="Y36" s="361">
        <f>'05 Revenue Engine'!Y76</f>
        <v/>
      </c>
      <c r="Z36" s="361">
        <f>'05 Revenue Engine'!Z76</f>
        <v/>
      </c>
      <c r="AA36" s="361">
        <f>'05 Revenue Engine'!AA76</f>
        <v/>
      </c>
      <c r="AB36" s="361">
        <f>'05 Revenue Engine'!AB76</f>
        <v/>
      </c>
      <c r="AC36" s="361">
        <f>SUM(Y36:AB36)</f>
        <v/>
      </c>
      <c r="AD36" s="361">
        <f>'05 Revenue Engine'!AD76</f>
        <v/>
      </c>
      <c r="AE36" s="361">
        <f>'05 Revenue Engine'!AE76</f>
        <v/>
      </c>
      <c r="AF36" s="361">
        <f>'05 Revenue Engine'!AF76</f>
        <v/>
      </c>
      <c r="AG36" s="361">
        <f>'05 Revenue Engine'!AG76</f>
        <v/>
      </c>
      <c r="AH36" s="361">
        <f>SUM(AD36:AG36)</f>
        <v/>
      </c>
      <c r="AI36" s="361">
        <f>'05 Revenue Engine'!AI76</f>
        <v/>
      </c>
      <c r="AJ36" s="361">
        <f>'05 Revenue Engine'!AJ76</f>
        <v/>
      </c>
      <c r="AK36" s="361">
        <f>'05 Revenue Engine'!AK76</f>
        <v/>
      </c>
      <c r="AL36" s="361">
        <f>'05 Revenue Engine'!AL76</f>
        <v/>
      </c>
      <c r="AM36" s="361">
        <f>SUM(AI36:AL36)</f>
        <v/>
      </c>
      <c r="AN36" s="361">
        <f>'05 Revenue Engine'!AN76</f>
        <v/>
      </c>
      <c r="AO36" s="361">
        <f>'05 Revenue Engine'!AO76</f>
        <v/>
      </c>
      <c r="AP36" s="361">
        <f>'05 Revenue Engine'!AP76</f>
        <v/>
      </c>
      <c r="AQ36" s="361">
        <f>'05 Revenue Engine'!AQ76</f>
        <v/>
      </c>
      <c r="AR36" s="361">
        <f>SUM(AN36:AQ36)</f>
        <v/>
      </c>
    </row>
    <row r="37" ht="13.5" customHeight="1" s="290">
      <c r="A37" s="345" t="n"/>
      <c r="B37" s="370" t="inlineStr">
        <is>
          <t xml:space="preserve">  Deal Marketing Cost per IS Deal</t>
        </is>
      </c>
      <c r="C37" s="371" t="inlineStr">
        <is>
          <t>$K/deal</t>
        </is>
      </c>
      <c r="D37" s="394" t="inlineStr">
        <is>
          <t>← Tab 03 row 308 quarterly cols</t>
        </is>
      </c>
      <c r="E37" s="361">
        <f>'03 Operational Assumptions'!E308</f>
        <v/>
      </c>
      <c r="F37" s="361">
        <f>'03 Operational Assumptions'!F308</f>
        <v/>
      </c>
      <c r="G37" s="361">
        <f>'03 Operational Assumptions'!G308</f>
        <v/>
      </c>
      <c r="H37" s="361">
        <f>'03 Operational Assumptions'!H308</f>
        <v/>
      </c>
      <c r="I37" s="361">
        <f>'03 Operational Assumptions'!I308/4</f>
        <v/>
      </c>
      <c r="J37" s="361">
        <f>'03 Operational Assumptions'!J308</f>
        <v/>
      </c>
      <c r="K37" s="361">
        <f>'03 Operational Assumptions'!K308</f>
        <v/>
      </c>
      <c r="L37" s="361">
        <f>'03 Operational Assumptions'!L308</f>
        <v/>
      </c>
      <c r="M37" s="361">
        <f>'03 Operational Assumptions'!M308</f>
        <v/>
      </c>
      <c r="N37" s="361">
        <f>'03 Operational Assumptions'!N308/4</f>
        <v/>
      </c>
      <c r="O37" s="361">
        <f>'03 Operational Assumptions'!O308</f>
        <v/>
      </c>
      <c r="P37" s="361">
        <f>'03 Operational Assumptions'!P308</f>
        <v/>
      </c>
      <c r="Q37" s="361">
        <f>'03 Operational Assumptions'!Q308</f>
        <v/>
      </c>
      <c r="R37" s="361">
        <f>'03 Operational Assumptions'!R308</f>
        <v/>
      </c>
      <c r="S37" s="361">
        <f>'03 Operational Assumptions'!S308/4</f>
        <v/>
      </c>
      <c r="T37" s="361">
        <f>'03 Operational Assumptions'!T308</f>
        <v/>
      </c>
      <c r="U37" s="361">
        <f>'03 Operational Assumptions'!U308</f>
        <v/>
      </c>
      <c r="V37" s="361">
        <f>'03 Operational Assumptions'!V308</f>
        <v/>
      </c>
      <c r="W37" s="361">
        <f>'03 Operational Assumptions'!W308</f>
        <v/>
      </c>
      <c r="X37" s="361">
        <f>'03 Operational Assumptions'!X308/4</f>
        <v/>
      </c>
      <c r="Y37" s="361">
        <f>'03 Operational Assumptions'!Y308</f>
        <v/>
      </c>
      <c r="Z37" s="361">
        <f>'03 Operational Assumptions'!Z308</f>
        <v/>
      </c>
      <c r="AA37" s="361">
        <f>'03 Operational Assumptions'!AA308</f>
        <v/>
      </c>
      <c r="AB37" s="361">
        <f>'03 Operational Assumptions'!AB308</f>
        <v/>
      </c>
      <c r="AC37" s="361">
        <f>'03 Operational Assumptions'!AC308/4</f>
        <v/>
      </c>
      <c r="AD37" s="361">
        <f>'03 Operational Assumptions'!AD308</f>
        <v/>
      </c>
      <c r="AE37" s="361">
        <f>'03 Operational Assumptions'!AE308</f>
        <v/>
      </c>
      <c r="AF37" s="361">
        <f>'03 Operational Assumptions'!AF308</f>
        <v/>
      </c>
      <c r="AG37" s="361">
        <f>'03 Operational Assumptions'!AG308</f>
        <v/>
      </c>
      <c r="AH37" s="361">
        <f>'03 Operational Assumptions'!AH308/4</f>
        <v/>
      </c>
      <c r="AI37" s="361">
        <f>'03 Operational Assumptions'!AI308</f>
        <v/>
      </c>
      <c r="AJ37" s="361">
        <f>'03 Operational Assumptions'!AJ308</f>
        <v/>
      </c>
      <c r="AK37" s="361">
        <f>'03 Operational Assumptions'!AK308</f>
        <v/>
      </c>
      <c r="AL37" s="361">
        <f>'03 Operational Assumptions'!AL308</f>
        <v/>
      </c>
      <c r="AM37" s="361">
        <f>'03 Operational Assumptions'!AM308/4</f>
        <v/>
      </c>
      <c r="AN37" s="361">
        <f>'03 Operational Assumptions'!AN308</f>
        <v/>
      </c>
      <c r="AO37" s="361">
        <f>'03 Operational Assumptions'!AO308</f>
        <v/>
      </c>
      <c r="AP37" s="361">
        <f>'03 Operational Assumptions'!AP308</f>
        <v/>
      </c>
      <c r="AQ37" s="361">
        <f>'03 Operational Assumptions'!AQ308</f>
        <v/>
      </c>
      <c r="AR37" s="361">
        <f>'03 Operational Assumptions'!AR308/4</f>
        <v/>
      </c>
    </row>
    <row r="38" ht="13.5" customHeight="1" s="290">
      <c r="A38" s="395" t="n"/>
      <c r="B38" s="373" t="inlineStr">
        <is>
          <t xml:space="preserve">  IS Deal Marketing Cost</t>
        </is>
      </c>
      <c r="C38" s="374" t="inlineStr">
        <is>
          <t>$K/qtr</t>
        </is>
      </c>
      <c r="D38" s="396" t="inlineStr">
        <is>
          <t xml:space="preserve"> is deals × Cost per Deal</t>
        </is>
      </c>
      <c r="E38" s="376">
        <f>E36*E37</f>
        <v/>
      </c>
      <c r="F38" s="376">
        <f>F36*F37</f>
        <v/>
      </c>
      <c r="G38" s="376">
        <f>G36*G37</f>
        <v/>
      </c>
      <c r="H38" s="376">
        <f>H36*H37</f>
        <v/>
      </c>
      <c r="I38" s="344">
        <f>SUM(E38:H38)</f>
        <v/>
      </c>
      <c r="J38" s="376">
        <f>J36*J37</f>
        <v/>
      </c>
      <c r="K38" s="376">
        <f>K36*K37</f>
        <v/>
      </c>
      <c r="L38" s="376">
        <f>L36*L37</f>
        <v/>
      </c>
      <c r="M38" s="376">
        <f>M36*M37</f>
        <v/>
      </c>
      <c r="N38" s="344">
        <f>SUM(J38:M38)</f>
        <v/>
      </c>
      <c r="O38" s="376">
        <f>O36*O37</f>
        <v/>
      </c>
      <c r="P38" s="376">
        <f>P36*P37</f>
        <v/>
      </c>
      <c r="Q38" s="376">
        <f>Q36*Q37</f>
        <v/>
      </c>
      <c r="R38" s="376">
        <f>R36*R37</f>
        <v/>
      </c>
      <c r="S38" s="344">
        <f>SUM(O38:R38)</f>
        <v/>
      </c>
      <c r="T38" s="376">
        <f>T36*T37</f>
        <v/>
      </c>
      <c r="U38" s="376">
        <f>U36*U37</f>
        <v/>
      </c>
      <c r="V38" s="376">
        <f>V36*V37</f>
        <v/>
      </c>
      <c r="W38" s="376">
        <f>W36*W37</f>
        <v/>
      </c>
      <c r="X38" s="344">
        <f>SUM(T38:W38)</f>
        <v/>
      </c>
      <c r="Y38" s="376">
        <f>Y36*Y37</f>
        <v/>
      </c>
      <c r="Z38" s="376">
        <f>Z36*Z37</f>
        <v/>
      </c>
      <c r="AA38" s="376">
        <f>AA36*AA37</f>
        <v/>
      </c>
      <c r="AB38" s="376">
        <f>AB36*AB37</f>
        <v/>
      </c>
      <c r="AC38" s="344">
        <f>SUM(Y38:AB38)</f>
        <v/>
      </c>
      <c r="AD38" s="376">
        <f>AD36*AD37</f>
        <v/>
      </c>
      <c r="AE38" s="376">
        <f>AE36*AE37</f>
        <v/>
      </c>
      <c r="AF38" s="376">
        <f>AF36*AF37</f>
        <v/>
      </c>
      <c r="AG38" s="376">
        <f>AG36*AG37</f>
        <v/>
      </c>
      <c r="AH38" s="344">
        <f>SUM(AD38:AG38)</f>
        <v/>
      </c>
      <c r="AI38" s="376">
        <f>AI36*AI37</f>
        <v/>
      </c>
      <c r="AJ38" s="376">
        <f>AJ36*AJ37</f>
        <v/>
      </c>
      <c r="AK38" s="376">
        <f>AK36*AK37</f>
        <v/>
      </c>
      <c r="AL38" s="376">
        <f>AL36*AL37</f>
        <v/>
      </c>
      <c r="AM38" s="344">
        <f>SUM(AI38:AL38)</f>
        <v/>
      </c>
      <c r="AN38" s="376">
        <f>AN36*AN37</f>
        <v/>
      </c>
      <c r="AO38" s="376">
        <f>AO36*AO37</f>
        <v/>
      </c>
      <c r="AP38" s="376">
        <f>AP36*AP37</f>
        <v/>
      </c>
      <c r="AQ38" s="376">
        <f>AQ36*AQ37</f>
        <v/>
      </c>
      <c r="AR38" s="344">
        <f>SUM(AN38:AQ38)</f>
        <v/>
      </c>
    </row>
    <row r="39" ht="3" customHeight="1" s="290"/>
    <row r="40" ht="15" customHeight="1" s="290">
      <c r="A40" s="307" t="inlineStr">
        <is>
          <t xml:space="preserve">    B2 — Leasing Listing Costs</t>
        </is>
      </c>
    </row>
    <row r="41" ht="3" customHeight="1" s="290"/>
    <row r="42" ht="13.5" customHeight="1" s="290">
      <c r="A42" s="345" t="n"/>
      <c r="B42" s="370" t="inlineStr">
        <is>
          <t xml:space="preserve">  Total Leasing Deal Count</t>
        </is>
      </c>
      <c r="C42" s="371" t="inlineStr">
        <is>
          <t>#/qtr</t>
        </is>
      </c>
      <c r="D42" s="394" t="inlineStr">
        <is>
          <t>← Tab 05 row 28 (Total Leasing Deals)</t>
        </is>
      </c>
      <c r="E42" s="361">
        <f>'05 Revenue Engine'!E28</f>
        <v/>
      </c>
      <c r="F42" s="361">
        <f>'05 Revenue Engine'!F28</f>
        <v/>
      </c>
      <c r="G42" s="361">
        <f>'05 Revenue Engine'!G28</f>
        <v/>
      </c>
      <c r="H42" s="361">
        <f>'05 Revenue Engine'!H28</f>
        <v/>
      </c>
      <c r="I42" s="361">
        <f>SUM(E42:H42)</f>
        <v/>
      </c>
      <c r="J42" s="361">
        <f>'05 Revenue Engine'!J28</f>
        <v/>
      </c>
      <c r="K42" s="361">
        <f>'05 Revenue Engine'!K28</f>
        <v/>
      </c>
      <c r="L42" s="361">
        <f>'05 Revenue Engine'!L28</f>
        <v/>
      </c>
      <c r="M42" s="361">
        <f>'05 Revenue Engine'!M28</f>
        <v/>
      </c>
      <c r="N42" s="361">
        <f>SUM(J42:M42)</f>
        <v/>
      </c>
      <c r="O42" s="361">
        <f>'05 Revenue Engine'!O28</f>
        <v/>
      </c>
      <c r="P42" s="361">
        <f>'05 Revenue Engine'!P28</f>
        <v/>
      </c>
      <c r="Q42" s="361">
        <f>'05 Revenue Engine'!Q28</f>
        <v/>
      </c>
      <c r="R42" s="361">
        <f>'05 Revenue Engine'!R28</f>
        <v/>
      </c>
      <c r="S42" s="361">
        <f>SUM(O42:R42)</f>
        <v/>
      </c>
      <c r="T42" s="361">
        <f>'05 Revenue Engine'!T28</f>
        <v/>
      </c>
      <c r="U42" s="361">
        <f>'05 Revenue Engine'!U28</f>
        <v/>
      </c>
      <c r="V42" s="361">
        <f>'05 Revenue Engine'!V28</f>
        <v/>
      </c>
      <c r="W42" s="361">
        <f>'05 Revenue Engine'!W28</f>
        <v/>
      </c>
      <c r="X42" s="361">
        <f>SUM(T42:W42)</f>
        <v/>
      </c>
      <c r="Y42" s="361">
        <f>'05 Revenue Engine'!Y28</f>
        <v/>
      </c>
      <c r="Z42" s="361">
        <f>'05 Revenue Engine'!Z28</f>
        <v/>
      </c>
      <c r="AA42" s="361">
        <f>'05 Revenue Engine'!AA28</f>
        <v/>
      </c>
      <c r="AB42" s="361">
        <f>'05 Revenue Engine'!AB28</f>
        <v/>
      </c>
      <c r="AC42" s="361">
        <f>SUM(Y42:AB42)</f>
        <v/>
      </c>
      <c r="AD42" s="361">
        <f>'05 Revenue Engine'!AD28</f>
        <v/>
      </c>
      <c r="AE42" s="361">
        <f>'05 Revenue Engine'!AE28</f>
        <v/>
      </c>
      <c r="AF42" s="361">
        <f>'05 Revenue Engine'!AF28</f>
        <v/>
      </c>
      <c r="AG42" s="361">
        <f>'05 Revenue Engine'!AG28</f>
        <v/>
      </c>
      <c r="AH42" s="361">
        <f>SUM(AD42:AG42)</f>
        <v/>
      </c>
      <c r="AI42" s="361">
        <f>'05 Revenue Engine'!AI28</f>
        <v/>
      </c>
      <c r="AJ42" s="361">
        <f>'05 Revenue Engine'!AJ28</f>
        <v/>
      </c>
      <c r="AK42" s="361">
        <f>'05 Revenue Engine'!AK28</f>
        <v/>
      </c>
      <c r="AL42" s="361">
        <f>'05 Revenue Engine'!AL28</f>
        <v/>
      </c>
      <c r="AM42" s="361">
        <f>SUM(AI42:AL42)</f>
        <v/>
      </c>
      <c r="AN42" s="361">
        <f>'05 Revenue Engine'!AN28</f>
        <v/>
      </c>
      <c r="AO42" s="361">
        <f>'05 Revenue Engine'!AO28</f>
        <v/>
      </c>
      <c r="AP42" s="361">
        <f>'05 Revenue Engine'!AP28</f>
        <v/>
      </c>
      <c r="AQ42" s="361">
        <f>'05 Revenue Engine'!AQ28</f>
        <v/>
      </c>
      <c r="AR42" s="361">
        <f>SUM(AN42:AQ42)</f>
        <v/>
      </c>
    </row>
    <row r="43" ht="13.5" customHeight="1" s="290">
      <c r="A43" s="345" t="n"/>
      <c r="B43" s="370" t="inlineStr">
        <is>
          <t xml:space="preserve">  Listing Cost per Leasing Deal</t>
        </is>
      </c>
      <c r="C43" s="371" t="inlineStr">
        <is>
          <t>$K/deal</t>
        </is>
      </c>
      <c r="D43" s="394" t="inlineStr">
        <is>
          <t>← Tab 03 row 309 quarterly cols</t>
        </is>
      </c>
      <c r="E43" s="361">
        <f>'03 Operational Assumptions'!E309</f>
        <v/>
      </c>
      <c r="F43" s="361">
        <f>'03 Operational Assumptions'!F309</f>
        <v/>
      </c>
      <c r="G43" s="361">
        <f>'03 Operational Assumptions'!G309</f>
        <v/>
      </c>
      <c r="H43" s="361">
        <f>'03 Operational Assumptions'!H309</f>
        <v/>
      </c>
      <c r="I43" s="361">
        <f>'03 Operational Assumptions'!I309/4</f>
        <v/>
      </c>
      <c r="J43" s="361">
        <f>'03 Operational Assumptions'!J309</f>
        <v/>
      </c>
      <c r="K43" s="361">
        <f>'03 Operational Assumptions'!K309</f>
        <v/>
      </c>
      <c r="L43" s="361">
        <f>'03 Operational Assumptions'!L309</f>
        <v/>
      </c>
      <c r="M43" s="361">
        <f>'03 Operational Assumptions'!M309</f>
        <v/>
      </c>
      <c r="N43" s="361">
        <f>'03 Operational Assumptions'!N309/4</f>
        <v/>
      </c>
      <c r="O43" s="361">
        <f>'03 Operational Assumptions'!O309</f>
        <v/>
      </c>
      <c r="P43" s="361">
        <f>'03 Operational Assumptions'!P309</f>
        <v/>
      </c>
      <c r="Q43" s="361">
        <f>'03 Operational Assumptions'!Q309</f>
        <v/>
      </c>
      <c r="R43" s="361">
        <f>'03 Operational Assumptions'!R309</f>
        <v/>
      </c>
      <c r="S43" s="361">
        <f>'03 Operational Assumptions'!S309/4</f>
        <v/>
      </c>
      <c r="T43" s="361">
        <f>'03 Operational Assumptions'!T309</f>
        <v/>
      </c>
      <c r="U43" s="361">
        <f>'03 Operational Assumptions'!U309</f>
        <v/>
      </c>
      <c r="V43" s="361">
        <f>'03 Operational Assumptions'!V309</f>
        <v/>
      </c>
      <c r="W43" s="361">
        <f>'03 Operational Assumptions'!W309</f>
        <v/>
      </c>
      <c r="X43" s="361">
        <f>'03 Operational Assumptions'!X309/4</f>
        <v/>
      </c>
      <c r="Y43" s="361">
        <f>'03 Operational Assumptions'!Y309</f>
        <v/>
      </c>
      <c r="Z43" s="361">
        <f>'03 Operational Assumptions'!Z309</f>
        <v/>
      </c>
      <c r="AA43" s="361">
        <f>'03 Operational Assumptions'!AA309</f>
        <v/>
      </c>
      <c r="AB43" s="361">
        <f>'03 Operational Assumptions'!AB309</f>
        <v/>
      </c>
      <c r="AC43" s="361">
        <f>'03 Operational Assumptions'!AC309/4</f>
        <v/>
      </c>
      <c r="AD43" s="361">
        <f>'03 Operational Assumptions'!AD309</f>
        <v/>
      </c>
      <c r="AE43" s="361">
        <f>'03 Operational Assumptions'!AE309</f>
        <v/>
      </c>
      <c r="AF43" s="361">
        <f>'03 Operational Assumptions'!AF309</f>
        <v/>
      </c>
      <c r="AG43" s="361">
        <f>'03 Operational Assumptions'!AG309</f>
        <v/>
      </c>
      <c r="AH43" s="361">
        <f>'03 Operational Assumptions'!AH309/4</f>
        <v/>
      </c>
      <c r="AI43" s="361">
        <f>'03 Operational Assumptions'!AI309</f>
        <v/>
      </c>
      <c r="AJ43" s="361">
        <f>'03 Operational Assumptions'!AJ309</f>
        <v/>
      </c>
      <c r="AK43" s="361">
        <f>'03 Operational Assumptions'!AK309</f>
        <v/>
      </c>
      <c r="AL43" s="361">
        <f>'03 Operational Assumptions'!AL309</f>
        <v/>
      </c>
      <c r="AM43" s="361">
        <f>'03 Operational Assumptions'!AM309/4</f>
        <v/>
      </c>
      <c r="AN43" s="361">
        <f>'03 Operational Assumptions'!AN309</f>
        <v/>
      </c>
      <c r="AO43" s="361">
        <f>'03 Operational Assumptions'!AO309</f>
        <v/>
      </c>
      <c r="AP43" s="361">
        <f>'03 Operational Assumptions'!AP309</f>
        <v/>
      </c>
      <c r="AQ43" s="361">
        <f>'03 Operational Assumptions'!AQ309</f>
        <v/>
      </c>
      <c r="AR43" s="361">
        <f>'03 Operational Assumptions'!AR309/4</f>
        <v/>
      </c>
    </row>
    <row r="44" ht="13.5" customHeight="1" s="290">
      <c r="A44" s="395" t="n"/>
      <c r="B44" s="373" t="inlineStr">
        <is>
          <t xml:space="preserve">  Leasing Listing Cost</t>
        </is>
      </c>
      <c r="C44" s="374" t="inlineStr">
        <is>
          <t>$K/qtr</t>
        </is>
      </c>
      <c r="D44" s="396" t="inlineStr">
        <is>
          <t xml:space="preserve"> leasing deals × Listing Cost per Deal</t>
        </is>
      </c>
      <c r="E44" s="376">
        <f>E42*E43</f>
        <v/>
      </c>
      <c r="F44" s="376">
        <f>F42*F43</f>
        <v/>
      </c>
      <c r="G44" s="376">
        <f>G42*G43</f>
        <v/>
      </c>
      <c r="H44" s="376">
        <f>H42*H43</f>
        <v/>
      </c>
      <c r="I44" s="344">
        <f>SUM(E44:H44)</f>
        <v/>
      </c>
      <c r="J44" s="376">
        <f>J42*J43</f>
        <v/>
      </c>
      <c r="K44" s="376">
        <f>K42*K43</f>
        <v/>
      </c>
      <c r="L44" s="376">
        <f>L42*L43</f>
        <v/>
      </c>
      <c r="M44" s="376">
        <f>M42*M43</f>
        <v/>
      </c>
      <c r="N44" s="344">
        <f>SUM(J44:M44)</f>
        <v/>
      </c>
      <c r="O44" s="376">
        <f>O42*O43</f>
        <v/>
      </c>
      <c r="P44" s="376">
        <f>P42*P43</f>
        <v/>
      </c>
      <c r="Q44" s="376">
        <f>Q42*Q43</f>
        <v/>
      </c>
      <c r="R44" s="376">
        <f>R42*R43</f>
        <v/>
      </c>
      <c r="S44" s="344">
        <f>SUM(O44:R44)</f>
        <v/>
      </c>
      <c r="T44" s="376">
        <f>T42*T43</f>
        <v/>
      </c>
      <c r="U44" s="376">
        <f>U42*U43</f>
        <v/>
      </c>
      <c r="V44" s="376">
        <f>V42*V43</f>
        <v/>
      </c>
      <c r="W44" s="376">
        <f>W42*W43</f>
        <v/>
      </c>
      <c r="X44" s="344">
        <f>SUM(T44:W44)</f>
        <v/>
      </c>
      <c r="Y44" s="376">
        <f>Y42*Y43</f>
        <v/>
      </c>
      <c r="Z44" s="376">
        <f>Z42*Z43</f>
        <v/>
      </c>
      <c r="AA44" s="376">
        <f>AA42*AA43</f>
        <v/>
      </c>
      <c r="AB44" s="376">
        <f>AB42*AB43</f>
        <v/>
      </c>
      <c r="AC44" s="344">
        <f>SUM(Y44:AB44)</f>
        <v/>
      </c>
      <c r="AD44" s="376">
        <f>AD42*AD43</f>
        <v/>
      </c>
      <c r="AE44" s="376">
        <f>AE42*AE43</f>
        <v/>
      </c>
      <c r="AF44" s="376">
        <f>AF42*AF43</f>
        <v/>
      </c>
      <c r="AG44" s="376">
        <f>AG42*AG43</f>
        <v/>
      </c>
      <c r="AH44" s="344">
        <f>SUM(AD44:AG44)</f>
        <v/>
      </c>
      <c r="AI44" s="376">
        <f>AI42*AI43</f>
        <v/>
      </c>
      <c r="AJ44" s="376">
        <f>AJ42*AJ43</f>
        <v/>
      </c>
      <c r="AK44" s="376">
        <f>AK42*AK43</f>
        <v/>
      </c>
      <c r="AL44" s="376">
        <f>AL42*AL43</f>
        <v/>
      </c>
      <c r="AM44" s="344">
        <f>SUM(AI44:AL44)</f>
        <v/>
      </c>
      <c r="AN44" s="376">
        <f>AN42*AN43</f>
        <v/>
      </c>
      <c r="AO44" s="376">
        <f>AO42*AO43</f>
        <v/>
      </c>
      <c r="AP44" s="376">
        <f>AP42*AP43</f>
        <v/>
      </c>
      <c r="AQ44" s="376">
        <f>AQ42*AQ43</f>
        <v/>
      </c>
      <c r="AR44" s="344">
        <f>SUM(AN44:AQ44)</f>
        <v/>
      </c>
    </row>
    <row r="45" ht="3" customHeight="1" s="290"/>
    <row r="46" ht="15" customHeight="1" s="290">
      <c r="A46" s="307" t="inlineStr">
        <is>
          <t xml:space="preserve">    B3 — Travel &amp; Entertainment</t>
        </is>
      </c>
    </row>
    <row r="47" ht="3" customHeight="1" s="290"/>
    <row r="48" ht="12.75" customHeight="1" s="290">
      <c r="A48" s="348" t="inlineStr">
        <is>
          <t xml:space="preserve">  Producing EPEs = Leasing + IS + D&amp;E EPEs (excludes Advisory — salaried, T&amp;E captured in Advisory comp). Source: Tab 04 consolidated summary rows 209+210+211.</t>
        </is>
      </c>
    </row>
    <row r="49" ht="3" customHeight="1" s="290"/>
    <row r="50" ht="13.5" customHeight="1" s="290">
      <c r="A50" s="345" t="n"/>
      <c r="B50" s="370" t="inlineStr">
        <is>
          <t xml:space="preserve">  Producing EPEs — Transactional Lines (Lea + IS + D&amp;E)</t>
        </is>
      </c>
      <c r="C50" s="371" t="inlineStr">
        <is>
          <t>EPE</t>
        </is>
      </c>
      <c r="D50" s="394" t="inlineStr">
        <is>
          <t xml:space="preserve"> tab 4 rows 209+210+211 (leasing+is+d&amp;e epe consolidated)</t>
        </is>
      </c>
      <c r="E50" s="361">
        <f>'04 Producer Engine'!E209+'04 Producer Engine'!E210+'04 Producer Engine'!E211</f>
        <v/>
      </c>
      <c r="F50" s="361">
        <f>'04 Producer Engine'!F209+'04 Producer Engine'!F210+'04 Producer Engine'!F211</f>
        <v/>
      </c>
      <c r="G50" s="361">
        <f>'04 Producer Engine'!G209+'04 Producer Engine'!G210+'04 Producer Engine'!G211</f>
        <v/>
      </c>
      <c r="H50" s="361">
        <f>'04 Producer Engine'!H209+'04 Producer Engine'!H210+'04 Producer Engine'!H211</f>
        <v/>
      </c>
      <c r="I50" s="405">
        <f>AVERAGE(E50:H50)</f>
        <v/>
      </c>
      <c r="J50" s="361">
        <f>'04 Producer Engine'!J209+'04 Producer Engine'!J210+'04 Producer Engine'!J211</f>
        <v/>
      </c>
      <c r="K50" s="361">
        <f>'04 Producer Engine'!K209+'04 Producer Engine'!K210+'04 Producer Engine'!K211</f>
        <v/>
      </c>
      <c r="L50" s="361">
        <f>'04 Producer Engine'!L209+'04 Producer Engine'!L210+'04 Producer Engine'!L211</f>
        <v/>
      </c>
      <c r="M50" s="361">
        <f>'04 Producer Engine'!M209+'04 Producer Engine'!M210+'04 Producer Engine'!M211</f>
        <v/>
      </c>
      <c r="N50" s="405">
        <f>AVERAGE(J50:M50)</f>
        <v/>
      </c>
      <c r="O50" s="361">
        <f>'04 Producer Engine'!O209+'04 Producer Engine'!O210+'04 Producer Engine'!O211</f>
        <v/>
      </c>
      <c r="P50" s="361">
        <f>'04 Producer Engine'!P209+'04 Producer Engine'!P210+'04 Producer Engine'!P211</f>
        <v/>
      </c>
      <c r="Q50" s="361">
        <f>'04 Producer Engine'!Q209+'04 Producer Engine'!Q210+'04 Producer Engine'!Q211</f>
        <v/>
      </c>
      <c r="R50" s="361">
        <f>'04 Producer Engine'!R209+'04 Producer Engine'!R210+'04 Producer Engine'!R211</f>
        <v/>
      </c>
      <c r="S50" s="405">
        <f>AVERAGE(O50:R50)</f>
        <v/>
      </c>
      <c r="T50" s="361">
        <f>'04 Producer Engine'!T209+'04 Producer Engine'!T210+'04 Producer Engine'!T211</f>
        <v/>
      </c>
      <c r="U50" s="361">
        <f>'04 Producer Engine'!U209+'04 Producer Engine'!U210+'04 Producer Engine'!U211</f>
        <v/>
      </c>
      <c r="V50" s="361">
        <f>'04 Producer Engine'!V209+'04 Producer Engine'!V210+'04 Producer Engine'!V211</f>
        <v/>
      </c>
      <c r="W50" s="361">
        <f>'04 Producer Engine'!W209+'04 Producer Engine'!W210+'04 Producer Engine'!W211</f>
        <v/>
      </c>
      <c r="X50" s="405">
        <f>AVERAGE(T50:W50)</f>
        <v/>
      </c>
      <c r="Y50" s="361">
        <f>'04 Producer Engine'!Y209+'04 Producer Engine'!Y210+'04 Producer Engine'!Y211</f>
        <v/>
      </c>
      <c r="Z50" s="361">
        <f>'04 Producer Engine'!Z209+'04 Producer Engine'!Z210+'04 Producer Engine'!Z211</f>
        <v/>
      </c>
      <c r="AA50" s="361">
        <f>'04 Producer Engine'!AA209+'04 Producer Engine'!AA210+'04 Producer Engine'!AA211</f>
        <v/>
      </c>
      <c r="AB50" s="361">
        <f>'04 Producer Engine'!AB209+'04 Producer Engine'!AB210+'04 Producer Engine'!AB211</f>
        <v/>
      </c>
      <c r="AC50" s="405">
        <f>AVERAGE(Y50:AB50)</f>
        <v/>
      </c>
      <c r="AD50" s="361">
        <f>'04 Producer Engine'!AD209+'04 Producer Engine'!AD210+'04 Producer Engine'!AD211</f>
        <v/>
      </c>
      <c r="AE50" s="361">
        <f>'04 Producer Engine'!AE209+'04 Producer Engine'!AE210+'04 Producer Engine'!AE211</f>
        <v/>
      </c>
      <c r="AF50" s="361">
        <f>'04 Producer Engine'!AF209+'04 Producer Engine'!AF210+'04 Producer Engine'!AF211</f>
        <v/>
      </c>
      <c r="AG50" s="361">
        <f>'04 Producer Engine'!AG209+'04 Producer Engine'!AG210+'04 Producer Engine'!AG211</f>
        <v/>
      </c>
      <c r="AH50" s="405">
        <f>AVERAGE(AD50:AG50)</f>
        <v/>
      </c>
      <c r="AI50" s="361">
        <f>'04 Producer Engine'!AI209+'04 Producer Engine'!AI210+'04 Producer Engine'!AI211</f>
        <v/>
      </c>
      <c r="AJ50" s="361">
        <f>'04 Producer Engine'!AJ209+'04 Producer Engine'!AJ210+'04 Producer Engine'!AJ211</f>
        <v/>
      </c>
      <c r="AK50" s="361">
        <f>'04 Producer Engine'!AK209+'04 Producer Engine'!AK210+'04 Producer Engine'!AK211</f>
        <v/>
      </c>
      <c r="AL50" s="361">
        <f>'04 Producer Engine'!AL209+'04 Producer Engine'!AL210+'04 Producer Engine'!AL211</f>
        <v/>
      </c>
      <c r="AM50" s="405">
        <f>AVERAGE(AI50:AL50)</f>
        <v/>
      </c>
      <c r="AN50" s="361">
        <f>'04 Producer Engine'!AN209+'04 Producer Engine'!AN210+'04 Producer Engine'!AN211</f>
        <v/>
      </c>
      <c r="AO50" s="361">
        <f>'04 Producer Engine'!AO209+'04 Producer Engine'!AO210+'04 Producer Engine'!AO211</f>
        <v/>
      </c>
      <c r="AP50" s="361">
        <f>'04 Producer Engine'!AP209+'04 Producer Engine'!AP210+'04 Producer Engine'!AP211</f>
        <v/>
      </c>
      <c r="AQ50" s="361">
        <f>'04 Producer Engine'!AQ209+'04 Producer Engine'!AQ210+'04 Producer Engine'!AQ211</f>
        <v/>
      </c>
      <c r="AR50" s="405">
        <f>AVERAGE(AN50:AQ50)</f>
        <v/>
      </c>
    </row>
    <row r="51" ht="13.5" customHeight="1" s="290">
      <c r="A51" s="345" t="n"/>
      <c r="B51" s="370" t="inlineStr">
        <is>
          <t xml:space="preserve">  T&amp;E per Producing EPE per Quarter</t>
        </is>
      </c>
      <c r="C51" s="371" t="inlineStr">
        <is>
          <t>$K/EPE/qtr</t>
        </is>
      </c>
      <c r="D51" s="394" t="inlineStr">
        <is>
          <t>← Tab 03 row 310 quarterly cols</t>
        </is>
      </c>
      <c r="E51" s="361">
        <f>'03 Operational Assumptions'!E310</f>
        <v/>
      </c>
      <c r="F51" s="361">
        <f>'03 Operational Assumptions'!F310</f>
        <v/>
      </c>
      <c r="G51" s="361">
        <f>'03 Operational Assumptions'!G310</f>
        <v/>
      </c>
      <c r="H51" s="361">
        <f>'03 Operational Assumptions'!H310</f>
        <v/>
      </c>
      <c r="I51" s="361">
        <f>'03 Operational Assumptions'!I310/4</f>
        <v/>
      </c>
      <c r="J51" s="361">
        <f>'03 Operational Assumptions'!J310</f>
        <v/>
      </c>
      <c r="K51" s="361">
        <f>'03 Operational Assumptions'!K310</f>
        <v/>
      </c>
      <c r="L51" s="361">
        <f>'03 Operational Assumptions'!L310</f>
        <v/>
      </c>
      <c r="M51" s="361">
        <f>'03 Operational Assumptions'!M310</f>
        <v/>
      </c>
      <c r="N51" s="361">
        <f>'03 Operational Assumptions'!N310/4</f>
        <v/>
      </c>
      <c r="O51" s="361">
        <f>'03 Operational Assumptions'!O310</f>
        <v/>
      </c>
      <c r="P51" s="361">
        <f>'03 Operational Assumptions'!P310</f>
        <v/>
      </c>
      <c r="Q51" s="361">
        <f>'03 Operational Assumptions'!Q310</f>
        <v/>
      </c>
      <c r="R51" s="361">
        <f>'03 Operational Assumptions'!R310</f>
        <v/>
      </c>
      <c r="S51" s="361">
        <f>'03 Operational Assumptions'!S310/4</f>
        <v/>
      </c>
      <c r="T51" s="361">
        <f>'03 Operational Assumptions'!T310</f>
        <v/>
      </c>
      <c r="U51" s="361">
        <f>'03 Operational Assumptions'!U310</f>
        <v/>
      </c>
      <c r="V51" s="361">
        <f>'03 Operational Assumptions'!V310</f>
        <v/>
      </c>
      <c r="W51" s="361">
        <f>'03 Operational Assumptions'!W310</f>
        <v/>
      </c>
      <c r="X51" s="361">
        <f>'03 Operational Assumptions'!X310/4</f>
        <v/>
      </c>
      <c r="Y51" s="361">
        <f>'03 Operational Assumptions'!Y310</f>
        <v/>
      </c>
      <c r="Z51" s="361">
        <f>'03 Operational Assumptions'!Z310</f>
        <v/>
      </c>
      <c r="AA51" s="361">
        <f>'03 Operational Assumptions'!AA310</f>
        <v/>
      </c>
      <c r="AB51" s="361">
        <f>'03 Operational Assumptions'!AB310</f>
        <v/>
      </c>
      <c r="AC51" s="361">
        <f>'03 Operational Assumptions'!AC310/4</f>
        <v/>
      </c>
      <c r="AD51" s="361">
        <f>'03 Operational Assumptions'!AD310</f>
        <v/>
      </c>
      <c r="AE51" s="361">
        <f>'03 Operational Assumptions'!AE310</f>
        <v/>
      </c>
      <c r="AF51" s="361">
        <f>'03 Operational Assumptions'!AF310</f>
        <v/>
      </c>
      <c r="AG51" s="361">
        <f>'03 Operational Assumptions'!AG310</f>
        <v/>
      </c>
      <c r="AH51" s="361">
        <f>'03 Operational Assumptions'!AH310/4</f>
        <v/>
      </c>
      <c r="AI51" s="361">
        <f>'03 Operational Assumptions'!AI310</f>
        <v/>
      </c>
      <c r="AJ51" s="361">
        <f>'03 Operational Assumptions'!AJ310</f>
        <v/>
      </c>
      <c r="AK51" s="361">
        <f>'03 Operational Assumptions'!AK310</f>
        <v/>
      </c>
      <c r="AL51" s="361">
        <f>'03 Operational Assumptions'!AL310</f>
        <v/>
      </c>
      <c r="AM51" s="361">
        <f>'03 Operational Assumptions'!AM310/4</f>
        <v/>
      </c>
      <c r="AN51" s="361">
        <f>'03 Operational Assumptions'!AN310</f>
        <v/>
      </c>
      <c r="AO51" s="361">
        <f>'03 Operational Assumptions'!AO310</f>
        <v/>
      </c>
      <c r="AP51" s="361">
        <f>'03 Operational Assumptions'!AP310</f>
        <v/>
      </c>
      <c r="AQ51" s="361">
        <f>'03 Operational Assumptions'!AQ310</f>
        <v/>
      </c>
      <c r="AR51" s="361">
        <f>'03 Operational Assumptions'!AR310/4</f>
        <v/>
      </c>
    </row>
    <row r="52" ht="13.5" customHeight="1" s="290">
      <c r="A52" s="395" t="n"/>
      <c r="B52" s="373" t="inlineStr">
        <is>
          <t xml:space="preserve">  Total T&amp;E</t>
        </is>
      </c>
      <c r="C52" s="374" t="inlineStr">
        <is>
          <t>$K/qtr</t>
        </is>
      </c>
      <c r="D52" s="396" t="inlineStr">
        <is>
          <t xml:space="preserve"> producing epes × T&amp;E per EPE per Quarter</t>
        </is>
      </c>
      <c r="E52" s="376">
        <f>E50*E51</f>
        <v/>
      </c>
      <c r="F52" s="376">
        <f>F50*F51</f>
        <v/>
      </c>
      <c r="G52" s="376">
        <f>G50*G51</f>
        <v/>
      </c>
      <c r="H52" s="376">
        <f>H50*H51</f>
        <v/>
      </c>
      <c r="I52" s="344">
        <f>SUM(E52:H52)</f>
        <v/>
      </c>
      <c r="J52" s="376">
        <f>J50*J51</f>
        <v/>
      </c>
      <c r="K52" s="376">
        <f>K50*K51</f>
        <v/>
      </c>
      <c r="L52" s="376">
        <f>L50*L51</f>
        <v/>
      </c>
      <c r="M52" s="376">
        <f>M50*M51</f>
        <v/>
      </c>
      <c r="N52" s="344">
        <f>SUM(J52:M52)</f>
        <v/>
      </c>
      <c r="O52" s="376">
        <f>O50*O51</f>
        <v/>
      </c>
      <c r="P52" s="376">
        <f>P50*P51</f>
        <v/>
      </c>
      <c r="Q52" s="376">
        <f>Q50*Q51</f>
        <v/>
      </c>
      <c r="R52" s="376">
        <f>R50*R51</f>
        <v/>
      </c>
      <c r="S52" s="344">
        <f>SUM(O52:R52)</f>
        <v/>
      </c>
      <c r="T52" s="376">
        <f>T50*T51</f>
        <v/>
      </c>
      <c r="U52" s="376">
        <f>U50*U51</f>
        <v/>
      </c>
      <c r="V52" s="376">
        <f>V50*V51</f>
        <v/>
      </c>
      <c r="W52" s="376">
        <f>W50*W51</f>
        <v/>
      </c>
      <c r="X52" s="344">
        <f>SUM(T52:W52)</f>
        <v/>
      </c>
      <c r="Y52" s="376">
        <f>Y50*Y51</f>
        <v/>
      </c>
      <c r="Z52" s="376">
        <f>Z50*Z51</f>
        <v/>
      </c>
      <c r="AA52" s="376">
        <f>AA50*AA51</f>
        <v/>
      </c>
      <c r="AB52" s="376">
        <f>AB50*AB51</f>
        <v/>
      </c>
      <c r="AC52" s="344">
        <f>SUM(Y52:AB52)</f>
        <v/>
      </c>
      <c r="AD52" s="376">
        <f>AD50*AD51</f>
        <v/>
      </c>
      <c r="AE52" s="376">
        <f>AE50*AE51</f>
        <v/>
      </c>
      <c r="AF52" s="376">
        <f>AF50*AF51</f>
        <v/>
      </c>
      <c r="AG52" s="376">
        <f>AG50*AG51</f>
        <v/>
      </c>
      <c r="AH52" s="344">
        <f>SUM(AD52:AG52)</f>
        <v/>
      </c>
      <c r="AI52" s="376">
        <f>AI50*AI51</f>
        <v/>
      </c>
      <c r="AJ52" s="376">
        <f>AJ50*AJ51</f>
        <v/>
      </c>
      <c r="AK52" s="376">
        <f>AK50*AK51</f>
        <v/>
      </c>
      <c r="AL52" s="376">
        <f>AL50*AL51</f>
        <v/>
      </c>
      <c r="AM52" s="344">
        <f>SUM(AI52:AL52)</f>
        <v/>
      </c>
      <c r="AN52" s="376">
        <f>AN50*AN51</f>
        <v/>
      </c>
      <c r="AO52" s="376">
        <f>AO50*AO51</f>
        <v/>
      </c>
      <c r="AP52" s="376">
        <f>AP50*AP51</f>
        <v/>
      </c>
      <c r="AQ52" s="376">
        <f>AQ50*AQ51</f>
        <v/>
      </c>
      <c r="AR52" s="344">
        <f>SUM(AN52:AQ52)</f>
        <v/>
      </c>
    </row>
    <row r="53" ht="3" customHeight="1" s="290"/>
    <row r="54" ht="15" customHeight="1" s="290">
      <c r="A54" s="307" t="inlineStr">
        <is>
          <t xml:space="preserve">    B4 — Referral Fees Out</t>
        </is>
      </c>
    </row>
    <row r="55" ht="3" customHeight="1" s="290"/>
    <row r="56" ht="13.5" customHeight="1" s="290">
      <c r="A56" s="345" t="n"/>
      <c r="B56" s="370" t="inlineStr">
        <is>
          <t xml:space="preserve">  Referral Fees Out — % of Total GCI</t>
        </is>
      </c>
      <c r="C56" s="371" t="inlineStr">
        <is>
          <t>%</t>
        </is>
      </c>
      <c r="D56" s="394" t="inlineStr">
        <is>
          <t>← Tab 03 row 311 quarterly cols</t>
        </is>
      </c>
      <c r="E56" s="361">
        <f>'03 Operational Assumptions'!E311</f>
        <v/>
      </c>
      <c r="F56" s="361">
        <f>'03 Operational Assumptions'!F311</f>
        <v/>
      </c>
      <c r="G56" s="361">
        <f>'03 Operational Assumptions'!G311</f>
        <v/>
      </c>
      <c r="H56" s="361">
        <f>'03 Operational Assumptions'!H311</f>
        <v/>
      </c>
      <c r="I56" s="361">
        <f>'03 Operational Assumptions'!I311/4</f>
        <v/>
      </c>
      <c r="J56" s="361">
        <f>'03 Operational Assumptions'!J311</f>
        <v/>
      </c>
      <c r="K56" s="361">
        <f>'03 Operational Assumptions'!K311</f>
        <v/>
      </c>
      <c r="L56" s="361">
        <f>'03 Operational Assumptions'!L311</f>
        <v/>
      </c>
      <c r="M56" s="361">
        <f>'03 Operational Assumptions'!M311</f>
        <v/>
      </c>
      <c r="N56" s="361">
        <f>'03 Operational Assumptions'!N311/4</f>
        <v/>
      </c>
      <c r="O56" s="361">
        <f>'03 Operational Assumptions'!O311</f>
        <v/>
      </c>
      <c r="P56" s="361">
        <f>'03 Operational Assumptions'!P311</f>
        <v/>
      </c>
      <c r="Q56" s="361">
        <f>'03 Operational Assumptions'!Q311</f>
        <v/>
      </c>
      <c r="R56" s="361">
        <f>'03 Operational Assumptions'!R311</f>
        <v/>
      </c>
      <c r="S56" s="361">
        <f>'03 Operational Assumptions'!S311/4</f>
        <v/>
      </c>
      <c r="T56" s="361">
        <f>'03 Operational Assumptions'!T311</f>
        <v/>
      </c>
      <c r="U56" s="361">
        <f>'03 Operational Assumptions'!U311</f>
        <v/>
      </c>
      <c r="V56" s="361">
        <f>'03 Operational Assumptions'!V311</f>
        <v/>
      </c>
      <c r="W56" s="361">
        <f>'03 Operational Assumptions'!W311</f>
        <v/>
      </c>
      <c r="X56" s="361">
        <f>'03 Operational Assumptions'!X311/4</f>
        <v/>
      </c>
      <c r="Y56" s="361">
        <f>'03 Operational Assumptions'!Y311</f>
        <v/>
      </c>
      <c r="Z56" s="361">
        <f>'03 Operational Assumptions'!Z311</f>
        <v/>
      </c>
      <c r="AA56" s="361">
        <f>'03 Operational Assumptions'!AA311</f>
        <v/>
      </c>
      <c r="AB56" s="361">
        <f>'03 Operational Assumptions'!AB311</f>
        <v/>
      </c>
      <c r="AC56" s="361">
        <f>'03 Operational Assumptions'!AC311/4</f>
        <v/>
      </c>
      <c r="AD56" s="361">
        <f>'03 Operational Assumptions'!AD311</f>
        <v/>
      </c>
      <c r="AE56" s="361">
        <f>'03 Operational Assumptions'!AE311</f>
        <v/>
      </c>
      <c r="AF56" s="361">
        <f>'03 Operational Assumptions'!AF311</f>
        <v/>
      </c>
      <c r="AG56" s="361">
        <f>'03 Operational Assumptions'!AG311</f>
        <v/>
      </c>
      <c r="AH56" s="361">
        <f>'03 Operational Assumptions'!AH311/4</f>
        <v/>
      </c>
      <c r="AI56" s="361">
        <f>'03 Operational Assumptions'!AI311</f>
        <v/>
      </c>
      <c r="AJ56" s="361">
        <f>'03 Operational Assumptions'!AJ311</f>
        <v/>
      </c>
      <c r="AK56" s="361">
        <f>'03 Operational Assumptions'!AK311</f>
        <v/>
      </c>
      <c r="AL56" s="361">
        <f>'03 Operational Assumptions'!AL311</f>
        <v/>
      </c>
      <c r="AM56" s="361">
        <f>'03 Operational Assumptions'!AM311/4</f>
        <v/>
      </c>
      <c r="AN56" s="361">
        <f>'03 Operational Assumptions'!AN311</f>
        <v/>
      </c>
      <c r="AO56" s="361">
        <f>'03 Operational Assumptions'!AO311</f>
        <v/>
      </c>
      <c r="AP56" s="361">
        <f>'03 Operational Assumptions'!AP311</f>
        <v/>
      </c>
      <c r="AQ56" s="361">
        <f>'03 Operational Assumptions'!AQ311</f>
        <v/>
      </c>
      <c r="AR56" s="361">
        <f>'03 Operational Assumptions'!AR311/4</f>
        <v/>
      </c>
    </row>
    <row r="57" ht="13.5" customHeight="1" s="290">
      <c r="A57" s="345" t="n"/>
      <c r="B57" s="370" t="inlineStr">
        <is>
          <t xml:space="preserve">  Total GCI (for referral fee computation)</t>
        </is>
      </c>
      <c r="C57" s="371" t="inlineStr">
        <is>
          <t>$K</t>
        </is>
      </c>
      <c r="D57" s="394" t="inlineStr">
        <is>
          <t>← Tab 05 row 195 (Total GCI)</t>
        </is>
      </c>
      <c r="E57" s="361">
        <f>'05 Revenue Engine'!E195</f>
        <v/>
      </c>
      <c r="F57" s="361">
        <f>'05 Revenue Engine'!F195</f>
        <v/>
      </c>
      <c r="G57" s="361">
        <f>'05 Revenue Engine'!G195</f>
        <v/>
      </c>
      <c r="H57" s="361">
        <f>'05 Revenue Engine'!H195</f>
        <v/>
      </c>
      <c r="I57" s="361">
        <f>SUM(E57:H57)</f>
        <v/>
      </c>
      <c r="J57" s="361">
        <f>'05 Revenue Engine'!J195</f>
        <v/>
      </c>
      <c r="K57" s="361">
        <f>'05 Revenue Engine'!K195</f>
        <v/>
      </c>
      <c r="L57" s="361">
        <f>'05 Revenue Engine'!L195</f>
        <v/>
      </c>
      <c r="M57" s="361">
        <f>'05 Revenue Engine'!M195</f>
        <v/>
      </c>
      <c r="N57" s="361">
        <f>SUM(J57:M57)</f>
        <v/>
      </c>
      <c r="O57" s="361">
        <f>'05 Revenue Engine'!O195</f>
        <v/>
      </c>
      <c r="P57" s="361">
        <f>'05 Revenue Engine'!P195</f>
        <v/>
      </c>
      <c r="Q57" s="361">
        <f>'05 Revenue Engine'!Q195</f>
        <v/>
      </c>
      <c r="R57" s="361">
        <f>'05 Revenue Engine'!R195</f>
        <v/>
      </c>
      <c r="S57" s="361">
        <f>SUM(O57:R57)</f>
        <v/>
      </c>
      <c r="T57" s="361">
        <f>'05 Revenue Engine'!T195</f>
        <v/>
      </c>
      <c r="U57" s="361">
        <f>'05 Revenue Engine'!U195</f>
        <v/>
      </c>
      <c r="V57" s="361">
        <f>'05 Revenue Engine'!V195</f>
        <v/>
      </c>
      <c r="W57" s="361">
        <f>'05 Revenue Engine'!W195</f>
        <v/>
      </c>
      <c r="X57" s="361">
        <f>SUM(T57:W57)</f>
        <v/>
      </c>
      <c r="Y57" s="361">
        <f>'05 Revenue Engine'!Y195</f>
        <v/>
      </c>
      <c r="Z57" s="361">
        <f>'05 Revenue Engine'!Z195</f>
        <v/>
      </c>
      <c r="AA57" s="361">
        <f>'05 Revenue Engine'!AA195</f>
        <v/>
      </c>
      <c r="AB57" s="361">
        <f>'05 Revenue Engine'!AB195</f>
        <v/>
      </c>
      <c r="AC57" s="361">
        <f>SUM(Y57:AB57)</f>
        <v/>
      </c>
      <c r="AD57" s="361">
        <f>'05 Revenue Engine'!AD195</f>
        <v/>
      </c>
      <c r="AE57" s="361">
        <f>'05 Revenue Engine'!AE195</f>
        <v/>
      </c>
      <c r="AF57" s="361">
        <f>'05 Revenue Engine'!AF195</f>
        <v/>
      </c>
      <c r="AG57" s="361">
        <f>'05 Revenue Engine'!AG195</f>
        <v/>
      </c>
      <c r="AH57" s="361">
        <f>SUM(AD57:AG57)</f>
        <v/>
      </c>
      <c r="AI57" s="361">
        <f>'05 Revenue Engine'!AI195</f>
        <v/>
      </c>
      <c r="AJ57" s="361">
        <f>'05 Revenue Engine'!AJ195</f>
        <v/>
      </c>
      <c r="AK57" s="361">
        <f>'05 Revenue Engine'!AK195</f>
        <v/>
      </c>
      <c r="AL57" s="361">
        <f>'05 Revenue Engine'!AL195</f>
        <v/>
      </c>
      <c r="AM57" s="361">
        <f>SUM(AI57:AL57)</f>
        <v/>
      </c>
      <c r="AN57" s="361">
        <f>'05 Revenue Engine'!AN195</f>
        <v/>
      </c>
      <c r="AO57" s="361">
        <f>'05 Revenue Engine'!AO195</f>
        <v/>
      </c>
      <c r="AP57" s="361">
        <f>'05 Revenue Engine'!AP195</f>
        <v/>
      </c>
      <c r="AQ57" s="361">
        <f>'05 Revenue Engine'!AQ195</f>
        <v/>
      </c>
      <c r="AR57" s="361">
        <f>SUM(AN57:AQ57)</f>
        <v/>
      </c>
    </row>
    <row r="58" ht="13.5" customHeight="1" s="290">
      <c r="A58" s="395" t="n"/>
      <c r="B58" s="373" t="inlineStr">
        <is>
          <t xml:space="preserve">  Referral Fees Out</t>
        </is>
      </c>
      <c r="C58" s="374" t="inlineStr">
        <is>
          <t>$K/qtr</t>
        </is>
      </c>
      <c r="D58" s="396" t="inlineStr">
        <is>
          <t xml:space="preserve"> referral rate % × Total GCI</t>
        </is>
      </c>
      <c r="E58" s="376">
        <f>E56*E57</f>
        <v/>
      </c>
      <c r="F58" s="376">
        <f>F56*F57</f>
        <v/>
      </c>
      <c r="G58" s="376">
        <f>G56*G57</f>
        <v/>
      </c>
      <c r="H58" s="376">
        <f>H56*H57</f>
        <v/>
      </c>
      <c r="I58" s="344">
        <f>SUM(E58:H58)</f>
        <v/>
      </c>
      <c r="J58" s="376">
        <f>J56*J57</f>
        <v/>
      </c>
      <c r="K58" s="376">
        <f>K56*K57</f>
        <v/>
      </c>
      <c r="L58" s="376">
        <f>L56*L57</f>
        <v/>
      </c>
      <c r="M58" s="376">
        <f>M56*M57</f>
        <v/>
      </c>
      <c r="N58" s="344">
        <f>SUM(J58:M58)</f>
        <v/>
      </c>
      <c r="O58" s="376">
        <f>O56*O57</f>
        <v/>
      </c>
      <c r="P58" s="376">
        <f>P56*P57</f>
        <v/>
      </c>
      <c r="Q58" s="376">
        <f>Q56*Q57</f>
        <v/>
      </c>
      <c r="R58" s="376">
        <f>R56*R57</f>
        <v/>
      </c>
      <c r="S58" s="344">
        <f>SUM(O58:R58)</f>
        <v/>
      </c>
      <c r="T58" s="376">
        <f>T56*T57</f>
        <v/>
      </c>
      <c r="U58" s="376">
        <f>U56*U57</f>
        <v/>
      </c>
      <c r="V58" s="376">
        <f>V56*V57</f>
        <v/>
      </c>
      <c r="W58" s="376">
        <f>W56*W57</f>
        <v/>
      </c>
      <c r="X58" s="344">
        <f>SUM(T58:W58)</f>
        <v/>
      </c>
      <c r="Y58" s="376">
        <f>Y56*Y57</f>
        <v/>
      </c>
      <c r="Z58" s="376">
        <f>Z56*Z57</f>
        <v/>
      </c>
      <c r="AA58" s="376">
        <f>AA56*AA57</f>
        <v/>
      </c>
      <c r="AB58" s="376">
        <f>AB56*AB57</f>
        <v/>
      </c>
      <c r="AC58" s="344">
        <f>SUM(Y58:AB58)</f>
        <v/>
      </c>
      <c r="AD58" s="376">
        <f>AD56*AD57</f>
        <v/>
      </c>
      <c r="AE58" s="376">
        <f>AE56*AE57</f>
        <v/>
      </c>
      <c r="AF58" s="376">
        <f>AF56*AF57</f>
        <v/>
      </c>
      <c r="AG58" s="376">
        <f>AG56*AG57</f>
        <v/>
      </c>
      <c r="AH58" s="344">
        <f>SUM(AD58:AG58)</f>
        <v/>
      </c>
      <c r="AI58" s="376">
        <f>AI56*AI57</f>
        <v/>
      </c>
      <c r="AJ58" s="376">
        <f>AJ56*AJ57</f>
        <v/>
      </c>
      <c r="AK58" s="376">
        <f>AK56*AK57</f>
        <v/>
      </c>
      <c r="AL58" s="376">
        <f>AL56*AL57</f>
        <v/>
      </c>
      <c r="AM58" s="344">
        <f>SUM(AI58:AL58)</f>
        <v/>
      </c>
      <c r="AN58" s="376">
        <f>AN56*AN57</f>
        <v/>
      </c>
      <c r="AO58" s="376">
        <f>AO56*AO57</f>
        <v/>
      </c>
      <c r="AP58" s="376">
        <f>AP56*AP57</f>
        <v/>
      </c>
      <c r="AQ58" s="376">
        <f>AQ56*AQ57</f>
        <v/>
      </c>
      <c r="AR58" s="344">
        <f>SUM(AN58:AQ58)</f>
        <v/>
      </c>
    </row>
    <row r="59" ht="3.75" customHeight="1" s="290"/>
    <row r="60" ht="15" customHeight="1" s="290">
      <c r="A60" s="397" t="n"/>
      <c r="B60" s="377" t="inlineStr">
        <is>
          <t xml:space="preserve">  ★ Total Variable Operating Expenses</t>
        </is>
      </c>
      <c r="C60" s="378" t="inlineStr">
        <is>
          <t>$K/qtr</t>
        </is>
      </c>
      <c r="D60" s="400" t="inlineStr">
        <is>
          <t xml:space="preserve"> is marketing + leasing listing + t&amp;e + referral fees</t>
        </is>
      </c>
      <c r="E60" s="379">
        <f>SUM(E38,E44,E52,E58)</f>
        <v/>
      </c>
      <c r="F60" s="379">
        <f>SUM(F38,F44,F52,F58)</f>
        <v/>
      </c>
      <c r="G60" s="379">
        <f>SUM(G38,G44,G52,G58)</f>
        <v/>
      </c>
      <c r="H60" s="379">
        <f>SUM(H38,H44,H52,H58)</f>
        <v/>
      </c>
      <c r="I60" s="379">
        <f>SUM(E60:H60)</f>
        <v/>
      </c>
      <c r="J60" s="379">
        <f>SUM(J38,J44,J52,J58)</f>
        <v/>
      </c>
      <c r="K60" s="379">
        <f>SUM(K38,K44,K52,K58)</f>
        <v/>
      </c>
      <c r="L60" s="379">
        <f>SUM(L38,L44,L52,L58)</f>
        <v/>
      </c>
      <c r="M60" s="379">
        <f>SUM(M38,M44,M52,M58)</f>
        <v/>
      </c>
      <c r="N60" s="379">
        <f>SUM(J60:M60)</f>
        <v/>
      </c>
      <c r="O60" s="379">
        <f>SUM(O38,O44,O52,O58)</f>
        <v/>
      </c>
      <c r="P60" s="379">
        <f>SUM(P38,P44,P52,P58)</f>
        <v/>
      </c>
      <c r="Q60" s="379">
        <f>SUM(Q38,Q44,Q52,Q58)</f>
        <v/>
      </c>
      <c r="R60" s="379">
        <f>SUM(R38,R44,R52,R58)</f>
        <v/>
      </c>
      <c r="S60" s="379">
        <f>SUM(O60:R60)</f>
        <v/>
      </c>
      <c r="T60" s="379">
        <f>SUM(T38,T44,T52,T58)</f>
        <v/>
      </c>
      <c r="U60" s="379">
        <f>SUM(U38,U44,U52,U58)</f>
        <v/>
      </c>
      <c r="V60" s="379">
        <f>SUM(V38,V44,V52,V58)</f>
        <v/>
      </c>
      <c r="W60" s="379">
        <f>SUM(W38,W44,W52,W58)</f>
        <v/>
      </c>
      <c r="X60" s="379">
        <f>SUM(T60:W60)</f>
        <v/>
      </c>
      <c r="Y60" s="379">
        <f>SUM(Y38,Y44,Y52,Y58)</f>
        <v/>
      </c>
      <c r="Z60" s="379">
        <f>SUM(Z38,Z44,Z52,Z58)</f>
        <v/>
      </c>
      <c r="AA60" s="379">
        <f>SUM(AA38,AA44,AA52,AA58)</f>
        <v/>
      </c>
      <c r="AB60" s="379">
        <f>SUM(AB38,AB44,AB52,AB58)</f>
        <v/>
      </c>
      <c r="AC60" s="379">
        <f>SUM(Y60:AB60)</f>
        <v/>
      </c>
      <c r="AD60" s="379">
        <f>SUM(AD38,AD44,AD52,AD58)</f>
        <v/>
      </c>
      <c r="AE60" s="379">
        <f>SUM(AE38,AE44,AE52,AE58)</f>
        <v/>
      </c>
      <c r="AF60" s="379">
        <f>SUM(AF38,AF44,AF52,AF58)</f>
        <v/>
      </c>
      <c r="AG60" s="379">
        <f>SUM(AG38,AG44,AG52,AG58)</f>
        <v/>
      </c>
      <c r="AH60" s="379">
        <f>SUM(AD60:AG60)</f>
        <v/>
      </c>
      <c r="AI60" s="379">
        <f>SUM(AI38,AI44,AI52,AI58)</f>
        <v/>
      </c>
      <c r="AJ60" s="379">
        <f>SUM(AJ38,AJ44,AJ52,AJ58)</f>
        <v/>
      </c>
      <c r="AK60" s="379">
        <f>SUM(AK38,AK44,AK52,AK58)</f>
        <v/>
      </c>
      <c r="AL60" s="379">
        <f>SUM(AL38,AL44,AL52,AL58)</f>
        <v/>
      </c>
      <c r="AM60" s="379">
        <f>SUM(AI60:AL60)</f>
        <v/>
      </c>
      <c r="AN60" s="379">
        <f>SUM(AN38,AN44,AN52,AN58)</f>
        <v/>
      </c>
      <c r="AO60" s="379">
        <f>SUM(AO38,AO44,AO52,AO58)</f>
        <v/>
      </c>
      <c r="AP60" s="379">
        <f>SUM(AP38,AP44,AP52,AP58)</f>
        <v/>
      </c>
      <c r="AQ60" s="379">
        <f>SUM(AQ38,AQ44,AQ52,AQ58)</f>
        <v/>
      </c>
      <c r="AR60" s="379">
        <f>SUM(AN60:AQ60)</f>
        <v/>
      </c>
    </row>
    <row r="61" ht="4.5" customHeight="1" s="290"/>
    <row r="62" ht="3" customHeight="1" s="290">
      <c r="A62" s="293" t="n"/>
    </row>
    <row r="63" ht="4.5" customHeight="1" s="290"/>
    <row r="64" ht="15.75" customHeight="1" s="290">
      <c r="A64" s="338" t="inlineStr">
        <is>
          <t xml:space="preserve">  SECTION C — DEPRECIATION &amp; AMORTIZATION</t>
        </is>
      </c>
    </row>
    <row r="65" ht="3.75" customHeight="1" s="290"/>
    <row r="66" ht="12.75" customHeight="1" s="290">
      <c r="A66" s="348" t="inlineStr">
        <is>
          <t xml:space="preserve">  V1 simplification: single flat annual D&amp;A input in Tab 03. Quarterly D&amp;A = Annual ÷ 4. D&amp;A is added back in the cash flow bridge (Tab 08 below EBITDA). V2: replace with capex schedule and asset-class depreciation lives.</t>
        </is>
      </c>
    </row>
    <row r="67" ht="3.75" customHeight="1" s="290"/>
    <row r="68" ht="13.5" customHeight="1" s="290">
      <c r="A68" s="345" t="n"/>
      <c r="B68" s="370" t="inlineStr">
        <is>
          <t xml:space="preserve">  Annual D&amp;A — Input from Tab 03</t>
        </is>
      </c>
      <c r="C68" s="371" t="inlineStr">
        <is>
          <t>$K/yr</t>
        </is>
      </c>
      <c r="D68" s="394" t="inlineStr">
        <is>
          <t>← Tab 03 row 315 annual col ÷ 4  (quarterly allocation)</t>
        </is>
      </c>
      <c r="E68" s="361">
        <f>'03 Operational Assumptions'!I315/4</f>
        <v/>
      </c>
      <c r="F68" s="361">
        <f>'03 Operational Assumptions'!I315/4</f>
        <v/>
      </c>
      <c r="G68" s="361">
        <f>'03 Operational Assumptions'!I315/4</f>
        <v/>
      </c>
      <c r="H68" s="361">
        <f>'03 Operational Assumptions'!I315/4</f>
        <v/>
      </c>
      <c r="I68" s="361">
        <f>'03 Operational Assumptions'!I315</f>
        <v/>
      </c>
      <c r="J68" s="361">
        <f>'03 Operational Assumptions'!N315/4</f>
        <v/>
      </c>
      <c r="K68" s="361">
        <f>'03 Operational Assumptions'!N315/4</f>
        <v/>
      </c>
      <c r="L68" s="361">
        <f>'03 Operational Assumptions'!N315/4</f>
        <v/>
      </c>
      <c r="M68" s="361">
        <f>'03 Operational Assumptions'!N315/4</f>
        <v/>
      </c>
      <c r="N68" s="361">
        <f>'03 Operational Assumptions'!N315</f>
        <v/>
      </c>
      <c r="O68" s="361">
        <f>'03 Operational Assumptions'!S315/4</f>
        <v/>
      </c>
      <c r="P68" s="361">
        <f>'03 Operational Assumptions'!S315/4</f>
        <v/>
      </c>
      <c r="Q68" s="361">
        <f>'03 Operational Assumptions'!S315/4</f>
        <v/>
      </c>
      <c r="R68" s="361">
        <f>'03 Operational Assumptions'!S315/4</f>
        <v/>
      </c>
      <c r="S68" s="361">
        <f>'03 Operational Assumptions'!S315</f>
        <v/>
      </c>
      <c r="T68" s="361">
        <f>'03 Operational Assumptions'!X315/4</f>
        <v/>
      </c>
      <c r="U68" s="361">
        <f>'03 Operational Assumptions'!X315/4</f>
        <v/>
      </c>
      <c r="V68" s="361">
        <f>'03 Operational Assumptions'!X315/4</f>
        <v/>
      </c>
      <c r="W68" s="361">
        <f>'03 Operational Assumptions'!X315/4</f>
        <v/>
      </c>
      <c r="X68" s="361">
        <f>'03 Operational Assumptions'!X315</f>
        <v/>
      </c>
      <c r="Y68" s="361">
        <f>'03 Operational Assumptions'!AC315/4</f>
        <v/>
      </c>
      <c r="Z68" s="361">
        <f>'03 Operational Assumptions'!AC315/4</f>
        <v/>
      </c>
      <c r="AA68" s="361">
        <f>'03 Operational Assumptions'!AC315/4</f>
        <v/>
      </c>
      <c r="AB68" s="361">
        <f>'03 Operational Assumptions'!AC315/4</f>
        <v/>
      </c>
      <c r="AC68" s="361">
        <f>'03 Operational Assumptions'!AC315</f>
        <v/>
      </c>
      <c r="AD68" s="361">
        <f>'03 Operational Assumptions'!AH315/4</f>
        <v/>
      </c>
      <c r="AE68" s="361">
        <f>'03 Operational Assumptions'!AH315/4</f>
        <v/>
      </c>
      <c r="AF68" s="361">
        <f>'03 Operational Assumptions'!AH315/4</f>
        <v/>
      </c>
      <c r="AG68" s="361">
        <f>'03 Operational Assumptions'!AH315/4</f>
        <v/>
      </c>
      <c r="AH68" s="361">
        <f>'03 Operational Assumptions'!AH315</f>
        <v/>
      </c>
      <c r="AI68" s="361">
        <f>'03 Operational Assumptions'!AM315/4</f>
        <v/>
      </c>
      <c r="AJ68" s="361">
        <f>'03 Operational Assumptions'!AM315/4</f>
        <v/>
      </c>
      <c r="AK68" s="361">
        <f>'03 Operational Assumptions'!AM315/4</f>
        <v/>
      </c>
      <c r="AL68" s="361">
        <f>'03 Operational Assumptions'!AM315/4</f>
        <v/>
      </c>
      <c r="AM68" s="361">
        <f>'03 Operational Assumptions'!AM315</f>
        <v/>
      </c>
      <c r="AN68" s="361">
        <f>'03 Operational Assumptions'!AR315/4</f>
        <v/>
      </c>
      <c r="AO68" s="361">
        <f>'03 Operational Assumptions'!AR315/4</f>
        <v/>
      </c>
      <c r="AP68" s="361">
        <f>'03 Operational Assumptions'!AR315/4</f>
        <v/>
      </c>
      <c r="AQ68" s="361">
        <f>'03 Operational Assumptions'!AR315/4</f>
        <v/>
      </c>
      <c r="AR68" s="361">
        <f>'03 Operational Assumptions'!AR315</f>
        <v/>
      </c>
    </row>
    <row r="69" ht="13.5" customHeight="1" s="290">
      <c r="A69" s="395" t="n"/>
      <c r="B69" s="373" t="inlineStr">
        <is>
          <t xml:space="preserve">  Quarterly D&amp;A</t>
        </is>
      </c>
      <c r="C69" s="374" t="inlineStr">
        <is>
          <t>$K/qtr</t>
        </is>
      </c>
      <c r="D69" s="396" t="inlineStr">
        <is>
          <t xml:space="preserve"> annual d&amp;a ÷ 4 (via input link above)</t>
        </is>
      </c>
      <c r="E69" s="376">
        <f>E68</f>
        <v/>
      </c>
      <c r="F69" s="376">
        <f>F68</f>
        <v/>
      </c>
      <c r="G69" s="376">
        <f>G68</f>
        <v/>
      </c>
      <c r="H69" s="376">
        <f>H68</f>
        <v/>
      </c>
      <c r="I69" s="344">
        <f>SUM(E69:H69)</f>
        <v/>
      </c>
      <c r="J69" s="376">
        <f>J68</f>
        <v/>
      </c>
      <c r="K69" s="376">
        <f>K68</f>
        <v/>
      </c>
      <c r="L69" s="376">
        <f>L68</f>
        <v/>
      </c>
      <c r="M69" s="376">
        <f>M68</f>
        <v/>
      </c>
      <c r="N69" s="344">
        <f>SUM(J69:M69)</f>
        <v/>
      </c>
      <c r="O69" s="376">
        <f>O68</f>
        <v/>
      </c>
      <c r="P69" s="376">
        <f>P68</f>
        <v/>
      </c>
      <c r="Q69" s="376">
        <f>Q68</f>
        <v/>
      </c>
      <c r="R69" s="376">
        <f>R68</f>
        <v/>
      </c>
      <c r="S69" s="344">
        <f>SUM(O69:R69)</f>
        <v/>
      </c>
      <c r="T69" s="376">
        <f>T68</f>
        <v/>
      </c>
      <c r="U69" s="376">
        <f>U68</f>
        <v/>
      </c>
      <c r="V69" s="376">
        <f>V68</f>
        <v/>
      </c>
      <c r="W69" s="376">
        <f>W68</f>
        <v/>
      </c>
      <c r="X69" s="344">
        <f>SUM(T69:W69)</f>
        <v/>
      </c>
      <c r="Y69" s="376">
        <f>Y68</f>
        <v/>
      </c>
      <c r="Z69" s="376">
        <f>Z68</f>
        <v/>
      </c>
      <c r="AA69" s="376">
        <f>AA68</f>
        <v/>
      </c>
      <c r="AB69" s="376">
        <f>AB68</f>
        <v/>
      </c>
      <c r="AC69" s="344">
        <f>SUM(Y69:AB69)</f>
        <v/>
      </c>
      <c r="AD69" s="376">
        <f>AD68</f>
        <v/>
      </c>
      <c r="AE69" s="376">
        <f>AE68</f>
        <v/>
      </c>
      <c r="AF69" s="376">
        <f>AF68</f>
        <v/>
      </c>
      <c r="AG69" s="376">
        <f>AG68</f>
        <v/>
      </c>
      <c r="AH69" s="344">
        <f>SUM(AD69:AG69)</f>
        <v/>
      </c>
      <c r="AI69" s="376">
        <f>AI68</f>
        <v/>
      </c>
      <c r="AJ69" s="376">
        <f>AJ68</f>
        <v/>
      </c>
      <c r="AK69" s="376">
        <f>AK68</f>
        <v/>
      </c>
      <c r="AL69" s="376">
        <f>AL68</f>
        <v/>
      </c>
      <c r="AM69" s="344">
        <f>SUM(AI69:AL69)</f>
        <v/>
      </c>
      <c r="AN69" s="376">
        <f>AN68</f>
        <v/>
      </c>
      <c r="AO69" s="376">
        <f>AO68</f>
        <v/>
      </c>
      <c r="AP69" s="376">
        <f>AP68</f>
        <v/>
      </c>
      <c r="AQ69" s="376">
        <f>AQ68</f>
        <v/>
      </c>
      <c r="AR69" s="344">
        <f>SUM(AN69:AQ69)</f>
        <v/>
      </c>
    </row>
    <row r="70" ht="13.5" customHeight="1" s="290">
      <c r="A70" s="397" t="n"/>
      <c r="B70" s="398" t="inlineStr">
        <is>
          <t xml:space="preserve">  Total D&amp;A</t>
        </is>
      </c>
      <c r="C70" s="399" t="inlineStr">
        <is>
          <t>$K/qtr</t>
        </is>
      </c>
      <c r="D70" s="400" t="inlineStr">
        <is>
          <t xml:space="preserve"> quarterly d&amp;a (mirrors row above — single item))</t>
        </is>
      </c>
      <c r="E70" s="401">
        <f>E69</f>
        <v/>
      </c>
      <c r="F70" s="401">
        <f>F69</f>
        <v/>
      </c>
      <c r="G70" s="401">
        <f>G69</f>
        <v/>
      </c>
      <c r="H70" s="401">
        <f>H69</f>
        <v/>
      </c>
      <c r="I70" s="387">
        <f>SUM(E70:H70)</f>
        <v/>
      </c>
      <c r="J70" s="401">
        <f>J69</f>
        <v/>
      </c>
      <c r="K70" s="401">
        <f>K69</f>
        <v/>
      </c>
      <c r="L70" s="401">
        <f>L69</f>
        <v/>
      </c>
      <c r="M70" s="401">
        <f>M69</f>
        <v/>
      </c>
      <c r="N70" s="387">
        <f>SUM(J70:M70)</f>
        <v/>
      </c>
      <c r="O70" s="401">
        <f>O69</f>
        <v/>
      </c>
      <c r="P70" s="401">
        <f>P69</f>
        <v/>
      </c>
      <c r="Q70" s="401">
        <f>Q69</f>
        <v/>
      </c>
      <c r="R70" s="401">
        <f>R69</f>
        <v/>
      </c>
      <c r="S70" s="387">
        <f>SUM(O70:R70)</f>
        <v/>
      </c>
      <c r="T70" s="401">
        <f>T69</f>
        <v/>
      </c>
      <c r="U70" s="401">
        <f>U69</f>
        <v/>
      </c>
      <c r="V70" s="401">
        <f>V69</f>
        <v/>
      </c>
      <c r="W70" s="401">
        <f>W69</f>
        <v/>
      </c>
      <c r="X70" s="387">
        <f>SUM(T70:W70)</f>
        <v/>
      </c>
      <c r="Y70" s="401">
        <f>Y69</f>
        <v/>
      </c>
      <c r="Z70" s="401">
        <f>Z69</f>
        <v/>
      </c>
      <c r="AA70" s="401">
        <f>AA69</f>
        <v/>
      </c>
      <c r="AB70" s="401">
        <f>AB69</f>
        <v/>
      </c>
      <c r="AC70" s="387">
        <f>SUM(Y70:AB70)</f>
        <v/>
      </c>
      <c r="AD70" s="401">
        <f>AD69</f>
        <v/>
      </c>
      <c r="AE70" s="401">
        <f>AE69</f>
        <v/>
      </c>
      <c r="AF70" s="401">
        <f>AF69</f>
        <v/>
      </c>
      <c r="AG70" s="401">
        <f>AG69</f>
        <v/>
      </c>
      <c r="AH70" s="387">
        <f>SUM(AD70:AG70)</f>
        <v/>
      </c>
      <c r="AI70" s="401">
        <f>AI69</f>
        <v/>
      </c>
      <c r="AJ70" s="401">
        <f>AJ69</f>
        <v/>
      </c>
      <c r="AK70" s="401">
        <f>AK69</f>
        <v/>
      </c>
      <c r="AL70" s="401">
        <f>AL69</f>
        <v/>
      </c>
      <c r="AM70" s="387">
        <f>SUM(AI70:AL70)</f>
        <v/>
      </c>
      <c r="AN70" s="401">
        <f>AN69</f>
        <v/>
      </c>
      <c r="AO70" s="401">
        <f>AO69</f>
        <v/>
      </c>
      <c r="AP70" s="401">
        <f>AP69</f>
        <v/>
      </c>
      <c r="AQ70" s="401">
        <f>AQ69</f>
        <v/>
      </c>
      <c r="AR70" s="387">
        <f>SUM(AN70:AQ70)</f>
        <v/>
      </c>
    </row>
    <row r="71" ht="4.5" customHeight="1" s="290"/>
    <row r="72" ht="3" customHeight="1" s="290">
      <c r="A72" s="293" t="n"/>
    </row>
    <row r="73" ht="4.5" customHeight="1" s="290"/>
    <row r="74" ht="15.75" customHeight="1" s="290">
      <c r="A74" s="338" t="inlineStr">
        <is>
          <t xml:space="preserve">  SECTION D — OPEX SUMMARY  ★  [ Primary outputs — Tab 08 P&amp;L links here ]</t>
        </is>
      </c>
    </row>
    <row r="75" ht="3.75" customHeight="1" s="290"/>
    <row r="76" ht="12.75" customHeight="1" s="290">
      <c r="A76" s="348" t="inlineStr">
        <is>
          <t xml:space="preserve">  All opex category totals consolidated here. Tab 08 P&amp;L links to this section. Opex ratios are diagnostic KPIs — not used in P&amp;L arithmetic. Company Dollar from Tab 06 row 207 used for opex/Co$ ratio.</t>
        </is>
      </c>
    </row>
    <row r="77" ht="3.75" customHeight="1" s="290"/>
    <row r="78" ht="15" customHeight="1" s="290">
      <c r="A78" s="307" t="inlineStr">
        <is>
          <t xml:space="preserve">    D1 — OPEX WATERFALL</t>
        </is>
      </c>
    </row>
    <row r="79" ht="3" customHeight="1" s="290"/>
    <row r="80" ht="13.5" customHeight="1" s="290">
      <c r="A80" s="345" t="n"/>
      <c r="B80" s="370" t="inlineStr">
        <is>
          <t xml:space="preserve">  Fixed Operating Expenses</t>
        </is>
      </c>
      <c r="C80" s="371" t="inlineStr">
        <is>
          <t>$K/qtr</t>
        </is>
      </c>
      <c r="D80" s="394" t="inlineStr">
        <is>
          <t>← Section A row 26</t>
        </is>
      </c>
      <c r="E80" s="361">
        <f>E26</f>
        <v/>
      </c>
      <c r="F80" s="361">
        <f>F26</f>
        <v/>
      </c>
      <c r="G80" s="361">
        <f>G26</f>
        <v/>
      </c>
      <c r="H80" s="361">
        <f>H26</f>
        <v/>
      </c>
      <c r="I80" s="361">
        <f>SUM(E80:H80)</f>
        <v/>
      </c>
      <c r="J80" s="361">
        <f>J26</f>
        <v/>
      </c>
      <c r="K80" s="361">
        <f>K26</f>
        <v/>
      </c>
      <c r="L80" s="361">
        <f>L26</f>
        <v/>
      </c>
      <c r="M80" s="361">
        <f>M26</f>
        <v/>
      </c>
      <c r="N80" s="361">
        <f>SUM(J80:M80)</f>
        <v/>
      </c>
      <c r="O80" s="361">
        <f>O26</f>
        <v/>
      </c>
      <c r="P80" s="361">
        <f>P26</f>
        <v/>
      </c>
      <c r="Q80" s="361">
        <f>Q26</f>
        <v/>
      </c>
      <c r="R80" s="361">
        <f>R26</f>
        <v/>
      </c>
      <c r="S80" s="361">
        <f>SUM(O80:R80)</f>
        <v/>
      </c>
      <c r="T80" s="361">
        <f>T26</f>
        <v/>
      </c>
      <c r="U80" s="361">
        <f>U26</f>
        <v/>
      </c>
      <c r="V80" s="361">
        <f>V26</f>
        <v/>
      </c>
      <c r="W80" s="361">
        <f>W26</f>
        <v/>
      </c>
      <c r="X80" s="361">
        <f>SUM(T80:W80)</f>
        <v/>
      </c>
      <c r="Y80" s="361">
        <f>Y26</f>
        <v/>
      </c>
      <c r="Z80" s="361">
        <f>Z26</f>
        <v/>
      </c>
      <c r="AA80" s="361">
        <f>AA26</f>
        <v/>
      </c>
      <c r="AB80" s="361">
        <f>AB26</f>
        <v/>
      </c>
      <c r="AC80" s="361">
        <f>SUM(Y80:AB80)</f>
        <v/>
      </c>
      <c r="AD80" s="361">
        <f>AD26</f>
        <v/>
      </c>
      <c r="AE80" s="361">
        <f>AE26</f>
        <v/>
      </c>
      <c r="AF80" s="361">
        <f>AF26</f>
        <v/>
      </c>
      <c r="AG80" s="361">
        <f>AG26</f>
        <v/>
      </c>
      <c r="AH80" s="361">
        <f>SUM(AD80:AG80)</f>
        <v/>
      </c>
      <c r="AI80" s="361">
        <f>AI26</f>
        <v/>
      </c>
      <c r="AJ80" s="361">
        <f>AJ26</f>
        <v/>
      </c>
      <c r="AK80" s="361">
        <f>AK26</f>
        <v/>
      </c>
      <c r="AL80" s="361">
        <f>AL26</f>
        <v/>
      </c>
      <c r="AM80" s="361">
        <f>SUM(AI80:AL80)</f>
        <v/>
      </c>
      <c r="AN80" s="361">
        <f>AN26</f>
        <v/>
      </c>
      <c r="AO80" s="361">
        <f>AO26</f>
        <v/>
      </c>
      <c r="AP80" s="361">
        <f>AP26</f>
        <v/>
      </c>
      <c r="AQ80" s="361">
        <f>AQ26</f>
        <v/>
      </c>
      <c r="AR80" s="361">
        <f>SUM(AN80:AQ80)</f>
        <v/>
      </c>
    </row>
    <row r="81" ht="13.5" customHeight="1" s="290">
      <c r="A81" s="345" t="n"/>
      <c r="B81" s="370" t="inlineStr">
        <is>
          <t xml:space="preserve">  Variable Operating Expenses</t>
        </is>
      </c>
      <c r="C81" s="371" t="inlineStr">
        <is>
          <t>$K/qtr</t>
        </is>
      </c>
      <c r="D81" s="394" t="inlineStr">
        <is>
          <t>← Section B row 60</t>
        </is>
      </c>
      <c r="E81" s="361">
        <f>E60</f>
        <v/>
      </c>
      <c r="F81" s="361">
        <f>F60</f>
        <v/>
      </c>
      <c r="G81" s="361">
        <f>G60</f>
        <v/>
      </c>
      <c r="H81" s="361">
        <f>H60</f>
        <v/>
      </c>
      <c r="I81" s="361">
        <f>SUM(E81:H81)</f>
        <v/>
      </c>
      <c r="J81" s="361">
        <f>J60</f>
        <v/>
      </c>
      <c r="K81" s="361">
        <f>K60</f>
        <v/>
      </c>
      <c r="L81" s="361">
        <f>L60</f>
        <v/>
      </c>
      <c r="M81" s="361">
        <f>M60</f>
        <v/>
      </c>
      <c r="N81" s="361">
        <f>SUM(J81:M81)</f>
        <v/>
      </c>
      <c r="O81" s="361">
        <f>O60</f>
        <v/>
      </c>
      <c r="P81" s="361">
        <f>P60</f>
        <v/>
      </c>
      <c r="Q81" s="361">
        <f>Q60</f>
        <v/>
      </c>
      <c r="R81" s="361">
        <f>R60</f>
        <v/>
      </c>
      <c r="S81" s="361">
        <f>SUM(O81:R81)</f>
        <v/>
      </c>
      <c r="T81" s="361">
        <f>T60</f>
        <v/>
      </c>
      <c r="U81" s="361">
        <f>U60</f>
        <v/>
      </c>
      <c r="V81" s="361">
        <f>V60</f>
        <v/>
      </c>
      <c r="W81" s="361">
        <f>W60</f>
        <v/>
      </c>
      <c r="X81" s="361">
        <f>SUM(T81:W81)</f>
        <v/>
      </c>
      <c r="Y81" s="361">
        <f>Y60</f>
        <v/>
      </c>
      <c r="Z81" s="361">
        <f>Z60</f>
        <v/>
      </c>
      <c r="AA81" s="361">
        <f>AA60</f>
        <v/>
      </c>
      <c r="AB81" s="361">
        <f>AB60</f>
        <v/>
      </c>
      <c r="AC81" s="361">
        <f>SUM(Y81:AB81)</f>
        <v/>
      </c>
      <c r="AD81" s="361">
        <f>AD60</f>
        <v/>
      </c>
      <c r="AE81" s="361">
        <f>AE60</f>
        <v/>
      </c>
      <c r="AF81" s="361">
        <f>AF60</f>
        <v/>
      </c>
      <c r="AG81" s="361">
        <f>AG60</f>
        <v/>
      </c>
      <c r="AH81" s="361">
        <f>SUM(AD81:AG81)</f>
        <v/>
      </c>
      <c r="AI81" s="361">
        <f>AI60</f>
        <v/>
      </c>
      <c r="AJ81" s="361">
        <f>AJ60</f>
        <v/>
      </c>
      <c r="AK81" s="361">
        <f>AK60</f>
        <v/>
      </c>
      <c r="AL81" s="361">
        <f>AL60</f>
        <v/>
      </c>
      <c r="AM81" s="361">
        <f>SUM(AI81:AL81)</f>
        <v/>
      </c>
      <c r="AN81" s="361">
        <f>AN60</f>
        <v/>
      </c>
      <c r="AO81" s="361">
        <f>AO60</f>
        <v/>
      </c>
      <c r="AP81" s="361">
        <f>AP60</f>
        <v/>
      </c>
      <c r="AQ81" s="361">
        <f>AQ60</f>
        <v/>
      </c>
      <c r="AR81" s="361">
        <f>SUM(AN81:AQ81)</f>
        <v/>
      </c>
    </row>
    <row r="82" ht="15" customHeight="1" s="290">
      <c r="A82" s="397" t="n"/>
      <c r="B82" s="398" t="inlineStr">
        <is>
          <t xml:space="preserve">  ★ Total Opex Excluding D&amp;A</t>
        </is>
      </c>
      <c r="C82" s="399" t="inlineStr">
        <is>
          <t>$K/qtr</t>
        </is>
      </c>
      <c r="D82" s="400" t="inlineStr">
        <is>
          <t xml:space="preserve"> fixed opex + variable opex</t>
        </is>
      </c>
      <c r="E82" s="401">
        <f>E80+E81</f>
        <v/>
      </c>
      <c r="F82" s="401">
        <f>F80+F81</f>
        <v/>
      </c>
      <c r="G82" s="401">
        <f>G80+G81</f>
        <v/>
      </c>
      <c r="H82" s="401">
        <f>H80+H81</f>
        <v/>
      </c>
      <c r="I82" s="387">
        <f>SUM(E82:H82)</f>
        <v/>
      </c>
      <c r="J82" s="401">
        <f>J80+J81</f>
        <v/>
      </c>
      <c r="K82" s="401">
        <f>K80+K81</f>
        <v/>
      </c>
      <c r="L82" s="401">
        <f>L80+L81</f>
        <v/>
      </c>
      <c r="M82" s="401">
        <f>M80+M81</f>
        <v/>
      </c>
      <c r="N82" s="387">
        <f>SUM(J82:M82)</f>
        <v/>
      </c>
      <c r="O82" s="401">
        <f>O80+O81</f>
        <v/>
      </c>
      <c r="P82" s="401">
        <f>P80+P81</f>
        <v/>
      </c>
      <c r="Q82" s="401">
        <f>Q80+Q81</f>
        <v/>
      </c>
      <c r="R82" s="401">
        <f>R80+R81</f>
        <v/>
      </c>
      <c r="S82" s="387">
        <f>SUM(O82:R82)</f>
        <v/>
      </c>
      <c r="T82" s="401">
        <f>T80+T81</f>
        <v/>
      </c>
      <c r="U82" s="401">
        <f>U80+U81</f>
        <v/>
      </c>
      <c r="V82" s="401">
        <f>V80+V81</f>
        <v/>
      </c>
      <c r="W82" s="401">
        <f>W80+W81</f>
        <v/>
      </c>
      <c r="X82" s="387">
        <f>SUM(T82:W82)</f>
        <v/>
      </c>
      <c r="Y82" s="401">
        <f>Y80+Y81</f>
        <v/>
      </c>
      <c r="Z82" s="401">
        <f>Z80+Z81</f>
        <v/>
      </c>
      <c r="AA82" s="401">
        <f>AA80+AA81</f>
        <v/>
      </c>
      <c r="AB82" s="401">
        <f>AB80+AB81</f>
        <v/>
      </c>
      <c r="AC82" s="387">
        <f>SUM(Y82:AB82)</f>
        <v/>
      </c>
      <c r="AD82" s="401">
        <f>AD80+AD81</f>
        <v/>
      </c>
      <c r="AE82" s="401">
        <f>AE80+AE81</f>
        <v/>
      </c>
      <c r="AF82" s="401">
        <f>AF80+AF81</f>
        <v/>
      </c>
      <c r="AG82" s="401">
        <f>AG80+AG81</f>
        <v/>
      </c>
      <c r="AH82" s="387">
        <f>SUM(AD82:AG82)</f>
        <v/>
      </c>
      <c r="AI82" s="401">
        <f>AI80+AI81</f>
        <v/>
      </c>
      <c r="AJ82" s="401">
        <f>AJ80+AJ81</f>
        <v/>
      </c>
      <c r="AK82" s="401">
        <f>AK80+AK81</f>
        <v/>
      </c>
      <c r="AL82" s="401">
        <f>AL80+AL81</f>
        <v/>
      </c>
      <c r="AM82" s="387">
        <f>SUM(AI82:AL82)</f>
        <v/>
      </c>
      <c r="AN82" s="401">
        <f>AN80+AN81</f>
        <v/>
      </c>
      <c r="AO82" s="401">
        <f>AO80+AO81</f>
        <v/>
      </c>
      <c r="AP82" s="401">
        <f>AP80+AP81</f>
        <v/>
      </c>
      <c r="AQ82" s="401">
        <f>AQ80+AQ81</f>
        <v/>
      </c>
      <c r="AR82" s="387">
        <f>SUM(AN82:AQ82)</f>
        <v/>
      </c>
    </row>
    <row r="83" ht="13.5" customHeight="1" s="290">
      <c r="A83" s="345" t="n"/>
      <c r="B83" s="370" t="inlineStr">
        <is>
          <t xml:space="preserve">  Depreciation &amp; Amortization</t>
        </is>
      </c>
      <c r="C83" s="371" t="inlineStr">
        <is>
          <t>$K/qtr</t>
        </is>
      </c>
      <c r="D83" s="394" t="inlineStr">
        <is>
          <t>← Section C row 70</t>
        </is>
      </c>
      <c r="E83" s="361">
        <f>E70</f>
        <v/>
      </c>
      <c r="F83" s="361">
        <f>F70</f>
        <v/>
      </c>
      <c r="G83" s="361">
        <f>G70</f>
        <v/>
      </c>
      <c r="H83" s="361">
        <f>H70</f>
        <v/>
      </c>
      <c r="I83" s="361">
        <f>SUM(E83:H83)</f>
        <v/>
      </c>
      <c r="J83" s="361">
        <f>J70</f>
        <v/>
      </c>
      <c r="K83" s="361">
        <f>K70</f>
        <v/>
      </c>
      <c r="L83" s="361">
        <f>L70</f>
        <v/>
      </c>
      <c r="M83" s="361">
        <f>M70</f>
        <v/>
      </c>
      <c r="N83" s="361">
        <f>SUM(J83:M83)</f>
        <v/>
      </c>
      <c r="O83" s="361">
        <f>O70</f>
        <v/>
      </c>
      <c r="P83" s="361">
        <f>P70</f>
        <v/>
      </c>
      <c r="Q83" s="361">
        <f>Q70</f>
        <v/>
      </c>
      <c r="R83" s="361">
        <f>R70</f>
        <v/>
      </c>
      <c r="S83" s="361">
        <f>SUM(O83:R83)</f>
        <v/>
      </c>
      <c r="T83" s="361">
        <f>T70</f>
        <v/>
      </c>
      <c r="U83" s="361">
        <f>U70</f>
        <v/>
      </c>
      <c r="V83" s="361">
        <f>V70</f>
        <v/>
      </c>
      <c r="W83" s="361">
        <f>W70</f>
        <v/>
      </c>
      <c r="X83" s="361">
        <f>SUM(T83:W83)</f>
        <v/>
      </c>
      <c r="Y83" s="361">
        <f>Y70</f>
        <v/>
      </c>
      <c r="Z83" s="361">
        <f>Z70</f>
        <v/>
      </c>
      <c r="AA83" s="361">
        <f>AA70</f>
        <v/>
      </c>
      <c r="AB83" s="361">
        <f>AB70</f>
        <v/>
      </c>
      <c r="AC83" s="361">
        <f>SUM(Y83:AB83)</f>
        <v/>
      </c>
      <c r="AD83" s="361">
        <f>AD70</f>
        <v/>
      </c>
      <c r="AE83" s="361">
        <f>AE70</f>
        <v/>
      </c>
      <c r="AF83" s="361">
        <f>AF70</f>
        <v/>
      </c>
      <c r="AG83" s="361">
        <f>AG70</f>
        <v/>
      </c>
      <c r="AH83" s="361">
        <f>SUM(AD83:AG83)</f>
        <v/>
      </c>
      <c r="AI83" s="361">
        <f>AI70</f>
        <v/>
      </c>
      <c r="AJ83" s="361">
        <f>AJ70</f>
        <v/>
      </c>
      <c r="AK83" s="361">
        <f>AK70</f>
        <v/>
      </c>
      <c r="AL83" s="361">
        <f>AL70</f>
        <v/>
      </c>
      <c r="AM83" s="361">
        <f>SUM(AI83:AL83)</f>
        <v/>
      </c>
      <c r="AN83" s="361">
        <f>AN70</f>
        <v/>
      </c>
      <c r="AO83" s="361">
        <f>AO70</f>
        <v/>
      </c>
      <c r="AP83" s="361">
        <f>AP70</f>
        <v/>
      </c>
      <c r="AQ83" s="361">
        <f>AQ70</f>
        <v/>
      </c>
      <c r="AR83" s="361">
        <f>SUM(AN83:AQ83)</f>
        <v/>
      </c>
    </row>
    <row r="84" ht="15" customHeight="1" s="290">
      <c r="A84" s="397" t="n"/>
      <c r="B84" s="338" t="inlineStr">
        <is>
          <t xml:space="preserve">  ★ Total Opex Including D&amp;A</t>
        </is>
      </c>
      <c r="C84" s="406" t="inlineStr">
        <is>
          <t>$K/qtr</t>
        </is>
      </c>
      <c r="D84" s="419" t="inlineStr">
        <is>
          <t xml:space="preserve"> total opex ex-d&amp;a + d&amp;a</t>
        </is>
      </c>
      <c r="E84" s="407">
        <f>E82+E83</f>
        <v/>
      </c>
      <c r="F84" s="407">
        <f>F82+F83</f>
        <v/>
      </c>
      <c r="G84" s="407">
        <f>G82+G83</f>
        <v/>
      </c>
      <c r="H84" s="407">
        <f>H82+H83</f>
        <v/>
      </c>
      <c r="I84" s="407">
        <f>SUM(E84:H84)</f>
        <v/>
      </c>
      <c r="J84" s="407">
        <f>J82+J83</f>
        <v/>
      </c>
      <c r="K84" s="407">
        <f>K82+K83</f>
        <v/>
      </c>
      <c r="L84" s="407">
        <f>L82+L83</f>
        <v/>
      </c>
      <c r="M84" s="407">
        <f>M82+M83</f>
        <v/>
      </c>
      <c r="N84" s="407">
        <f>SUM(J84:M84)</f>
        <v/>
      </c>
      <c r="O84" s="407">
        <f>O82+O83</f>
        <v/>
      </c>
      <c r="P84" s="407">
        <f>P82+P83</f>
        <v/>
      </c>
      <c r="Q84" s="407">
        <f>Q82+Q83</f>
        <v/>
      </c>
      <c r="R84" s="407">
        <f>R82+R83</f>
        <v/>
      </c>
      <c r="S84" s="407">
        <f>SUM(O84:R84)</f>
        <v/>
      </c>
      <c r="T84" s="407">
        <f>T82+T83</f>
        <v/>
      </c>
      <c r="U84" s="407">
        <f>U82+U83</f>
        <v/>
      </c>
      <c r="V84" s="407">
        <f>V82+V83</f>
        <v/>
      </c>
      <c r="W84" s="407">
        <f>W82+W83</f>
        <v/>
      </c>
      <c r="X84" s="407">
        <f>SUM(T84:W84)</f>
        <v/>
      </c>
      <c r="Y84" s="407">
        <f>Y82+Y83</f>
        <v/>
      </c>
      <c r="Z84" s="407">
        <f>Z82+Z83</f>
        <v/>
      </c>
      <c r="AA84" s="407">
        <f>AA82+AA83</f>
        <v/>
      </c>
      <c r="AB84" s="407">
        <f>AB82+AB83</f>
        <v/>
      </c>
      <c r="AC84" s="407">
        <f>SUM(Y84:AB84)</f>
        <v/>
      </c>
      <c r="AD84" s="407">
        <f>AD82+AD83</f>
        <v/>
      </c>
      <c r="AE84" s="407">
        <f>AE82+AE83</f>
        <v/>
      </c>
      <c r="AF84" s="407">
        <f>AF82+AF83</f>
        <v/>
      </c>
      <c r="AG84" s="407">
        <f>AG82+AG83</f>
        <v/>
      </c>
      <c r="AH84" s="407">
        <f>SUM(AD84:AG84)</f>
        <v/>
      </c>
      <c r="AI84" s="407">
        <f>AI82+AI83</f>
        <v/>
      </c>
      <c r="AJ84" s="407">
        <f>AJ82+AJ83</f>
        <v/>
      </c>
      <c r="AK84" s="407">
        <f>AK82+AK83</f>
        <v/>
      </c>
      <c r="AL84" s="407">
        <f>AL82+AL83</f>
        <v/>
      </c>
      <c r="AM84" s="407">
        <f>SUM(AI84:AL84)</f>
        <v/>
      </c>
      <c r="AN84" s="407">
        <f>AN82+AN83</f>
        <v/>
      </c>
      <c r="AO84" s="407">
        <f>AO82+AO83</f>
        <v/>
      </c>
      <c r="AP84" s="407">
        <f>AP82+AP83</f>
        <v/>
      </c>
      <c r="AQ84" s="407">
        <f>AQ82+AQ83</f>
        <v/>
      </c>
      <c r="AR84" s="407">
        <f>SUM(AN84:AQ84)</f>
        <v/>
      </c>
    </row>
    <row r="85" ht="4.5" customHeight="1" s="290"/>
    <row r="86" ht="15" customHeight="1" s="290">
      <c r="A86" s="307" t="inlineStr">
        <is>
          <t xml:space="preserve">    D2 — OPEX EFFICIENCY RATIOS  (Diagnostic)</t>
        </is>
      </c>
    </row>
    <row r="87" ht="3" customHeight="1" s="290"/>
    <row r="88" ht="13.5" customHeight="1" s="290">
      <c r="A88" s="345" t="n"/>
      <c r="B88" s="370" t="inlineStr">
        <is>
          <t xml:space="preserve">  Total GCI (denominator)</t>
        </is>
      </c>
      <c r="C88" s="371" t="inlineStr">
        <is>
          <t>$K</t>
        </is>
      </c>
      <c r="D88" s="394" t="inlineStr">
        <is>
          <t>← Tab 05 row 195 (Total GCI)</t>
        </is>
      </c>
      <c r="E88" s="361">
        <f>'05 Revenue Engine'!E195</f>
        <v/>
      </c>
      <c r="F88" s="361">
        <f>'05 Revenue Engine'!F195</f>
        <v/>
      </c>
      <c r="G88" s="361">
        <f>'05 Revenue Engine'!G195</f>
        <v/>
      </c>
      <c r="H88" s="361">
        <f>'05 Revenue Engine'!H195</f>
        <v/>
      </c>
      <c r="I88" s="361">
        <f>SUM(E88:H88)</f>
        <v/>
      </c>
      <c r="J88" s="361">
        <f>'05 Revenue Engine'!J195</f>
        <v/>
      </c>
      <c r="K88" s="361">
        <f>'05 Revenue Engine'!K195</f>
        <v/>
      </c>
      <c r="L88" s="361">
        <f>'05 Revenue Engine'!L195</f>
        <v/>
      </c>
      <c r="M88" s="361">
        <f>'05 Revenue Engine'!M195</f>
        <v/>
      </c>
      <c r="N88" s="361">
        <f>SUM(J88:M88)</f>
        <v/>
      </c>
      <c r="O88" s="361">
        <f>'05 Revenue Engine'!O195</f>
        <v/>
      </c>
      <c r="P88" s="361">
        <f>'05 Revenue Engine'!P195</f>
        <v/>
      </c>
      <c r="Q88" s="361">
        <f>'05 Revenue Engine'!Q195</f>
        <v/>
      </c>
      <c r="R88" s="361">
        <f>'05 Revenue Engine'!R195</f>
        <v/>
      </c>
      <c r="S88" s="361">
        <f>SUM(O88:R88)</f>
        <v/>
      </c>
      <c r="T88" s="361">
        <f>'05 Revenue Engine'!T195</f>
        <v/>
      </c>
      <c r="U88" s="361">
        <f>'05 Revenue Engine'!U195</f>
        <v/>
      </c>
      <c r="V88" s="361">
        <f>'05 Revenue Engine'!V195</f>
        <v/>
      </c>
      <c r="W88" s="361">
        <f>'05 Revenue Engine'!W195</f>
        <v/>
      </c>
      <c r="X88" s="361">
        <f>SUM(T88:W88)</f>
        <v/>
      </c>
      <c r="Y88" s="361">
        <f>'05 Revenue Engine'!Y195</f>
        <v/>
      </c>
      <c r="Z88" s="361">
        <f>'05 Revenue Engine'!Z195</f>
        <v/>
      </c>
      <c r="AA88" s="361">
        <f>'05 Revenue Engine'!AA195</f>
        <v/>
      </c>
      <c r="AB88" s="361">
        <f>'05 Revenue Engine'!AB195</f>
        <v/>
      </c>
      <c r="AC88" s="361">
        <f>SUM(Y88:AB88)</f>
        <v/>
      </c>
      <c r="AD88" s="361">
        <f>'05 Revenue Engine'!AD195</f>
        <v/>
      </c>
      <c r="AE88" s="361">
        <f>'05 Revenue Engine'!AE195</f>
        <v/>
      </c>
      <c r="AF88" s="361">
        <f>'05 Revenue Engine'!AF195</f>
        <v/>
      </c>
      <c r="AG88" s="361">
        <f>'05 Revenue Engine'!AG195</f>
        <v/>
      </c>
      <c r="AH88" s="361">
        <f>SUM(AD88:AG88)</f>
        <v/>
      </c>
      <c r="AI88" s="361">
        <f>'05 Revenue Engine'!AI195</f>
        <v/>
      </c>
      <c r="AJ88" s="361">
        <f>'05 Revenue Engine'!AJ195</f>
        <v/>
      </c>
      <c r="AK88" s="361">
        <f>'05 Revenue Engine'!AK195</f>
        <v/>
      </c>
      <c r="AL88" s="361">
        <f>'05 Revenue Engine'!AL195</f>
        <v/>
      </c>
      <c r="AM88" s="361">
        <f>SUM(AI88:AL88)</f>
        <v/>
      </c>
      <c r="AN88" s="361">
        <f>'05 Revenue Engine'!AN195</f>
        <v/>
      </c>
      <c r="AO88" s="361">
        <f>'05 Revenue Engine'!AO195</f>
        <v/>
      </c>
      <c r="AP88" s="361">
        <f>'05 Revenue Engine'!AP195</f>
        <v/>
      </c>
      <c r="AQ88" s="361">
        <f>'05 Revenue Engine'!AQ195</f>
        <v/>
      </c>
      <c r="AR88" s="361">
        <f>SUM(AN88:AQ88)</f>
        <v/>
      </c>
    </row>
    <row r="89" ht="13.5" customHeight="1" s="290">
      <c r="A89" s="345" t="n"/>
      <c r="B89" s="370" t="inlineStr">
        <is>
          <t xml:space="preserve">  Company Dollar (denominator)</t>
        </is>
      </c>
      <c r="C89" s="371" t="inlineStr">
        <is>
          <t>$K</t>
        </is>
      </c>
      <c r="D89" s="394" t="inlineStr">
        <is>
          <t>← Tab 06 row 207 (Company Dollar)</t>
        </is>
      </c>
      <c r="E89" s="361">
        <f>'06 Compensation Engine'!E207</f>
        <v/>
      </c>
      <c r="F89" s="361">
        <f>'06 Compensation Engine'!F207</f>
        <v/>
      </c>
      <c r="G89" s="361">
        <f>'06 Compensation Engine'!G207</f>
        <v/>
      </c>
      <c r="H89" s="361">
        <f>'06 Compensation Engine'!H207</f>
        <v/>
      </c>
      <c r="I89" s="361">
        <f>SUM(E89:H89)</f>
        <v/>
      </c>
      <c r="J89" s="361">
        <f>'06 Compensation Engine'!J207</f>
        <v/>
      </c>
      <c r="K89" s="361">
        <f>'06 Compensation Engine'!K207</f>
        <v/>
      </c>
      <c r="L89" s="361">
        <f>'06 Compensation Engine'!L207</f>
        <v/>
      </c>
      <c r="M89" s="361">
        <f>'06 Compensation Engine'!M207</f>
        <v/>
      </c>
      <c r="N89" s="361">
        <f>SUM(J89:M89)</f>
        <v/>
      </c>
      <c r="O89" s="361">
        <f>'06 Compensation Engine'!O207</f>
        <v/>
      </c>
      <c r="P89" s="361">
        <f>'06 Compensation Engine'!P207</f>
        <v/>
      </c>
      <c r="Q89" s="361">
        <f>'06 Compensation Engine'!Q207</f>
        <v/>
      </c>
      <c r="R89" s="361">
        <f>'06 Compensation Engine'!R207</f>
        <v/>
      </c>
      <c r="S89" s="361">
        <f>SUM(O89:R89)</f>
        <v/>
      </c>
      <c r="T89" s="361">
        <f>'06 Compensation Engine'!T207</f>
        <v/>
      </c>
      <c r="U89" s="361">
        <f>'06 Compensation Engine'!U207</f>
        <v/>
      </c>
      <c r="V89" s="361">
        <f>'06 Compensation Engine'!V207</f>
        <v/>
      </c>
      <c r="W89" s="361">
        <f>'06 Compensation Engine'!W207</f>
        <v/>
      </c>
      <c r="X89" s="361">
        <f>SUM(T89:W89)</f>
        <v/>
      </c>
      <c r="Y89" s="361">
        <f>'06 Compensation Engine'!Y207</f>
        <v/>
      </c>
      <c r="Z89" s="361">
        <f>'06 Compensation Engine'!Z207</f>
        <v/>
      </c>
      <c r="AA89" s="361">
        <f>'06 Compensation Engine'!AA207</f>
        <v/>
      </c>
      <c r="AB89" s="361">
        <f>'06 Compensation Engine'!AB207</f>
        <v/>
      </c>
      <c r="AC89" s="361">
        <f>SUM(Y89:AB89)</f>
        <v/>
      </c>
      <c r="AD89" s="361">
        <f>'06 Compensation Engine'!AD207</f>
        <v/>
      </c>
      <c r="AE89" s="361">
        <f>'06 Compensation Engine'!AE207</f>
        <v/>
      </c>
      <c r="AF89" s="361">
        <f>'06 Compensation Engine'!AF207</f>
        <v/>
      </c>
      <c r="AG89" s="361">
        <f>'06 Compensation Engine'!AG207</f>
        <v/>
      </c>
      <c r="AH89" s="361">
        <f>SUM(AD89:AG89)</f>
        <v/>
      </c>
      <c r="AI89" s="361">
        <f>'06 Compensation Engine'!AI207</f>
        <v/>
      </c>
      <c r="AJ89" s="361">
        <f>'06 Compensation Engine'!AJ207</f>
        <v/>
      </c>
      <c r="AK89" s="361">
        <f>'06 Compensation Engine'!AK207</f>
        <v/>
      </c>
      <c r="AL89" s="361">
        <f>'06 Compensation Engine'!AL207</f>
        <v/>
      </c>
      <c r="AM89" s="361">
        <f>SUM(AI89:AL89)</f>
        <v/>
      </c>
      <c r="AN89" s="361">
        <f>'06 Compensation Engine'!AN207</f>
        <v/>
      </c>
      <c r="AO89" s="361">
        <f>'06 Compensation Engine'!AO207</f>
        <v/>
      </c>
      <c r="AP89" s="361">
        <f>'06 Compensation Engine'!AP207</f>
        <v/>
      </c>
      <c r="AQ89" s="361">
        <f>'06 Compensation Engine'!AQ207</f>
        <v/>
      </c>
      <c r="AR89" s="361">
        <f>SUM(AN89:AQ89)</f>
        <v/>
      </c>
    </row>
    <row r="90" ht="13.5" customHeight="1" s="290">
      <c r="A90" s="345" t="n"/>
      <c r="B90" s="370" t="inlineStr">
        <is>
          <t xml:space="preserve">  Total Firm EPE (denominator)</t>
        </is>
      </c>
      <c r="C90" s="371" t="inlineStr">
        <is>
          <t>EPE</t>
        </is>
      </c>
      <c r="D90" s="394" t="inlineStr">
        <is>
          <t>← Tab 04 row 213 (Total Firm EPE)</t>
        </is>
      </c>
      <c r="E90" s="361">
        <f>'04 Producer Engine'!E213</f>
        <v/>
      </c>
      <c r="F90" s="361">
        <f>'04 Producer Engine'!F213</f>
        <v/>
      </c>
      <c r="G90" s="361">
        <f>'04 Producer Engine'!G213</f>
        <v/>
      </c>
      <c r="H90" s="361">
        <f>'04 Producer Engine'!H213</f>
        <v/>
      </c>
      <c r="I90" s="361">
        <f>AVERAGE(E90:H90)</f>
        <v/>
      </c>
      <c r="J90" s="361">
        <f>'04 Producer Engine'!J213</f>
        <v/>
      </c>
      <c r="K90" s="361">
        <f>'04 Producer Engine'!K213</f>
        <v/>
      </c>
      <c r="L90" s="361">
        <f>'04 Producer Engine'!L213</f>
        <v/>
      </c>
      <c r="M90" s="361">
        <f>'04 Producer Engine'!M213</f>
        <v/>
      </c>
      <c r="N90" s="361">
        <f>AVERAGE(J90:M90)</f>
        <v/>
      </c>
      <c r="O90" s="361">
        <f>'04 Producer Engine'!O213</f>
        <v/>
      </c>
      <c r="P90" s="361">
        <f>'04 Producer Engine'!P213</f>
        <v/>
      </c>
      <c r="Q90" s="361">
        <f>'04 Producer Engine'!Q213</f>
        <v/>
      </c>
      <c r="R90" s="361">
        <f>'04 Producer Engine'!R213</f>
        <v/>
      </c>
      <c r="S90" s="361">
        <f>AVERAGE(O90:R90)</f>
        <v/>
      </c>
      <c r="T90" s="361">
        <f>'04 Producer Engine'!T213</f>
        <v/>
      </c>
      <c r="U90" s="361">
        <f>'04 Producer Engine'!U213</f>
        <v/>
      </c>
      <c r="V90" s="361">
        <f>'04 Producer Engine'!V213</f>
        <v/>
      </c>
      <c r="W90" s="361">
        <f>'04 Producer Engine'!W213</f>
        <v/>
      </c>
      <c r="X90" s="361">
        <f>AVERAGE(T90:W90)</f>
        <v/>
      </c>
      <c r="Y90" s="361">
        <f>'04 Producer Engine'!Y213</f>
        <v/>
      </c>
      <c r="Z90" s="361">
        <f>'04 Producer Engine'!Z213</f>
        <v/>
      </c>
      <c r="AA90" s="361">
        <f>'04 Producer Engine'!AA213</f>
        <v/>
      </c>
      <c r="AB90" s="361">
        <f>'04 Producer Engine'!AB213</f>
        <v/>
      </c>
      <c r="AC90" s="361">
        <f>AVERAGE(Y90:AB90)</f>
        <v/>
      </c>
      <c r="AD90" s="361">
        <f>'04 Producer Engine'!AD213</f>
        <v/>
      </c>
      <c r="AE90" s="361">
        <f>'04 Producer Engine'!AE213</f>
        <v/>
      </c>
      <c r="AF90" s="361">
        <f>'04 Producer Engine'!AF213</f>
        <v/>
      </c>
      <c r="AG90" s="361">
        <f>'04 Producer Engine'!AG213</f>
        <v/>
      </c>
      <c r="AH90" s="361">
        <f>AVERAGE(AD90:AG90)</f>
        <v/>
      </c>
      <c r="AI90" s="361">
        <f>'04 Producer Engine'!AI213</f>
        <v/>
      </c>
      <c r="AJ90" s="361">
        <f>'04 Producer Engine'!AJ213</f>
        <v/>
      </c>
      <c r="AK90" s="361">
        <f>'04 Producer Engine'!AK213</f>
        <v/>
      </c>
      <c r="AL90" s="361">
        <f>'04 Producer Engine'!AL213</f>
        <v/>
      </c>
      <c r="AM90" s="361">
        <f>AVERAGE(AI90:AL90)</f>
        <v/>
      </c>
      <c r="AN90" s="361">
        <f>'04 Producer Engine'!AN213</f>
        <v/>
      </c>
      <c r="AO90" s="361">
        <f>'04 Producer Engine'!AO213</f>
        <v/>
      </c>
      <c r="AP90" s="361">
        <f>'04 Producer Engine'!AP213</f>
        <v/>
      </c>
      <c r="AQ90" s="361">
        <f>'04 Producer Engine'!AQ213</f>
        <v/>
      </c>
      <c r="AR90" s="361">
        <f>AVERAGE(AN90:AQ90)</f>
        <v/>
      </c>
    </row>
    <row r="91" ht="3" customHeight="1" s="290"/>
    <row r="92" ht="13.5" customHeight="1" s="290">
      <c r="A92" s="395" t="n"/>
      <c r="B92" s="373" t="inlineStr">
        <is>
          <t xml:space="preserve">  Opex / GCI  (Total Opex ex-D&amp;A ÷ GCI)</t>
        </is>
      </c>
      <c r="C92" s="374" t="inlineStr">
        <is>
          <t>%</t>
        </is>
      </c>
      <c r="D92" s="396" t="inlineStr">
        <is>
          <t xml:space="preserve"> total opex ex-d&amp;a ÷ Total GCI  (diagnostic — expect 15–30%)</t>
        </is>
      </c>
      <c r="E92" s="376">
        <f>IFERROR(E82/E88,0)</f>
        <v/>
      </c>
      <c r="F92" s="376">
        <f>IFERROR(F82/F88,0)</f>
        <v/>
      </c>
      <c r="G92" s="376">
        <f>IFERROR(G82/G88,0)</f>
        <v/>
      </c>
      <c r="H92" s="376">
        <f>IFERROR(H82/H88,0)</f>
        <v/>
      </c>
      <c r="I92" s="344">
        <f>IFERROR(I82/I88,0)</f>
        <v/>
      </c>
      <c r="J92" s="376">
        <f>IFERROR(J82/J88,0)</f>
        <v/>
      </c>
      <c r="K92" s="376">
        <f>IFERROR(K82/K88,0)</f>
        <v/>
      </c>
      <c r="L92" s="376">
        <f>IFERROR(L82/L88,0)</f>
        <v/>
      </c>
      <c r="M92" s="376">
        <f>IFERROR(M82/M88,0)</f>
        <v/>
      </c>
      <c r="N92" s="344">
        <f>IFERROR(N82/N88,0)</f>
        <v/>
      </c>
      <c r="O92" s="376">
        <f>IFERROR(O82/O88,0)</f>
        <v/>
      </c>
      <c r="P92" s="376">
        <f>IFERROR(P82/P88,0)</f>
        <v/>
      </c>
      <c r="Q92" s="376">
        <f>IFERROR(Q82/Q88,0)</f>
        <v/>
      </c>
      <c r="R92" s="376">
        <f>IFERROR(R82/R88,0)</f>
        <v/>
      </c>
      <c r="S92" s="344">
        <f>IFERROR(S82/S88,0)</f>
        <v/>
      </c>
      <c r="T92" s="376">
        <f>IFERROR(T82/T88,0)</f>
        <v/>
      </c>
      <c r="U92" s="376">
        <f>IFERROR(U82/U88,0)</f>
        <v/>
      </c>
      <c r="V92" s="376">
        <f>IFERROR(V82/V88,0)</f>
        <v/>
      </c>
      <c r="W92" s="376">
        <f>IFERROR(W82/W88,0)</f>
        <v/>
      </c>
      <c r="X92" s="344">
        <f>IFERROR(X82/X88,0)</f>
        <v/>
      </c>
      <c r="Y92" s="376">
        <f>IFERROR(Y82/Y88,0)</f>
        <v/>
      </c>
      <c r="Z92" s="376">
        <f>IFERROR(Z82/Z88,0)</f>
        <v/>
      </c>
      <c r="AA92" s="376">
        <f>IFERROR(AA82/AA88,0)</f>
        <v/>
      </c>
      <c r="AB92" s="376">
        <f>IFERROR(AB82/AB88,0)</f>
        <v/>
      </c>
      <c r="AC92" s="344">
        <f>IFERROR(AC82/AC88,0)</f>
        <v/>
      </c>
      <c r="AD92" s="376">
        <f>IFERROR(AD82/AD88,0)</f>
        <v/>
      </c>
      <c r="AE92" s="376">
        <f>IFERROR(AE82/AE88,0)</f>
        <v/>
      </c>
      <c r="AF92" s="376">
        <f>IFERROR(AF82/AF88,0)</f>
        <v/>
      </c>
      <c r="AG92" s="376">
        <f>IFERROR(AG82/AG88,0)</f>
        <v/>
      </c>
      <c r="AH92" s="344">
        <f>IFERROR(AH82/AH88,0)</f>
        <v/>
      </c>
      <c r="AI92" s="376">
        <f>IFERROR(AI82/AI88,0)</f>
        <v/>
      </c>
      <c r="AJ92" s="376">
        <f>IFERROR(AJ82/AJ88,0)</f>
        <v/>
      </c>
      <c r="AK92" s="376">
        <f>IFERROR(AK82/AK88,0)</f>
        <v/>
      </c>
      <c r="AL92" s="376">
        <f>IFERROR(AL82/AL88,0)</f>
        <v/>
      </c>
      <c r="AM92" s="344">
        <f>IFERROR(AM82/AM88,0)</f>
        <v/>
      </c>
      <c r="AN92" s="376">
        <f>IFERROR(AN82/AN88,0)</f>
        <v/>
      </c>
      <c r="AO92" s="376">
        <f>IFERROR(AO82/AO88,0)</f>
        <v/>
      </c>
      <c r="AP92" s="376">
        <f>IFERROR(AP82/AP88,0)</f>
        <v/>
      </c>
      <c r="AQ92" s="376">
        <f>IFERROR(AQ82/AQ88,0)</f>
        <v/>
      </c>
      <c r="AR92" s="344">
        <f>IFERROR(AR82/AR88,0)</f>
        <v/>
      </c>
    </row>
    <row r="93" ht="13.5" customHeight="1" s="290">
      <c r="A93" s="395" t="n"/>
      <c r="B93" s="373" t="inlineStr">
        <is>
          <t xml:space="preserve">  Opex / Company Dollar  (Total Opex ex-D&amp;A ÷ Co$)</t>
        </is>
      </c>
      <c r="C93" s="374" t="inlineStr">
        <is>
          <t>%</t>
        </is>
      </c>
      <c r="D93" s="396" t="inlineStr">
        <is>
          <t xml:space="preserve"> total opex ex-d&amp;a ÷ Company Dollar  (diagnostic — expect 30–60%)</t>
        </is>
      </c>
      <c r="E93" s="376">
        <f>IFERROR(E82/E89,0)</f>
        <v/>
      </c>
      <c r="F93" s="376">
        <f>IFERROR(F82/F89,0)</f>
        <v/>
      </c>
      <c r="G93" s="376">
        <f>IFERROR(G82/G89,0)</f>
        <v/>
      </c>
      <c r="H93" s="376">
        <f>IFERROR(H82/H89,0)</f>
        <v/>
      </c>
      <c r="I93" s="344">
        <f>IFERROR(I82/I89,0)</f>
        <v/>
      </c>
      <c r="J93" s="376">
        <f>IFERROR(J82/J89,0)</f>
        <v/>
      </c>
      <c r="K93" s="376">
        <f>IFERROR(K82/K89,0)</f>
        <v/>
      </c>
      <c r="L93" s="376">
        <f>IFERROR(L82/L89,0)</f>
        <v/>
      </c>
      <c r="M93" s="376">
        <f>IFERROR(M82/M89,0)</f>
        <v/>
      </c>
      <c r="N93" s="344">
        <f>IFERROR(N82/N89,0)</f>
        <v/>
      </c>
      <c r="O93" s="376">
        <f>IFERROR(O82/O89,0)</f>
        <v/>
      </c>
      <c r="P93" s="376">
        <f>IFERROR(P82/P89,0)</f>
        <v/>
      </c>
      <c r="Q93" s="376">
        <f>IFERROR(Q82/Q89,0)</f>
        <v/>
      </c>
      <c r="R93" s="376">
        <f>IFERROR(R82/R89,0)</f>
        <v/>
      </c>
      <c r="S93" s="344">
        <f>IFERROR(S82/S89,0)</f>
        <v/>
      </c>
      <c r="T93" s="376">
        <f>IFERROR(T82/T89,0)</f>
        <v/>
      </c>
      <c r="U93" s="376">
        <f>IFERROR(U82/U89,0)</f>
        <v/>
      </c>
      <c r="V93" s="376">
        <f>IFERROR(V82/V89,0)</f>
        <v/>
      </c>
      <c r="W93" s="376">
        <f>IFERROR(W82/W89,0)</f>
        <v/>
      </c>
      <c r="X93" s="344">
        <f>IFERROR(X82/X89,0)</f>
        <v/>
      </c>
      <c r="Y93" s="376">
        <f>IFERROR(Y82/Y89,0)</f>
        <v/>
      </c>
      <c r="Z93" s="376">
        <f>IFERROR(Z82/Z89,0)</f>
        <v/>
      </c>
      <c r="AA93" s="376">
        <f>IFERROR(AA82/AA89,0)</f>
        <v/>
      </c>
      <c r="AB93" s="376">
        <f>IFERROR(AB82/AB89,0)</f>
        <v/>
      </c>
      <c r="AC93" s="344">
        <f>IFERROR(AC82/AC89,0)</f>
        <v/>
      </c>
      <c r="AD93" s="376">
        <f>IFERROR(AD82/AD89,0)</f>
        <v/>
      </c>
      <c r="AE93" s="376">
        <f>IFERROR(AE82/AE89,0)</f>
        <v/>
      </c>
      <c r="AF93" s="376">
        <f>IFERROR(AF82/AF89,0)</f>
        <v/>
      </c>
      <c r="AG93" s="376">
        <f>IFERROR(AG82/AG89,0)</f>
        <v/>
      </c>
      <c r="AH93" s="344">
        <f>IFERROR(AH82/AH89,0)</f>
        <v/>
      </c>
      <c r="AI93" s="376">
        <f>IFERROR(AI82/AI89,0)</f>
        <v/>
      </c>
      <c r="AJ93" s="376">
        <f>IFERROR(AJ82/AJ89,0)</f>
        <v/>
      </c>
      <c r="AK93" s="376">
        <f>IFERROR(AK82/AK89,0)</f>
        <v/>
      </c>
      <c r="AL93" s="376">
        <f>IFERROR(AL82/AL89,0)</f>
        <v/>
      </c>
      <c r="AM93" s="344">
        <f>IFERROR(AM82/AM89,0)</f>
        <v/>
      </c>
      <c r="AN93" s="376">
        <f>IFERROR(AN82/AN89,0)</f>
        <v/>
      </c>
      <c r="AO93" s="376">
        <f>IFERROR(AO82/AO89,0)</f>
        <v/>
      </c>
      <c r="AP93" s="376">
        <f>IFERROR(AP82/AP89,0)</f>
        <v/>
      </c>
      <c r="AQ93" s="376">
        <f>IFERROR(AQ82/AQ89,0)</f>
        <v/>
      </c>
      <c r="AR93" s="344">
        <f>IFERROR(AR82/AR89,0)</f>
        <v/>
      </c>
    </row>
    <row r="94" ht="13.5" customHeight="1" s="290">
      <c r="A94" s="395" t="n"/>
      <c r="B94" s="373" t="inlineStr">
        <is>
          <t xml:space="preserve">  Opex per EPE  (Total Opex ex-D&amp;A ÷ Total EPE)</t>
        </is>
      </c>
      <c r="C94" s="374" t="inlineStr">
        <is>
          <t>$K/EPE</t>
        </is>
      </c>
      <c r="D94" s="396" t="inlineStr">
        <is>
          <t xml:space="preserve"> total opex ex-d&amp;a ÷ Total Firm EPE</t>
        </is>
      </c>
      <c r="E94" s="376">
        <f>IFERROR(E82/E90,0)</f>
        <v/>
      </c>
      <c r="F94" s="376">
        <f>IFERROR(F82/F90,0)</f>
        <v/>
      </c>
      <c r="G94" s="376">
        <f>IFERROR(G82/G90,0)</f>
        <v/>
      </c>
      <c r="H94" s="376">
        <f>IFERROR(H82/H90,0)</f>
        <v/>
      </c>
      <c r="I94" s="344">
        <f>IFERROR(I82/I90,0)</f>
        <v/>
      </c>
      <c r="J94" s="376">
        <f>IFERROR(J82/J90,0)</f>
        <v/>
      </c>
      <c r="K94" s="376">
        <f>IFERROR(K82/K90,0)</f>
        <v/>
      </c>
      <c r="L94" s="376">
        <f>IFERROR(L82/L90,0)</f>
        <v/>
      </c>
      <c r="M94" s="376">
        <f>IFERROR(M82/M90,0)</f>
        <v/>
      </c>
      <c r="N94" s="344">
        <f>IFERROR(N82/N90,0)</f>
        <v/>
      </c>
      <c r="O94" s="376">
        <f>IFERROR(O82/O90,0)</f>
        <v/>
      </c>
      <c r="P94" s="376">
        <f>IFERROR(P82/P90,0)</f>
        <v/>
      </c>
      <c r="Q94" s="376">
        <f>IFERROR(Q82/Q90,0)</f>
        <v/>
      </c>
      <c r="R94" s="376">
        <f>IFERROR(R82/R90,0)</f>
        <v/>
      </c>
      <c r="S94" s="344">
        <f>IFERROR(S82/S90,0)</f>
        <v/>
      </c>
      <c r="T94" s="376">
        <f>IFERROR(T82/T90,0)</f>
        <v/>
      </c>
      <c r="U94" s="376">
        <f>IFERROR(U82/U90,0)</f>
        <v/>
      </c>
      <c r="V94" s="376">
        <f>IFERROR(V82/V90,0)</f>
        <v/>
      </c>
      <c r="W94" s="376">
        <f>IFERROR(W82/W90,0)</f>
        <v/>
      </c>
      <c r="X94" s="344">
        <f>IFERROR(X82/X90,0)</f>
        <v/>
      </c>
      <c r="Y94" s="376">
        <f>IFERROR(Y82/Y90,0)</f>
        <v/>
      </c>
      <c r="Z94" s="376">
        <f>IFERROR(Z82/Z90,0)</f>
        <v/>
      </c>
      <c r="AA94" s="376">
        <f>IFERROR(AA82/AA90,0)</f>
        <v/>
      </c>
      <c r="AB94" s="376">
        <f>IFERROR(AB82/AB90,0)</f>
        <v/>
      </c>
      <c r="AC94" s="344">
        <f>IFERROR(AC82/AC90,0)</f>
        <v/>
      </c>
      <c r="AD94" s="376">
        <f>IFERROR(AD82/AD90,0)</f>
        <v/>
      </c>
      <c r="AE94" s="376">
        <f>IFERROR(AE82/AE90,0)</f>
        <v/>
      </c>
      <c r="AF94" s="376">
        <f>IFERROR(AF82/AF90,0)</f>
        <v/>
      </c>
      <c r="AG94" s="376">
        <f>IFERROR(AG82/AG90,0)</f>
        <v/>
      </c>
      <c r="AH94" s="344">
        <f>IFERROR(AH82/AH90,0)</f>
        <v/>
      </c>
      <c r="AI94" s="376">
        <f>IFERROR(AI82/AI90,0)</f>
        <v/>
      </c>
      <c r="AJ94" s="376">
        <f>IFERROR(AJ82/AJ90,0)</f>
        <v/>
      </c>
      <c r="AK94" s="376">
        <f>IFERROR(AK82/AK90,0)</f>
        <v/>
      </c>
      <c r="AL94" s="376">
        <f>IFERROR(AL82/AL90,0)</f>
        <v/>
      </c>
      <c r="AM94" s="344">
        <f>IFERROR(AM82/AM90,0)</f>
        <v/>
      </c>
      <c r="AN94" s="376">
        <f>IFERROR(AN82/AN90,0)</f>
        <v/>
      </c>
      <c r="AO94" s="376">
        <f>IFERROR(AO82/AO90,0)</f>
        <v/>
      </c>
      <c r="AP94" s="376">
        <f>IFERROR(AP82/AP90,0)</f>
        <v/>
      </c>
      <c r="AQ94" s="376">
        <f>IFERROR(AQ82/AQ90,0)</f>
        <v/>
      </c>
      <c r="AR94" s="344">
        <f>IFERROR(AR82/AR90,0)</f>
        <v/>
      </c>
    </row>
    <row r="95" ht="13.5" customHeight="1" s="290">
      <c r="A95" s="395" t="n"/>
      <c r="B95" s="373" t="inlineStr">
        <is>
          <t xml:space="preserve">  Fixed Opex as % of Total Opex ex-D&amp;A</t>
        </is>
      </c>
      <c r="C95" s="374" t="inlineStr">
        <is>
          <t>%</t>
        </is>
      </c>
      <c r="D95" s="396" t="inlineStr">
        <is>
          <t xml:space="preserve"> fixed ÷ Total Opex ex-D&amp;A  (operating leverage indicator)</t>
        </is>
      </c>
      <c r="E95" s="376">
        <f>IFERROR(E80/E82,0)</f>
        <v/>
      </c>
      <c r="F95" s="376">
        <f>IFERROR(F80/F82,0)</f>
        <v/>
      </c>
      <c r="G95" s="376">
        <f>IFERROR(G80/G82,0)</f>
        <v/>
      </c>
      <c r="H95" s="376">
        <f>IFERROR(H80/H82,0)</f>
        <v/>
      </c>
      <c r="I95" s="344">
        <f>IFERROR(I80/I82,0)</f>
        <v/>
      </c>
      <c r="J95" s="376">
        <f>IFERROR(J80/J82,0)</f>
        <v/>
      </c>
      <c r="K95" s="376">
        <f>IFERROR(K80/K82,0)</f>
        <v/>
      </c>
      <c r="L95" s="376">
        <f>IFERROR(L80/L82,0)</f>
        <v/>
      </c>
      <c r="M95" s="376">
        <f>IFERROR(M80/M82,0)</f>
        <v/>
      </c>
      <c r="N95" s="344">
        <f>IFERROR(N80/N82,0)</f>
        <v/>
      </c>
      <c r="O95" s="376">
        <f>IFERROR(O80/O82,0)</f>
        <v/>
      </c>
      <c r="P95" s="376">
        <f>IFERROR(P80/P82,0)</f>
        <v/>
      </c>
      <c r="Q95" s="376">
        <f>IFERROR(Q80/Q82,0)</f>
        <v/>
      </c>
      <c r="R95" s="376">
        <f>IFERROR(R80/R82,0)</f>
        <v/>
      </c>
      <c r="S95" s="344">
        <f>IFERROR(S80/S82,0)</f>
        <v/>
      </c>
      <c r="T95" s="376">
        <f>IFERROR(T80/T82,0)</f>
        <v/>
      </c>
      <c r="U95" s="376">
        <f>IFERROR(U80/U82,0)</f>
        <v/>
      </c>
      <c r="V95" s="376">
        <f>IFERROR(V80/V82,0)</f>
        <v/>
      </c>
      <c r="W95" s="376">
        <f>IFERROR(W80/W82,0)</f>
        <v/>
      </c>
      <c r="X95" s="344">
        <f>IFERROR(X80/X82,0)</f>
        <v/>
      </c>
      <c r="Y95" s="376">
        <f>IFERROR(Y80/Y82,0)</f>
        <v/>
      </c>
      <c r="Z95" s="376">
        <f>IFERROR(Z80/Z82,0)</f>
        <v/>
      </c>
      <c r="AA95" s="376">
        <f>IFERROR(AA80/AA82,0)</f>
        <v/>
      </c>
      <c r="AB95" s="376">
        <f>IFERROR(AB80/AB82,0)</f>
        <v/>
      </c>
      <c r="AC95" s="344">
        <f>IFERROR(AC80/AC82,0)</f>
        <v/>
      </c>
      <c r="AD95" s="376">
        <f>IFERROR(AD80/AD82,0)</f>
        <v/>
      </c>
      <c r="AE95" s="376">
        <f>IFERROR(AE80/AE82,0)</f>
        <v/>
      </c>
      <c r="AF95" s="376">
        <f>IFERROR(AF80/AF82,0)</f>
        <v/>
      </c>
      <c r="AG95" s="376">
        <f>IFERROR(AG80/AG82,0)</f>
        <v/>
      </c>
      <c r="AH95" s="344">
        <f>IFERROR(AH80/AH82,0)</f>
        <v/>
      </c>
      <c r="AI95" s="376">
        <f>IFERROR(AI80/AI82,0)</f>
        <v/>
      </c>
      <c r="AJ95" s="376">
        <f>IFERROR(AJ80/AJ82,0)</f>
        <v/>
      </c>
      <c r="AK95" s="376">
        <f>IFERROR(AK80/AK82,0)</f>
        <v/>
      </c>
      <c r="AL95" s="376">
        <f>IFERROR(AL80/AL82,0)</f>
        <v/>
      </c>
      <c r="AM95" s="344">
        <f>IFERROR(AM80/AM82,0)</f>
        <v/>
      </c>
      <c r="AN95" s="376">
        <f>IFERROR(AN80/AN82,0)</f>
        <v/>
      </c>
      <c r="AO95" s="376">
        <f>IFERROR(AO80/AO82,0)</f>
        <v/>
      </c>
      <c r="AP95" s="376">
        <f>IFERROR(AP80/AP82,0)</f>
        <v/>
      </c>
      <c r="AQ95" s="376">
        <f>IFERROR(AQ80/AQ82,0)</f>
        <v/>
      </c>
      <c r="AR95" s="344">
        <f>IFERROR(AR80/AR82,0)</f>
        <v/>
      </c>
    </row>
    <row r="96" ht="13.5" customHeight="1" s="290">
      <c r="A96" s="395" t="n"/>
      <c r="B96" s="373" t="inlineStr">
        <is>
          <t xml:space="preserve">  Variable Opex as % of Total Opex ex-D&amp;A</t>
        </is>
      </c>
      <c r="C96" s="374" t="inlineStr">
        <is>
          <t>%</t>
        </is>
      </c>
      <c r="D96" s="396" t="inlineStr">
        <is>
          <t xml:space="preserve"> variable ÷ Total Opex ex-D&amp;A</t>
        </is>
      </c>
      <c r="E96" s="376">
        <f>IFERROR(E81/E82,0)</f>
        <v/>
      </c>
      <c r="F96" s="376">
        <f>IFERROR(F81/F82,0)</f>
        <v/>
      </c>
      <c r="G96" s="376">
        <f>IFERROR(G81/G82,0)</f>
        <v/>
      </c>
      <c r="H96" s="376">
        <f>IFERROR(H81/H82,0)</f>
        <v/>
      </c>
      <c r="I96" s="344">
        <f>IFERROR(I81/I82,0)</f>
        <v/>
      </c>
      <c r="J96" s="376">
        <f>IFERROR(J81/J82,0)</f>
        <v/>
      </c>
      <c r="K96" s="376">
        <f>IFERROR(K81/K82,0)</f>
        <v/>
      </c>
      <c r="L96" s="376">
        <f>IFERROR(L81/L82,0)</f>
        <v/>
      </c>
      <c r="M96" s="376">
        <f>IFERROR(M81/M82,0)</f>
        <v/>
      </c>
      <c r="N96" s="344">
        <f>IFERROR(N81/N82,0)</f>
        <v/>
      </c>
      <c r="O96" s="376">
        <f>IFERROR(O81/O82,0)</f>
        <v/>
      </c>
      <c r="P96" s="376">
        <f>IFERROR(P81/P82,0)</f>
        <v/>
      </c>
      <c r="Q96" s="376">
        <f>IFERROR(Q81/Q82,0)</f>
        <v/>
      </c>
      <c r="R96" s="376">
        <f>IFERROR(R81/R82,0)</f>
        <v/>
      </c>
      <c r="S96" s="344">
        <f>IFERROR(S81/S82,0)</f>
        <v/>
      </c>
      <c r="T96" s="376">
        <f>IFERROR(T81/T82,0)</f>
        <v/>
      </c>
      <c r="U96" s="376">
        <f>IFERROR(U81/U82,0)</f>
        <v/>
      </c>
      <c r="V96" s="376">
        <f>IFERROR(V81/V82,0)</f>
        <v/>
      </c>
      <c r="W96" s="376">
        <f>IFERROR(W81/W82,0)</f>
        <v/>
      </c>
      <c r="X96" s="344">
        <f>IFERROR(X81/X82,0)</f>
        <v/>
      </c>
      <c r="Y96" s="376">
        <f>IFERROR(Y81/Y82,0)</f>
        <v/>
      </c>
      <c r="Z96" s="376">
        <f>IFERROR(Z81/Z82,0)</f>
        <v/>
      </c>
      <c r="AA96" s="376">
        <f>IFERROR(AA81/AA82,0)</f>
        <v/>
      </c>
      <c r="AB96" s="376">
        <f>IFERROR(AB81/AB82,0)</f>
        <v/>
      </c>
      <c r="AC96" s="344">
        <f>IFERROR(AC81/AC82,0)</f>
        <v/>
      </c>
      <c r="AD96" s="376">
        <f>IFERROR(AD81/AD82,0)</f>
        <v/>
      </c>
      <c r="AE96" s="376">
        <f>IFERROR(AE81/AE82,0)</f>
        <v/>
      </c>
      <c r="AF96" s="376">
        <f>IFERROR(AF81/AF82,0)</f>
        <v/>
      </c>
      <c r="AG96" s="376">
        <f>IFERROR(AG81/AG82,0)</f>
        <v/>
      </c>
      <c r="AH96" s="344">
        <f>IFERROR(AH81/AH82,0)</f>
        <v/>
      </c>
      <c r="AI96" s="376">
        <f>IFERROR(AI81/AI82,0)</f>
        <v/>
      </c>
      <c r="AJ96" s="376">
        <f>IFERROR(AJ81/AJ82,0)</f>
        <v/>
      </c>
      <c r="AK96" s="376">
        <f>IFERROR(AK81/AK82,0)</f>
        <v/>
      </c>
      <c r="AL96" s="376">
        <f>IFERROR(AL81/AL82,0)</f>
        <v/>
      </c>
      <c r="AM96" s="344">
        <f>IFERROR(AM81/AM82,0)</f>
        <v/>
      </c>
      <c r="AN96" s="376">
        <f>IFERROR(AN81/AN82,0)</f>
        <v/>
      </c>
      <c r="AO96" s="376">
        <f>IFERROR(AO81/AO82,0)</f>
        <v/>
      </c>
      <c r="AP96" s="376">
        <f>IFERROR(AP81/AP82,0)</f>
        <v/>
      </c>
      <c r="AQ96" s="376">
        <f>IFERROR(AQ81/AQ82,0)</f>
        <v/>
      </c>
      <c r="AR96" s="344">
        <f>IFERROR(AR81/AR82,0)</f>
        <v/>
      </c>
    </row>
    <row r="97" ht="4.5" customHeight="1" s="290"/>
    <row r="98" ht="3" customHeight="1" s="290">
      <c r="A98" s="293" t="n"/>
    </row>
    <row r="99" ht="4.5" customHeight="1" s="290"/>
    <row r="100" ht="15.75" customHeight="1" s="290">
      <c r="A100" s="338" t="inlineStr">
        <is>
          <t xml:space="preserve">  SECTION E — OPEX ENGINE CHECKS  [ Results feed Tab 11 — Checks ]</t>
        </is>
      </c>
    </row>
    <row r="101" ht="3.75" customHeight="1" s="290"/>
    <row r="102" ht="12.75" customHeight="1" s="290">
      <c r="A102" s="348" t="inlineStr">
        <is>
          <t xml:space="preserve">  Checks run on annual columns. PASS = valid. FAIL = investigate before building Tab 08 P&amp;L. Ratio bounds: Opex/GCI &lt; 40%, Opex/Company Dollar &lt; 80%. All WARN on empty inputs (zero denominators protected by IFERROR).</t>
        </is>
      </c>
    </row>
    <row r="103" ht="3.75" customHeight="1" s="290"/>
    <row r="104" ht="15" customHeight="1" s="290">
      <c r="B104" s="358" t="inlineStr">
        <is>
          <t>Check Description</t>
        </is>
      </c>
      <c r="D104" s="358" t="inlineStr">
        <is>
          <t>Logic / Source</t>
        </is>
      </c>
      <c r="I104" s="358" t="inlineStr">
        <is>
          <t>2023A</t>
        </is>
      </c>
      <c r="N104" s="358" t="inlineStr">
        <is>
          <t>2024A</t>
        </is>
      </c>
      <c r="S104" s="358" t="inlineStr">
        <is>
          <t>2025A</t>
        </is>
      </c>
      <c r="X104" s="358" t="inlineStr">
        <is>
          <t>2026E</t>
        </is>
      </c>
      <c r="AC104" s="358" t="inlineStr">
        <is>
          <t>2027E</t>
        </is>
      </c>
      <c r="AH104" s="358" t="inlineStr">
        <is>
          <t>2028E</t>
        </is>
      </c>
      <c r="AM104" s="358" t="inlineStr">
        <is>
          <t>2029E</t>
        </is>
      </c>
      <c r="AR104" s="358" t="inlineStr">
        <is>
          <t>2030E</t>
        </is>
      </c>
    </row>
    <row r="105" ht="3" customHeight="1" s="290"/>
    <row r="106" ht="13.5" customHeight="1" s="290">
      <c r="A106" s="359" t="n"/>
      <c r="B106" s="353" t="inlineStr">
        <is>
          <t xml:space="preserve">  ✔  Fixed Opex ≥ 0</t>
        </is>
      </c>
      <c r="D106" s="354" t="inlineStr">
        <is>
          <t>Row 26</t>
        </is>
      </c>
      <c r="E106" s="368" t="inlineStr">
        <is>
          <t>—</t>
        </is>
      </c>
      <c r="F106" s="368" t="inlineStr">
        <is>
          <t>—</t>
        </is>
      </c>
      <c r="G106" s="368" t="inlineStr">
        <is>
          <t>—</t>
        </is>
      </c>
      <c r="H106" s="368" t="inlineStr">
        <is>
          <t>—</t>
        </is>
      </c>
      <c r="I106" s="356">
        <f>IF(I26&gt;=0,"PASS","FAIL — NEGATIVE FIXED OPEX")</f>
        <v/>
      </c>
      <c r="J106" s="368" t="inlineStr">
        <is>
          <t>—</t>
        </is>
      </c>
      <c r="K106" s="368" t="inlineStr">
        <is>
          <t>—</t>
        </is>
      </c>
      <c r="L106" s="368" t="inlineStr">
        <is>
          <t>—</t>
        </is>
      </c>
      <c r="M106" s="368" t="inlineStr">
        <is>
          <t>—</t>
        </is>
      </c>
      <c r="N106" s="356">
        <f>IF(N26&gt;=0,"PASS","FAIL — NEGATIVE FIXED OPEX")</f>
        <v/>
      </c>
      <c r="O106" s="368" t="inlineStr">
        <is>
          <t>—</t>
        </is>
      </c>
      <c r="P106" s="368" t="inlineStr">
        <is>
          <t>—</t>
        </is>
      </c>
      <c r="Q106" s="368" t="inlineStr">
        <is>
          <t>—</t>
        </is>
      </c>
      <c r="R106" s="368" t="inlineStr">
        <is>
          <t>—</t>
        </is>
      </c>
      <c r="S106" s="356">
        <f>IF(S26&gt;=0,"PASS","FAIL — NEGATIVE FIXED OPEX")</f>
        <v/>
      </c>
      <c r="T106" s="368" t="inlineStr">
        <is>
          <t>—</t>
        </is>
      </c>
      <c r="U106" s="368" t="inlineStr">
        <is>
          <t>—</t>
        </is>
      </c>
      <c r="V106" s="368" t="inlineStr">
        <is>
          <t>—</t>
        </is>
      </c>
      <c r="W106" s="368" t="inlineStr">
        <is>
          <t>—</t>
        </is>
      </c>
      <c r="X106" s="356">
        <f>IF(X26&gt;=0,"PASS","FAIL — NEGATIVE FIXED OPEX")</f>
        <v/>
      </c>
      <c r="Y106" s="368" t="inlineStr">
        <is>
          <t>—</t>
        </is>
      </c>
      <c r="Z106" s="368" t="inlineStr">
        <is>
          <t>—</t>
        </is>
      </c>
      <c r="AA106" s="368" t="inlineStr">
        <is>
          <t>—</t>
        </is>
      </c>
      <c r="AB106" s="368" t="inlineStr">
        <is>
          <t>—</t>
        </is>
      </c>
      <c r="AC106" s="356">
        <f>IF(AC26&gt;=0,"PASS","FAIL — NEGATIVE FIXED OPEX")</f>
        <v/>
      </c>
      <c r="AD106" s="368" t="inlineStr">
        <is>
          <t>—</t>
        </is>
      </c>
      <c r="AE106" s="368" t="inlineStr">
        <is>
          <t>—</t>
        </is>
      </c>
      <c r="AF106" s="368" t="inlineStr">
        <is>
          <t>—</t>
        </is>
      </c>
      <c r="AG106" s="368" t="inlineStr">
        <is>
          <t>—</t>
        </is>
      </c>
      <c r="AH106" s="356">
        <f>IF(AH26&gt;=0,"PASS","FAIL — NEGATIVE FIXED OPEX")</f>
        <v/>
      </c>
      <c r="AI106" s="368" t="inlineStr">
        <is>
          <t>—</t>
        </is>
      </c>
      <c r="AJ106" s="368" t="inlineStr">
        <is>
          <t>—</t>
        </is>
      </c>
      <c r="AK106" s="368" t="inlineStr">
        <is>
          <t>—</t>
        </is>
      </c>
      <c r="AL106" s="368" t="inlineStr">
        <is>
          <t>—</t>
        </is>
      </c>
      <c r="AM106" s="356">
        <f>IF(AM26&gt;=0,"PASS","FAIL — NEGATIVE FIXED OPEX")</f>
        <v/>
      </c>
      <c r="AN106" s="368" t="inlineStr">
        <is>
          <t>—</t>
        </is>
      </c>
      <c r="AO106" s="368" t="inlineStr">
        <is>
          <t>—</t>
        </is>
      </c>
      <c r="AP106" s="368" t="inlineStr">
        <is>
          <t>—</t>
        </is>
      </c>
      <c r="AQ106" s="368" t="inlineStr">
        <is>
          <t>—</t>
        </is>
      </c>
      <c r="AR106" s="356">
        <f>IF(AR26&gt;=0,"PASS","FAIL — NEGATIVE FIXED OPEX")</f>
        <v/>
      </c>
    </row>
    <row r="107" ht="13.5" customHeight="1" s="290">
      <c r="A107" s="359" t="n"/>
      <c r="B107" s="353" t="inlineStr">
        <is>
          <t xml:space="preserve">  ✔  Variable Opex ≥ 0</t>
        </is>
      </c>
      <c r="D107" s="354" t="inlineStr">
        <is>
          <t>Row 60</t>
        </is>
      </c>
      <c r="E107" s="368" t="inlineStr">
        <is>
          <t>—</t>
        </is>
      </c>
      <c r="F107" s="368" t="inlineStr">
        <is>
          <t>—</t>
        </is>
      </c>
      <c r="G107" s="368" t="inlineStr">
        <is>
          <t>—</t>
        </is>
      </c>
      <c r="H107" s="368" t="inlineStr">
        <is>
          <t>—</t>
        </is>
      </c>
      <c r="I107" s="356">
        <f>IF(I60&gt;=0,"PASS","FAIL — NEGATIVE VARIABLE OPEX")</f>
        <v/>
      </c>
      <c r="J107" s="368" t="inlineStr">
        <is>
          <t>—</t>
        </is>
      </c>
      <c r="K107" s="368" t="inlineStr">
        <is>
          <t>—</t>
        </is>
      </c>
      <c r="L107" s="368" t="inlineStr">
        <is>
          <t>—</t>
        </is>
      </c>
      <c r="M107" s="368" t="inlineStr">
        <is>
          <t>—</t>
        </is>
      </c>
      <c r="N107" s="356">
        <f>IF(N60&gt;=0,"PASS","FAIL — NEGATIVE VARIABLE OPEX")</f>
        <v/>
      </c>
      <c r="O107" s="368" t="inlineStr">
        <is>
          <t>—</t>
        </is>
      </c>
      <c r="P107" s="368" t="inlineStr">
        <is>
          <t>—</t>
        </is>
      </c>
      <c r="Q107" s="368" t="inlineStr">
        <is>
          <t>—</t>
        </is>
      </c>
      <c r="R107" s="368" t="inlineStr">
        <is>
          <t>—</t>
        </is>
      </c>
      <c r="S107" s="356">
        <f>IF(S60&gt;=0,"PASS","FAIL — NEGATIVE VARIABLE OPEX")</f>
        <v/>
      </c>
      <c r="T107" s="368" t="inlineStr">
        <is>
          <t>—</t>
        </is>
      </c>
      <c r="U107" s="368" t="inlineStr">
        <is>
          <t>—</t>
        </is>
      </c>
      <c r="V107" s="368" t="inlineStr">
        <is>
          <t>—</t>
        </is>
      </c>
      <c r="W107" s="368" t="inlineStr">
        <is>
          <t>—</t>
        </is>
      </c>
      <c r="X107" s="356">
        <f>IF(X60&gt;=0,"PASS","FAIL — NEGATIVE VARIABLE OPEX")</f>
        <v/>
      </c>
      <c r="Y107" s="368" t="inlineStr">
        <is>
          <t>—</t>
        </is>
      </c>
      <c r="Z107" s="368" t="inlineStr">
        <is>
          <t>—</t>
        </is>
      </c>
      <c r="AA107" s="368" t="inlineStr">
        <is>
          <t>—</t>
        </is>
      </c>
      <c r="AB107" s="368" t="inlineStr">
        <is>
          <t>—</t>
        </is>
      </c>
      <c r="AC107" s="356">
        <f>IF(AC60&gt;=0,"PASS","FAIL — NEGATIVE VARIABLE OPEX")</f>
        <v/>
      </c>
      <c r="AD107" s="368" t="inlineStr">
        <is>
          <t>—</t>
        </is>
      </c>
      <c r="AE107" s="368" t="inlineStr">
        <is>
          <t>—</t>
        </is>
      </c>
      <c r="AF107" s="368" t="inlineStr">
        <is>
          <t>—</t>
        </is>
      </c>
      <c r="AG107" s="368" t="inlineStr">
        <is>
          <t>—</t>
        </is>
      </c>
      <c r="AH107" s="356">
        <f>IF(AH60&gt;=0,"PASS","FAIL — NEGATIVE VARIABLE OPEX")</f>
        <v/>
      </c>
      <c r="AI107" s="368" t="inlineStr">
        <is>
          <t>—</t>
        </is>
      </c>
      <c r="AJ107" s="368" t="inlineStr">
        <is>
          <t>—</t>
        </is>
      </c>
      <c r="AK107" s="368" t="inlineStr">
        <is>
          <t>—</t>
        </is>
      </c>
      <c r="AL107" s="368" t="inlineStr">
        <is>
          <t>—</t>
        </is>
      </c>
      <c r="AM107" s="356">
        <f>IF(AM60&gt;=0,"PASS","FAIL — NEGATIVE VARIABLE OPEX")</f>
        <v/>
      </c>
      <c r="AN107" s="368" t="inlineStr">
        <is>
          <t>—</t>
        </is>
      </c>
      <c r="AO107" s="368" t="inlineStr">
        <is>
          <t>—</t>
        </is>
      </c>
      <c r="AP107" s="368" t="inlineStr">
        <is>
          <t>—</t>
        </is>
      </c>
      <c r="AQ107" s="368" t="inlineStr">
        <is>
          <t>—</t>
        </is>
      </c>
      <c r="AR107" s="356">
        <f>IF(AR60&gt;=0,"PASS","FAIL — NEGATIVE VARIABLE OPEX")</f>
        <v/>
      </c>
    </row>
    <row r="108" ht="13.5" customHeight="1" s="290">
      <c r="A108" s="359" t="n"/>
      <c r="B108" s="353" t="inlineStr">
        <is>
          <t xml:space="preserve">  ✔  Total Opex ex-D&amp;A ≥ 0</t>
        </is>
      </c>
      <c r="D108" s="354" t="inlineStr">
        <is>
          <t>Row 82</t>
        </is>
      </c>
      <c r="E108" s="368" t="inlineStr">
        <is>
          <t>—</t>
        </is>
      </c>
      <c r="F108" s="368" t="inlineStr">
        <is>
          <t>—</t>
        </is>
      </c>
      <c r="G108" s="368" t="inlineStr">
        <is>
          <t>—</t>
        </is>
      </c>
      <c r="H108" s="368" t="inlineStr">
        <is>
          <t>—</t>
        </is>
      </c>
      <c r="I108" s="356">
        <f>IF(I82&gt;=0,"PASS","FAIL — NEGATIVE OPEX")</f>
        <v/>
      </c>
      <c r="J108" s="368" t="inlineStr">
        <is>
          <t>—</t>
        </is>
      </c>
      <c r="K108" s="368" t="inlineStr">
        <is>
          <t>—</t>
        </is>
      </c>
      <c r="L108" s="368" t="inlineStr">
        <is>
          <t>—</t>
        </is>
      </c>
      <c r="M108" s="368" t="inlineStr">
        <is>
          <t>—</t>
        </is>
      </c>
      <c r="N108" s="356">
        <f>IF(N82&gt;=0,"PASS","FAIL — NEGATIVE OPEX")</f>
        <v/>
      </c>
      <c r="O108" s="368" t="inlineStr">
        <is>
          <t>—</t>
        </is>
      </c>
      <c r="P108" s="368" t="inlineStr">
        <is>
          <t>—</t>
        </is>
      </c>
      <c r="Q108" s="368" t="inlineStr">
        <is>
          <t>—</t>
        </is>
      </c>
      <c r="R108" s="368" t="inlineStr">
        <is>
          <t>—</t>
        </is>
      </c>
      <c r="S108" s="356">
        <f>IF(S82&gt;=0,"PASS","FAIL — NEGATIVE OPEX")</f>
        <v/>
      </c>
      <c r="T108" s="368" t="inlineStr">
        <is>
          <t>—</t>
        </is>
      </c>
      <c r="U108" s="368" t="inlineStr">
        <is>
          <t>—</t>
        </is>
      </c>
      <c r="V108" s="368" t="inlineStr">
        <is>
          <t>—</t>
        </is>
      </c>
      <c r="W108" s="368" t="inlineStr">
        <is>
          <t>—</t>
        </is>
      </c>
      <c r="X108" s="356">
        <f>IF(X82&gt;=0,"PASS","FAIL — NEGATIVE OPEX")</f>
        <v/>
      </c>
      <c r="Y108" s="368" t="inlineStr">
        <is>
          <t>—</t>
        </is>
      </c>
      <c r="Z108" s="368" t="inlineStr">
        <is>
          <t>—</t>
        </is>
      </c>
      <c r="AA108" s="368" t="inlineStr">
        <is>
          <t>—</t>
        </is>
      </c>
      <c r="AB108" s="368" t="inlineStr">
        <is>
          <t>—</t>
        </is>
      </c>
      <c r="AC108" s="356">
        <f>IF(AC82&gt;=0,"PASS","FAIL — NEGATIVE OPEX")</f>
        <v/>
      </c>
      <c r="AD108" s="368" t="inlineStr">
        <is>
          <t>—</t>
        </is>
      </c>
      <c r="AE108" s="368" t="inlineStr">
        <is>
          <t>—</t>
        </is>
      </c>
      <c r="AF108" s="368" t="inlineStr">
        <is>
          <t>—</t>
        </is>
      </c>
      <c r="AG108" s="368" t="inlineStr">
        <is>
          <t>—</t>
        </is>
      </c>
      <c r="AH108" s="356">
        <f>IF(AH82&gt;=0,"PASS","FAIL — NEGATIVE OPEX")</f>
        <v/>
      </c>
      <c r="AI108" s="368" t="inlineStr">
        <is>
          <t>—</t>
        </is>
      </c>
      <c r="AJ108" s="368" t="inlineStr">
        <is>
          <t>—</t>
        </is>
      </c>
      <c r="AK108" s="368" t="inlineStr">
        <is>
          <t>—</t>
        </is>
      </c>
      <c r="AL108" s="368" t="inlineStr">
        <is>
          <t>—</t>
        </is>
      </c>
      <c r="AM108" s="356">
        <f>IF(AM82&gt;=0,"PASS","FAIL — NEGATIVE OPEX")</f>
        <v/>
      </c>
      <c r="AN108" s="368" t="inlineStr">
        <is>
          <t>—</t>
        </is>
      </c>
      <c r="AO108" s="368" t="inlineStr">
        <is>
          <t>—</t>
        </is>
      </c>
      <c r="AP108" s="368" t="inlineStr">
        <is>
          <t>—</t>
        </is>
      </c>
      <c r="AQ108" s="368" t="inlineStr">
        <is>
          <t>—</t>
        </is>
      </c>
      <c r="AR108" s="356">
        <f>IF(AR82&gt;=0,"PASS","FAIL — NEGATIVE OPEX")</f>
        <v/>
      </c>
    </row>
    <row r="109" ht="13.5" customHeight="1" s="290">
      <c r="A109" s="359" t="n"/>
      <c r="B109" s="353" t="inlineStr">
        <is>
          <t xml:space="preserve">  ✔  D&amp;A ≥ 0</t>
        </is>
      </c>
      <c r="D109" s="354" t="inlineStr">
        <is>
          <t>Row 70</t>
        </is>
      </c>
      <c r="E109" s="368" t="inlineStr">
        <is>
          <t>—</t>
        </is>
      </c>
      <c r="F109" s="368" t="inlineStr">
        <is>
          <t>—</t>
        </is>
      </c>
      <c r="G109" s="368" t="inlineStr">
        <is>
          <t>—</t>
        </is>
      </c>
      <c r="H109" s="368" t="inlineStr">
        <is>
          <t>—</t>
        </is>
      </c>
      <c r="I109" s="356">
        <f>IF(I70&gt;=0,"PASS","FAIL — NEGATIVE D&amp;A")</f>
        <v/>
      </c>
      <c r="J109" s="368" t="inlineStr">
        <is>
          <t>—</t>
        </is>
      </c>
      <c r="K109" s="368" t="inlineStr">
        <is>
          <t>—</t>
        </is>
      </c>
      <c r="L109" s="368" t="inlineStr">
        <is>
          <t>—</t>
        </is>
      </c>
      <c r="M109" s="368" t="inlineStr">
        <is>
          <t>—</t>
        </is>
      </c>
      <c r="N109" s="356">
        <f>IF(N70&gt;=0,"PASS","FAIL — NEGATIVE D&amp;A")</f>
        <v/>
      </c>
      <c r="O109" s="368" t="inlineStr">
        <is>
          <t>—</t>
        </is>
      </c>
      <c r="P109" s="368" t="inlineStr">
        <is>
          <t>—</t>
        </is>
      </c>
      <c r="Q109" s="368" t="inlineStr">
        <is>
          <t>—</t>
        </is>
      </c>
      <c r="R109" s="368" t="inlineStr">
        <is>
          <t>—</t>
        </is>
      </c>
      <c r="S109" s="356">
        <f>IF(S70&gt;=0,"PASS","FAIL — NEGATIVE D&amp;A")</f>
        <v/>
      </c>
      <c r="T109" s="368" t="inlineStr">
        <is>
          <t>—</t>
        </is>
      </c>
      <c r="U109" s="368" t="inlineStr">
        <is>
          <t>—</t>
        </is>
      </c>
      <c r="V109" s="368" t="inlineStr">
        <is>
          <t>—</t>
        </is>
      </c>
      <c r="W109" s="368" t="inlineStr">
        <is>
          <t>—</t>
        </is>
      </c>
      <c r="X109" s="356">
        <f>IF(X70&gt;=0,"PASS","FAIL — NEGATIVE D&amp;A")</f>
        <v/>
      </c>
      <c r="Y109" s="368" t="inlineStr">
        <is>
          <t>—</t>
        </is>
      </c>
      <c r="Z109" s="368" t="inlineStr">
        <is>
          <t>—</t>
        </is>
      </c>
      <c r="AA109" s="368" t="inlineStr">
        <is>
          <t>—</t>
        </is>
      </c>
      <c r="AB109" s="368" t="inlineStr">
        <is>
          <t>—</t>
        </is>
      </c>
      <c r="AC109" s="356">
        <f>IF(AC70&gt;=0,"PASS","FAIL — NEGATIVE D&amp;A")</f>
        <v/>
      </c>
      <c r="AD109" s="368" t="inlineStr">
        <is>
          <t>—</t>
        </is>
      </c>
      <c r="AE109" s="368" t="inlineStr">
        <is>
          <t>—</t>
        </is>
      </c>
      <c r="AF109" s="368" t="inlineStr">
        <is>
          <t>—</t>
        </is>
      </c>
      <c r="AG109" s="368" t="inlineStr">
        <is>
          <t>—</t>
        </is>
      </c>
      <c r="AH109" s="356">
        <f>IF(AH70&gt;=0,"PASS","FAIL — NEGATIVE D&amp;A")</f>
        <v/>
      </c>
      <c r="AI109" s="368" t="inlineStr">
        <is>
          <t>—</t>
        </is>
      </c>
      <c r="AJ109" s="368" t="inlineStr">
        <is>
          <t>—</t>
        </is>
      </c>
      <c r="AK109" s="368" t="inlineStr">
        <is>
          <t>—</t>
        </is>
      </c>
      <c r="AL109" s="368" t="inlineStr">
        <is>
          <t>—</t>
        </is>
      </c>
      <c r="AM109" s="356">
        <f>IF(AM70&gt;=0,"PASS","FAIL — NEGATIVE D&amp;A")</f>
        <v/>
      </c>
      <c r="AN109" s="368" t="inlineStr">
        <is>
          <t>—</t>
        </is>
      </c>
      <c r="AO109" s="368" t="inlineStr">
        <is>
          <t>—</t>
        </is>
      </c>
      <c r="AP109" s="368" t="inlineStr">
        <is>
          <t>—</t>
        </is>
      </c>
      <c r="AQ109" s="368" t="inlineStr">
        <is>
          <t>—</t>
        </is>
      </c>
      <c r="AR109" s="356">
        <f>IF(AR70&gt;=0,"PASS","FAIL — NEGATIVE D&amp;A")</f>
        <v/>
      </c>
    </row>
    <row r="110" ht="13.5" customHeight="1" s="290">
      <c r="A110" s="359" t="n"/>
      <c r="B110" s="353" t="inlineStr">
        <is>
          <t xml:space="preserve">  ✔  Total Opex inc D&amp;A ≥ 0</t>
        </is>
      </c>
      <c r="D110" s="354" t="inlineStr">
        <is>
          <t>Row 84</t>
        </is>
      </c>
      <c r="E110" s="368" t="inlineStr">
        <is>
          <t>—</t>
        </is>
      </c>
      <c r="F110" s="368" t="inlineStr">
        <is>
          <t>—</t>
        </is>
      </c>
      <c r="G110" s="368" t="inlineStr">
        <is>
          <t>—</t>
        </is>
      </c>
      <c r="H110" s="368" t="inlineStr">
        <is>
          <t>—</t>
        </is>
      </c>
      <c r="I110" s="356">
        <f>IF(I84&gt;=0,"PASS","FAIL — NEGATIVE TOTAL OPEX")</f>
        <v/>
      </c>
      <c r="J110" s="368" t="inlineStr">
        <is>
          <t>—</t>
        </is>
      </c>
      <c r="K110" s="368" t="inlineStr">
        <is>
          <t>—</t>
        </is>
      </c>
      <c r="L110" s="368" t="inlineStr">
        <is>
          <t>—</t>
        </is>
      </c>
      <c r="M110" s="368" t="inlineStr">
        <is>
          <t>—</t>
        </is>
      </c>
      <c r="N110" s="356">
        <f>IF(N84&gt;=0,"PASS","FAIL — NEGATIVE TOTAL OPEX")</f>
        <v/>
      </c>
      <c r="O110" s="368" t="inlineStr">
        <is>
          <t>—</t>
        </is>
      </c>
      <c r="P110" s="368" t="inlineStr">
        <is>
          <t>—</t>
        </is>
      </c>
      <c r="Q110" s="368" t="inlineStr">
        <is>
          <t>—</t>
        </is>
      </c>
      <c r="R110" s="368" t="inlineStr">
        <is>
          <t>—</t>
        </is>
      </c>
      <c r="S110" s="356">
        <f>IF(S84&gt;=0,"PASS","FAIL — NEGATIVE TOTAL OPEX")</f>
        <v/>
      </c>
      <c r="T110" s="368" t="inlineStr">
        <is>
          <t>—</t>
        </is>
      </c>
      <c r="U110" s="368" t="inlineStr">
        <is>
          <t>—</t>
        </is>
      </c>
      <c r="V110" s="368" t="inlineStr">
        <is>
          <t>—</t>
        </is>
      </c>
      <c r="W110" s="368" t="inlineStr">
        <is>
          <t>—</t>
        </is>
      </c>
      <c r="X110" s="356">
        <f>IF(X84&gt;=0,"PASS","FAIL — NEGATIVE TOTAL OPEX")</f>
        <v/>
      </c>
      <c r="Y110" s="368" t="inlineStr">
        <is>
          <t>—</t>
        </is>
      </c>
      <c r="Z110" s="368" t="inlineStr">
        <is>
          <t>—</t>
        </is>
      </c>
      <c r="AA110" s="368" t="inlineStr">
        <is>
          <t>—</t>
        </is>
      </c>
      <c r="AB110" s="368" t="inlineStr">
        <is>
          <t>—</t>
        </is>
      </c>
      <c r="AC110" s="356">
        <f>IF(AC84&gt;=0,"PASS","FAIL — NEGATIVE TOTAL OPEX")</f>
        <v/>
      </c>
      <c r="AD110" s="368" t="inlineStr">
        <is>
          <t>—</t>
        </is>
      </c>
      <c r="AE110" s="368" t="inlineStr">
        <is>
          <t>—</t>
        </is>
      </c>
      <c r="AF110" s="368" t="inlineStr">
        <is>
          <t>—</t>
        </is>
      </c>
      <c r="AG110" s="368" t="inlineStr">
        <is>
          <t>—</t>
        </is>
      </c>
      <c r="AH110" s="356">
        <f>IF(AH84&gt;=0,"PASS","FAIL — NEGATIVE TOTAL OPEX")</f>
        <v/>
      </c>
      <c r="AI110" s="368" t="inlineStr">
        <is>
          <t>—</t>
        </is>
      </c>
      <c r="AJ110" s="368" t="inlineStr">
        <is>
          <t>—</t>
        </is>
      </c>
      <c r="AK110" s="368" t="inlineStr">
        <is>
          <t>—</t>
        </is>
      </c>
      <c r="AL110" s="368" t="inlineStr">
        <is>
          <t>—</t>
        </is>
      </c>
      <c r="AM110" s="356">
        <f>IF(AM84&gt;=0,"PASS","FAIL — NEGATIVE TOTAL OPEX")</f>
        <v/>
      </c>
      <c r="AN110" s="368" t="inlineStr">
        <is>
          <t>—</t>
        </is>
      </c>
      <c r="AO110" s="368" t="inlineStr">
        <is>
          <t>—</t>
        </is>
      </c>
      <c r="AP110" s="368" t="inlineStr">
        <is>
          <t>—</t>
        </is>
      </c>
      <c r="AQ110" s="368" t="inlineStr">
        <is>
          <t>—</t>
        </is>
      </c>
      <c r="AR110" s="356">
        <f>IF(AR84&gt;=0,"PASS","FAIL — NEGATIVE TOTAL OPEX")</f>
        <v/>
      </c>
    </row>
    <row r="111" ht="13.5" customHeight="1" s="290">
      <c r="A111" s="359" t="n"/>
      <c r="B111" s="353" t="inlineStr">
        <is>
          <t xml:space="preserve">  ✔  Opex / GCI &lt; 40%  (sanity bound)</t>
        </is>
      </c>
      <c r="D111" s="354" t="inlineStr">
        <is>
          <t>Row 92</t>
        </is>
      </c>
      <c r="E111" s="368" t="inlineStr">
        <is>
          <t>—</t>
        </is>
      </c>
      <c r="F111" s="368" t="inlineStr">
        <is>
          <t>—</t>
        </is>
      </c>
      <c r="G111" s="368" t="inlineStr">
        <is>
          <t>—</t>
        </is>
      </c>
      <c r="H111" s="368" t="inlineStr">
        <is>
          <t>—</t>
        </is>
      </c>
      <c r="I111" s="356">
        <f>IF(I92=0,"WARN — NO INPUTS",IF(I92&lt;0.4,"PASS","FAIL — OPEX/GCI &gt; 40%"))</f>
        <v/>
      </c>
      <c r="J111" s="368" t="inlineStr">
        <is>
          <t>—</t>
        </is>
      </c>
      <c r="K111" s="368" t="inlineStr">
        <is>
          <t>—</t>
        </is>
      </c>
      <c r="L111" s="368" t="inlineStr">
        <is>
          <t>—</t>
        </is>
      </c>
      <c r="M111" s="368" t="inlineStr">
        <is>
          <t>—</t>
        </is>
      </c>
      <c r="N111" s="356">
        <f>IF(N92=0,"WARN — NO INPUTS",IF(N92&lt;0.4,"PASS","FAIL — OPEX/GCI &gt; 40%"))</f>
        <v/>
      </c>
      <c r="O111" s="368" t="inlineStr">
        <is>
          <t>—</t>
        </is>
      </c>
      <c r="P111" s="368" t="inlineStr">
        <is>
          <t>—</t>
        </is>
      </c>
      <c r="Q111" s="368" t="inlineStr">
        <is>
          <t>—</t>
        </is>
      </c>
      <c r="R111" s="368" t="inlineStr">
        <is>
          <t>—</t>
        </is>
      </c>
      <c r="S111" s="356">
        <f>IF(S92=0,"WARN — NO INPUTS",IF(S92&lt;0.4,"PASS","FAIL — OPEX/GCI &gt; 40%"))</f>
        <v/>
      </c>
      <c r="T111" s="368" t="inlineStr">
        <is>
          <t>—</t>
        </is>
      </c>
      <c r="U111" s="368" t="inlineStr">
        <is>
          <t>—</t>
        </is>
      </c>
      <c r="V111" s="368" t="inlineStr">
        <is>
          <t>—</t>
        </is>
      </c>
      <c r="W111" s="368" t="inlineStr">
        <is>
          <t>—</t>
        </is>
      </c>
      <c r="X111" s="356">
        <f>IF(X92=0,"WARN — NO INPUTS",IF(X92&lt;0.4,"PASS","FAIL — OPEX/GCI &gt; 40%"))</f>
        <v/>
      </c>
      <c r="Y111" s="368" t="inlineStr">
        <is>
          <t>—</t>
        </is>
      </c>
      <c r="Z111" s="368" t="inlineStr">
        <is>
          <t>—</t>
        </is>
      </c>
      <c r="AA111" s="368" t="inlineStr">
        <is>
          <t>—</t>
        </is>
      </c>
      <c r="AB111" s="368" t="inlineStr">
        <is>
          <t>—</t>
        </is>
      </c>
      <c r="AC111" s="356">
        <f>IF(AC92=0,"WARN — NO INPUTS",IF(AC92&lt;0.4,"PASS","FAIL — OPEX/GCI &gt; 40%"))</f>
        <v/>
      </c>
      <c r="AD111" s="368" t="inlineStr">
        <is>
          <t>—</t>
        </is>
      </c>
      <c r="AE111" s="368" t="inlineStr">
        <is>
          <t>—</t>
        </is>
      </c>
      <c r="AF111" s="368" t="inlineStr">
        <is>
          <t>—</t>
        </is>
      </c>
      <c r="AG111" s="368" t="inlineStr">
        <is>
          <t>—</t>
        </is>
      </c>
      <c r="AH111" s="356">
        <f>IF(AH92=0,"WARN — NO INPUTS",IF(AH92&lt;0.4,"PASS","FAIL — OPEX/GCI &gt; 40%"))</f>
        <v/>
      </c>
      <c r="AI111" s="368" t="inlineStr">
        <is>
          <t>—</t>
        </is>
      </c>
      <c r="AJ111" s="368" t="inlineStr">
        <is>
          <t>—</t>
        </is>
      </c>
      <c r="AK111" s="368" t="inlineStr">
        <is>
          <t>—</t>
        </is>
      </c>
      <c r="AL111" s="368" t="inlineStr">
        <is>
          <t>—</t>
        </is>
      </c>
      <c r="AM111" s="356">
        <f>IF(AM92=0,"WARN — NO INPUTS",IF(AM92&lt;0.4,"PASS","FAIL — OPEX/GCI &gt; 40%"))</f>
        <v/>
      </c>
      <c r="AN111" s="368" t="inlineStr">
        <is>
          <t>—</t>
        </is>
      </c>
      <c r="AO111" s="368" t="inlineStr">
        <is>
          <t>—</t>
        </is>
      </c>
      <c r="AP111" s="368" t="inlineStr">
        <is>
          <t>—</t>
        </is>
      </c>
      <c r="AQ111" s="368" t="inlineStr">
        <is>
          <t>—</t>
        </is>
      </c>
      <c r="AR111" s="356">
        <f>IF(AR92=0,"WARN — NO INPUTS",IF(AR92&lt;0.4,"PASS","FAIL — OPEX/GCI &gt; 40%"))</f>
        <v/>
      </c>
    </row>
    <row r="112" ht="13.5" customHeight="1" s="290">
      <c r="A112" s="359" t="n"/>
      <c r="B112" s="353" t="inlineStr">
        <is>
          <t xml:space="preserve">  ✔  Opex / Company Dollar &lt; 80%  (sanity bound)</t>
        </is>
      </c>
      <c r="D112" s="354" t="inlineStr">
        <is>
          <t>Row 93</t>
        </is>
      </c>
      <c r="E112" s="368" t="inlineStr">
        <is>
          <t>—</t>
        </is>
      </c>
      <c r="F112" s="368" t="inlineStr">
        <is>
          <t>—</t>
        </is>
      </c>
      <c r="G112" s="368" t="inlineStr">
        <is>
          <t>—</t>
        </is>
      </c>
      <c r="H112" s="368" t="inlineStr">
        <is>
          <t>—</t>
        </is>
      </c>
      <c r="I112" s="356">
        <f>IF(I93=0,"WARN — NO INPUTS",IF(I93&lt;0.8,"PASS","FAIL — OPEX/Co$ &gt; 80%"))</f>
        <v/>
      </c>
      <c r="J112" s="368" t="inlineStr">
        <is>
          <t>—</t>
        </is>
      </c>
      <c r="K112" s="368" t="inlineStr">
        <is>
          <t>—</t>
        </is>
      </c>
      <c r="L112" s="368" t="inlineStr">
        <is>
          <t>—</t>
        </is>
      </c>
      <c r="M112" s="368" t="inlineStr">
        <is>
          <t>—</t>
        </is>
      </c>
      <c r="N112" s="356">
        <f>IF(N93=0,"WARN — NO INPUTS",IF(N93&lt;0.8,"PASS","FAIL — OPEX/Co$ &gt; 80%"))</f>
        <v/>
      </c>
      <c r="O112" s="368" t="inlineStr">
        <is>
          <t>—</t>
        </is>
      </c>
      <c r="P112" s="368" t="inlineStr">
        <is>
          <t>—</t>
        </is>
      </c>
      <c r="Q112" s="368" t="inlineStr">
        <is>
          <t>—</t>
        </is>
      </c>
      <c r="R112" s="368" t="inlineStr">
        <is>
          <t>—</t>
        </is>
      </c>
      <c r="S112" s="356">
        <f>IF(S93=0,"WARN — NO INPUTS",IF(S93&lt;0.8,"PASS","FAIL — OPEX/Co$ &gt; 80%"))</f>
        <v/>
      </c>
      <c r="T112" s="368" t="inlineStr">
        <is>
          <t>—</t>
        </is>
      </c>
      <c r="U112" s="368" t="inlineStr">
        <is>
          <t>—</t>
        </is>
      </c>
      <c r="V112" s="368" t="inlineStr">
        <is>
          <t>—</t>
        </is>
      </c>
      <c r="W112" s="368" t="inlineStr">
        <is>
          <t>—</t>
        </is>
      </c>
      <c r="X112" s="356">
        <f>IF(X93=0,"WARN — NO INPUTS",IF(X93&lt;0.8,"PASS","FAIL — OPEX/Co$ &gt; 80%"))</f>
        <v/>
      </c>
      <c r="Y112" s="368" t="inlineStr">
        <is>
          <t>—</t>
        </is>
      </c>
      <c r="Z112" s="368" t="inlineStr">
        <is>
          <t>—</t>
        </is>
      </c>
      <c r="AA112" s="368" t="inlineStr">
        <is>
          <t>—</t>
        </is>
      </c>
      <c r="AB112" s="368" t="inlineStr">
        <is>
          <t>—</t>
        </is>
      </c>
      <c r="AC112" s="356">
        <f>IF(AC93=0,"WARN — NO INPUTS",IF(AC93&lt;0.8,"PASS","FAIL — OPEX/Co$ &gt; 80%"))</f>
        <v/>
      </c>
      <c r="AD112" s="368" t="inlineStr">
        <is>
          <t>—</t>
        </is>
      </c>
      <c r="AE112" s="368" t="inlineStr">
        <is>
          <t>—</t>
        </is>
      </c>
      <c r="AF112" s="368" t="inlineStr">
        <is>
          <t>—</t>
        </is>
      </c>
      <c r="AG112" s="368" t="inlineStr">
        <is>
          <t>—</t>
        </is>
      </c>
      <c r="AH112" s="356">
        <f>IF(AH93=0,"WARN — NO INPUTS",IF(AH93&lt;0.8,"PASS","FAIL — OPEX/Co$ &gt; 80%"))</f>
        <v/>
      </c>
      <c r="AI112" s="368" t="inlineStr">
        <is>
          <t>—</t>
        </is>
      </c>
      <c r="AJ112" s="368" t="inlineStr">
        <is>
          <t>—</t>
        </is>
      </c>
      <c r="AK112" s="368" t="inlineStr">
        <is>
          <t>—</t>
        </is>
      </c>
      <c r="AL112" s="368" t="inlineStr">
        <is>
          <t>—</t>
        </is>
      </c>
      <c r="AM112" s="356">
        <f>IF(AM93=0,"WARN — NO INPUTS",IF(AM93&lt;0.8,"PASS","FAIL — OPEX/Co$ &gt; 80%"))</f>
        <v/>
      </c>
      <c r="AN112" s="368" t="inlineStr">
        <is>
          <t>—</t>
        </is>
      </c>
      <c r="AO112" s="368" t="inlineStr">
        <is>
          <t>—</t>
        </is>
      </c>
      <c r="AP112" s="368" t="inlineStr">
        <is>
          <t>—</t>
        </is>
      </c>
      <c r="AQ112" s="368" t="inlineStr">
        <is>
          <t>—</t>
        </is>
      </c>
      <c r="AR112" s="356">
        <f>IF(AR93=0,"WARN — NO INPUTS",IF(AR93&lt;0.8,"PASS","FAIL — OPEX/Co$ &gt; 80%"))</f>
        <v/>
      </c>
    </row>
    <row r="113" ht="13.5" customHeight="1" s="290">
      <c r="A113" s="359" t="n"/>
      <c r="B113" s="353" t="inlineStr">
        <is>
          <t xml:space="preserve">  ✔  E&amp;O Cost ≥ 0  (bps × GCI must not be negative)</t>
        </is>
      </c>
      <c r="D113" s="354" t="inlineStr">
        <is>
          <t>Row 16</t>
        </is>
      </c>
      <c r="E113" s="368" t="inlineStr">
        <is>
          <t>—</t>
        </is>
      </c>
      <c r="F113" s="368" t="inlineStr">
        <is>
          <t>—</t>
        </is>
      </c>
      <c r="G113" s="368" t="inlineStr">
        <is>
          <t>—</t>
        </is>
      </c>
      <c r="H113" s="368" t="inlineStr">
        <is>
          <t>—</t>
        </is>
      </c>
      <c r="I113" s="356">
        <f>IF(I16&gt;=0,"PASS","FAIL — NEGATIVE E&amp;O COST")</f>
        <v/>
      </c>
      <c r="J113" s="368" t="inlineStr">
        <is>
          <t>—</t>
        </is>
      </c>
      <c r="K113" s="368" t="inlineStr">
        <is>
          <t>—</t>
        </is>
      </c>
      <c r="L113" s="368" t="inlineStr">
        <is>
          <t>—</t>
        </is>
      </c>
      <c r="M113" s="368" t="inlineStr">
        <is>
          <t>—</t>
        </is>
      </c>
      <c r="N113" s="356">
        <f>IF(N16&gt;=0,"PASS","FAIL — NEGATIVE E&amp;O COST")</f>
        <v/>
      </c>
      <c r="O113" s="368" t="inlineStr">
        <is>
          <t>—</t>
        </is>
      </c>
      <c r="P113" s="368" t="inlineStr">
        <is>
          <t>—</t>
        </is>
      </c>
      <c r="Q113" s="368" t="inlineStr">
        <is>
          <t>—</t>
        </is>
      </c>
      <c r="R113" s="368" t="inlineStr">
        <is>
          <t>—</t>
        </is>
      </c>
      <c r="S113" s="356">
        <f>IF(S16&gt;=0,"PASS","FAIL — NEGATIVE E&amp;O COST")</f>
        <v/>
      </c>
      <c r="T113" s="368" t="inlineStr">
        <is>
          <t>—</t>
        </is>
      </c>
      <c r="U113" s="368" t="inlineStr">
        <is>
          <t>—</t>
        </is>
      </c>
      <c r="V113" s="368" t="inlineStr">
        <is>
          <t>—</t>
        </is>
      </c>
      <c r="W113" s="368" t="inlineStr">
        <is>
          <t>—</t>
        </is>
      </c>
      <c r="X113" s="356">
        <f>IF(X16&gt;=0,"PASS","FAIL — NEGATIVE E&amp;O COST")</f>
        <v/>
      </c>
      <c r="Y113" s="368" t="inlineStr">
        <is>
          <t>—</t>
        </is>
      </c>
      <c r="Z113" s="368" t="inlineStr">
        <is>
          <t>—</t>
        </is>
      </c>
      <c r="AA113" s="368" t="inlineStr">
        <is>
          <t>—</t>
        </is>
      </c>
      <c r="AB113" s="368" t="inlineStr">
        <is>
          <t>—</t>
        </is>
      </c>
      <c r="AC113" s="356">
        <f>IF(AC16&gt;=0,"PASS","FAIL — NEGATIVE E&amp;O COST")</f>
        <v/>
      </c>
      <c r="AD113" s="368" t="inlineStr">
        <is>
          <t>—</t>
        </is>
      </c>
      <c r="AE113" s="368" t="inlineStr">
        <is>
          <t>—</t>
        </is>
      </c>
      <c r="AF113" s="368" t="inlineStr">
        <is>
          <t>—</t>
        </is>
      </c>
      <c r="AG113" s="368" t="inlineStr">
        <is>
          <t>—</t>
        </is>
      </c>
      <c r="AH113" s="356">
        <f>IF(AH16&gt;=0,"PASS","FAIL — NEGATIVE E&amp;O COST")</f>
        <v/>
      </c>
      <c r="AI113" s="368" t="inlineStr">
        <is>
          <t>—</t>
        </is>
      </c>
      <c r="AJ113" s="368" t="inlineStr">
        <is>
          <t>—</t>
        </is>
      </c>
      <c r="AK113" s="368" t="inlineStr">
        <is>
          <t>—</t>
        </is>
      </c>
      <c r="AL113" s="368" t="inlineStr">
        <is>
          <t>—</t>
        </is>
      </c>
      <c r="AM113" s="356">
        <f>IF(AM16&gt;=0,"PASS","FAIL — NEGATIVE E&amp;O COST")</f>
        <v/>
      </c>
      <c r="AN113" s="368" t="inlineStr">
        <is>
          <t>—</t>
        </is>
      </c>
      <c r="AO113" s="368" t="inlineStr">
        <is>
          <t>—</t>
        </is>
      </c>
      <c r="AP113" s="368" t="inlineStr">
        <is>
          <t>—</t>
        </is>
      </c>
      <c r="AQ113" s="368" t="inlineStr">
        <is>
          <t>—</t>
        </is>
      </c>
      <c r="AR113" s="356">
        <f>IF(AR16&gt;=0,"PASS","FAIL — NEGATIVE E&amp;O COST")</f>
        <v/>
      </c>
    </row>
    <row r="114" ht="13.5" customHeight="1" s="290">
      <c r="A114" s="359" t="n"/>
      <c r="B114" s="353" t="inlineStr">
        <is>
          <t xml:space="preserve">  ✔  Referral Fees ≥ 0  (% × GCI must not be negative)</t>
        </is>
      </c>
      <c r="D114" s="354" t="inlineStr">
        <is>
          <t>Row 58</t>
        </is>
      </c>
      <c r="E114" s="368" t="inlineStr">
        <is>
          <t>—</t>
        </is>
      </c>
      <c r="F114" s="368" t="inlineStr">
        <is>
          <t>—</t>
        </is>
      </c>
      <c r="G114" s="368" t="inlineStr">
        <is>
          <t>—</t>
        </is>
      </c>
      <c r="H114" s="368" t="inlineStr">
        <is>
          <t>—</t>
        </is>
      </c>
      <c r="I114" s="356">
        <f>IF(I58&gt;=0,"PASS","FAIL — NEGATIVE REFERRAL FEES")</f>
        <v/>
      </c>
      <c r="J114" s="368" t="inlineStr">
        <is>
          <t>—</t>
        </is>
      </c>
      <c r="K114" s="368" t="inlineStr">
        <is>
          <t>—</t>
        </is>
      </c>
      <c r="L114" s="368" t="inlineStr">
        <is>
          <t>—</t>
        </is>
      </c>
      <c r="M114" s="368" t="inlineStr">
        <is>
          <t>—</t>
        </is>
      </c>
      <c r="N114" s="356">
        <f>IF(N58&gt;=0,"PASS","FAIL — NEGATIVE REFERRAL FEES")</f>
        <v/>
      </c>
      <c r="O114" s="368" t="inlineStr">
        <is>
          <t>—</t>
        </is>
      </c>
      <c r="P114" s="368" t="inlineStr">
        <is>
          <t>—</t>
        </is>
      </c>
      <c r="Q114" s="368" t="inlineStr">
        <is>
          <t>—</t>
        </is>
      </c>
      <c r="R114" s="368" t="inlineStr">
        <is>
          <t>—</t>
        </is>
      </c>
      <c r="S114" s="356">
        <f>IF(S58&gt;=0,"PASS","FAIL — NEGATIVE REFERRAL FEES")</f>
        <v/>
      </c>
      <c r="T114" s="368" t="inlineStr">
        <is>
          <t>—</t>
        </is>
      </c>
      <c r="U114" s="368" t="inlineStr">
        <is>
          <t>—</t>
        </is>
      </c>
      <c r="V114" s="368" t="inlineStr">
        <is>
          <t>—</t>
        </is>
      </c>
      <c r="W114" s="368" t="inlineStr">
        <is>
          <t>—</t>
        </is>
      </c>
      <c r="X114" s="356">
        <f>IF(X58&gt;=0,"PASS","FAIL — NEGATIVE REFERRAL FEES")</f>
        <v/>
      </c>
      <c r="Y114" s="368" t="inlineStr">
        <is>
          <t>—</t>
        </is>
      </c>
      <c r="Z114" s="368" t="inlineStr">
        <is>
          <t>—</t>
        </is>
      </c>
      <c r="AA114" s="368" t="inlineStr">
        <is>
          <t>—</t>
        </is>
      </c>
      <c r="AB114" s="368" t="inlineStr">
        <is>
          <t>—</t>
        </is>
      </c>
      <c r="AC114" s="356">
        <f>IF(AC58&gt;=0,"PASS","FAIL — NEGATIVE REFERRAL FEES")</f>
        <v/>
      </c>
      <c r="AD114" s="368" t="inlineStr">
        <is>
          <t>—</t>
        </is>
      </c>
      <c r="AE114" s="368" t="inlineStr">
        <is>
          <t>—</t>
        </is>
      </c>
      <c r="AF114" s="368" t="inlineStr">
        <is>
          <t>—</t>
        </is>
      </c>
      <c r="AG114" s="368" t="inlineStr">
        <is>
          <t>—</t>
        </is>
      </c>
      <c r="AH114" s="356">
        <f>IF(AH58&gt;=0,"PASS","FAIL — NEGATIVE REFERRAL FEES")</f>
        <v/>
      </c>
      <c r="AI114" s="368" t="inlineStr">
        <is>
          <t>—</t>
        </is>
      </c>
      <c r="AJ114" s="368" t="inlineStr">
        <is>
          <t>—</t>
        </is>
      </c>
      <c r="AK114" s="368" t="inlineStr">
        <is>
          <t>—</t>
        </is>
      </c>
      <c r="AL114" s="368" t="inlineStr">
        <is>
          <t>—</t>
        </is>
      </c>
      <c r="AM114" s="356">
        <f>IF(AM58&gt;=0,"PASS","FAIL — NEGATIVE REFERRAL FEES")</f>
        <v/>
      </c>
      <c r="AN114" s="368" t="inlineStr">
        <is>
          <t>—</t>
        </is>
      </c>
      <c r="AO114" s="368" t="inlineStr">
        <is>
          <t>—</t>
        </is>
      </c>
      <c r="AP114" s="368" t="inlineStr">
        <is>
          <t>—</t>
        </is>
      </c>
      <c r="AQ114" s="368" t="inlineStr">
        <is>
          <t>—</t>
        </is>
      </c>
      <c r="AR114" s="356">
        <f>IF(AR58&gt;=0,"PASS","FAIL — NEGATIVE REFERRAL FEES")</f>
        <v/>
      </c>
    </row>
    <row r="115" ht="13.5" customHeight="1" s="290">
      <c r="A115" s="359" t="n"/>
      <c r="B115" s="353" t="inlineStr">
        <is>
          <t xml:space="preserve">  ✔  IS Deal Marketing ≥ 0</t>
        </is>
      </c>
      <c r="D115" s="354" t="inlineStr">
        <is>
          <t>Row 38</t>
        </is>
      </c>
      <c r="E115" s="368" t="inlineStr">
        <is>
          <t>—</t>
        </is>
      </c>
      <c r="F115" s="368" t="inlineStr">
        <is>
          <t>—</t>
        </is>
      </c>
      <c r="G115" s="368" t="inlineStr">
        <is>
          <t>—</t>
        </is>
      </c>
      <c r="H115" s="368" t="inlineStr">
        <is>
          <t>—</t>
        </is>
      </c>
      <c r="I115" s="356">
        <f>IF(I38&gt;=0,"PASS","FAIL — NEGATIVE IS MARKETING")</f>
        <v/>
      </c>
      <c r="J115" s="368" t="inlineStr">
        <is>
          <t>—</t>
        </is>
      </c>
      <c r="K115" s="368" t="inlineStr">
        <is>
          <t>—</t>
        </is>
      </c>
      <c r="L115" s="368" t="inlineStr">
        <is>
          <t>—</t>
        </is>
      </c>
      <c r="M115" s="368" t="inlineStr">
        <is>
          <t>—</t>
        </is>
      </c>
      <c r="N115" s="356">
        <f>IF(N38&gt;=0,"PASS","FAIL — NEGATIVE IS MARKETING")</f>
        <v/>
      </c>
      <c r="O115" s="368" t="inlineStr">
        <is>
          <t>—</t>
        </is>
      </c>
      <c r="P115" s="368" t="inlineStr">
        <is>
          <t>—</t>
        </is>
      </c>
      <c r="Q115" s="368" t="inlineStr">
        <is>
          <t>—</t>
        </is>
      </c>
      <c r="R115" s="368" t="inlineStr">
        <is>
          <t>—</t>
        </is>
      </c>
      <c r="S115" s="356">
        <f>IF(S38&gt;=0,"PASS","FAIL — NEGATIVE IS MARKETING")</f>
        <v/>
      </c>
      <c r="T115" s="368" t="inlineStr">
        <is>
          <t>—</t>
        </is>
      </c>
      <c r="U115" s="368" t="inlineStr">
        <is>
          <t>—</t>
        </is>
      </c>
      <c r="V115" s="368" t="inlineStr">
        <is>
          <t>—</t>
        </is>
      </c>
      <c r="W115" s="368" t="inlineStr">
        <is>
          <t>—</t>
        </is>
      </c>
      <c r="X115" s="356">
        <f>IF(X38&gt;=0,"PASS","FAIL — NEGATIVE IS MARKETING")</f>
        <v/>
      </c>
      <c r="Y115" s="368" t="inlineStr">
        <is>
          <t>—</t>
        </is>
      </c>
      <c r="Z115" s="368" t="inlineStr">
        <is>
          <t>—</t>
        </is>
      </c>
      <c r="AA115" s="368" t="inlineStr">
        <is>
          <t>—</t>
        </is>
      </c>
      <c r="AB115" s="368" t="inlineStr">
        <is>
          <t>—</t>
        </is>
      </c>
      <c r="AC115" s="356">
        <f>IF(AC38&gt;=0,"PASS","FAIL — NEGATIVE IS MARKETING")</f>
        <v/>
      </c>
      <c r="AD115" s="368" t="inlineStr">
        <is>
          <t>—</t>
        </is>
      </c>
      <c r="AE115" s="368" t="inlineStr">
        <is>
          <t>—</t>
        </is>
      </c>
      <c r="AF115" s="368" t="inlineStr">
        <is>
          <t>—</t>
        </is>
      </c>
      <c r="AG115" s="368" t="inlineStr">
        <is>
          <t>—</t>
        </is>
      </c>
      <c r="AH115" s="356">
        <f>IF(AH38&gt;=0,"PASS","FAIL — NEGATIVE IS MARKETING")</f>
        <v/>
      </c>
      <c r="AI115" s="368" t="inlineStr">
        <is>
          <t>—</t>
        </is>
      </c>
      <c r="AJ115" s="368" t="inlineStr">
        <is>
          <t>—</t>
        </is>
      </c>
      <c r="AK115" s="368" t="inlineStr">
        <is>
          <t>—</t>
        </is>
      </c>
      <c r="AL115" s="368" t="inlineStr">
        <is>
          <t>—</t>
        </is>
      </c>
      <c r="AM115" s="356">
        <f>IF(AM38&gt;=0,"PASS","FAIL — NEGATIVE IS MARKETING")</f>
        <v/>
      </c>
      <c r="AN115" s="368" t="inlineStr">
        <is>
          <t>—</t>
        </is>
      </c>
      <c r="AO115" s="368" t="inlineStr">
        <is>
          <t>—</t>
        </is>
      </c>
      <c r="AP115" s="368" t="inlineStr">
        <is>
          <t>—</t>
        </is>
      </c>
      <c r="AQ115" s="368" t="inlineStr">
        <is>
          <t>—</t>
        </is>
      </c>
      <c r="AR115" s="356">
        <f>IF(AR38&gt;=0,"PASS","FAIL — NEGATIVE IS MARKETING")</f>
        <v/>
      </c>
    </row>
    <row r="116" ht="13.5" customHeight="1" s="290">
      <c r="A116" s="359" t="n"/>
      <c r="B116" s="353" t="inlineStr">
        <is>
          <t xml:space="preserve">  ✔  T&amp;E ≥ 0</t>
        </is>
      </c>
      <c r="D116" s="354" t="inlineStr">
        <is>
          <t>Row 52</t>
        </is>
      </c>
      <c r="E116" s="368" t="inlineStr">
        <is>
          <t>—</t>
        </is>
      </c>
      <c r="F116" s="368" t="inlineStr">
        <is>
          <t>—</t>
        </is>
      </c>
      <c r="G116" s="368" t="inlineStr">
        <is>
          <t>—</t>
        </is>
      </c>
      <c r="H116" s="368" t="inlineStr">
        <is>
          <t>—</t>
        </is>
      </c>
      <c r="I116" s="356">
        <f>IF(I52&gt;=0,"PASS","FAIL — NEGATIVE T&amp;E")</f>
        <v/>
      </c>
      <c r="J116" s="368" t="inlineStr">
        <is>
          <t>—</t>
        </is>
      </c>
      <c r="K116" s="368" t="inlineStr">
        <is>
          <t>—</t>
        </is>
      </c>
      <c r="L116" s="368" t="inlineStr">
        <is>
          <t>—</t>
        </is>
      </c>
      <c r="M116" s="368" t="inlineStr">
        <is>
          <t>—</t>
        </is>
      </c>
      <c r="N116" s="356">
        <f>IF(N52&gt;=0,"PASS","FAIL — NEGATIVE T&amp;E")</f>
        <v/>
      </c>
      <c r="O116" s="368" t="inlineStr">
        <is>
          <t>—</t>
        </is>
      </c>
      <c r="P116" s="368" t="inlineStr">
        <is>
          <t>—</t>
        </is>
      </c>
      <c r="Q116" s="368" t="inlineStr">
        <is>
          <t>—</t>
        </is>
      </c>
      <c r="R116" s="368" t="inlineStr">
        <is>
          <t>—</t>
        </is>
      </c>
      <c r="S116" s="356">
        <f>IF(S52&gt;=0,"PASS","FAIL — NEGATIVE T&amp;E")</f>
        <v/>
      </c>
      <c r="T116" s="368" t="inlineStr">
        <is>
          <t>—</t>
        </is>
      </c>
      <c r="U116" s="368" t="inlineStr">
        <is>
          <t>—</t>
        </is>
      </c>
      <c r="V116" s="368" t="inlineStr">
        <is>
          <t>—</t>
        </is>
      </c>
      <c r="W116" s="368" t="inlineStr">
        <is>
          <t>—</t>
        </is>
      </c>
      <c r="X116" s="356">
        <f>IF(X52&gt;=0,"PASS","FAIL — NEGATIVE T&amp;E")</f>
        <v/>
      </c>
      <c r="Y116" s="368" t="inlineStr">
        <is>
          <t>—</t>
        </is>
      </c>
      <c r="Z116" s="368" t="inlineStr">
        <is>
          <t>—</t>
        </is>
      </c>
      <c r="AA116" s="368" t="inlineStr">
        <is>
          <t>—</t>
        </is>
      </c>
      <c r="AB116" s="368" t="inlineStr">
        <is>
          <t>—</t>
        </is>
      </c>
      <c r="AC116" s="356">
        <f>IF(AC52&gt;=0,"PASS","FAIL — NEGATIVE T&amp;E")</f>
        <v/>
      </c>
      <c r="AD116" s="368" t="inlineStr">
        <is>
          <t>—</t>
        </is>
      </c>
      <c r="AE116" s="368" t="inlineStr">
        <is>
          <t>—</t>
        </is>
      </c>
      <c r="AF116" s="368" t="inlineStr">
        <is>
          <t>—</t>
        </is>
      </c>
      <c r="AG116" s="368" t="inlineStr">
        <is>
          <t>—</t>
        </is>
      </c>
      <c r="AH116" s="356">
        <f>IF(AH52&gt;=0,"PASS","FAIL — NEGATIVE T&amp;E")</f>
        <v/>
      </c>
      <c r="AI116" s="368" t="inlineStr">
        <is>
          <t>—</t>
        </is>
      </c>
      <c r="AJ116" s="368" t="inlineStr">
        <is>
          <t>—</t>
        </is>
      </c>
      <c r="AK116" s="368" t="inlineStr">
        <is>
          <t>—</t>
        </is>
      </c>
      <c r="AL116" s="368" t="inlineStr">
        <is>
          <t>—</t>
        </is>
      </c>
      <c r="AM116" s="356">
        <f>IF(AM52&gt;=0,"PASS","FAIL — NEGATIVE T&amp;E")</f>
        <v/>
      </c>
      <c r="AN116" s="368" t="inlineStr">
        <is>
          <t>—</t>
        </is>
      </c>
      <c r="AO116" s="368" t="inlineStr">
        <is>
          <t>—</t>
        </is>
      </c>
      <c r="AP116" s="368" t="inlineStr">
        <is>
          <t>—</t>
        </is>
      </c>
      <c r="AQ116" s="368" t="inlineStr">
        <is>
          <t>—</t>
        </is>
      </c>
      <c r="AR116" s="356">
        <f>IF(AR52&gt;=0,"PASS","FAIL — NEGATIVE T&amp;E")</f>
        <v/>
      </c>
    </row>
    <row r="117" ht="13.5" customHeight="1" s="290">
      <c r="A117" s="359" t="n"/>
      <c r="B117" s="353" t="inlineStr">
        <is>
          <t xml:space="preserve">  ✔  Fixed + Variable = Total Opex ex-D&amp;A  (arithmetic check)</t>
        </is>
      </c>
      <c r="D117" s="354" t="inlineStr">
        <is>
          <t>Rows 80+81 = 82</t>
        </is>
      </c>
      <c r="E117" s="368" t="inlineStr">
        <is>
          <t>—</t>
        </is>
      </c>
      <c r="F117" s="368" t="inlineStr">
        <is>
          <t>—</t>
        </is>
      </c>
      <c r="G117" s="368" t="inlineStr">
        <is>
          <t>—</t>
        </is>
      </c>
      <c r="H117" s="368" t="inlineStr">
        <is>
          <t>—</t>
        </is>
      </c>
      <c r="I117" s="356">
        <f>IF(ABS(I80+I81-I82)&lt;0.01,"PASS","FAIL — OPEX ARITHMETIC ERROR")</f>
        <v/>
      </c>
      <c r="J117" s="368" t="inlineStr">
        <is>
          <t>—</t>
        </is>
      </c>
      <c r="K117" s="368" t="inlineStr">
        <is>
          <t>—</t>
        </is>
      </c>
      <c r="L117" s="368" t="inlineStr">
        <is>
          <t>—</t>
        </is>
      </c>
      <c r="M117" s="368" t="inlineStr">
        <is>
          <t>—</t>
        </is>
      </c>
      <c r="N117" s="356">
        <f>IF(ABS(N80+N81-N82)&lt;0.01,"PASS","FAIL — OPEX ARITHMETIC ERROR")</f>
        <v/>
      </c>
      <c r="O117" s="368" t="inlineStr">
        <is>
          <t>—</t>
        </is>
      </c>
      <c r="P117" s="368" t="inlineStr">
        <is>
          <t>—</t>
        </is>
      </c>
      <c r="Q117" s="368" t="inlineStr">
        <is>
          <t>—</t>
        </is>
      </c>
      <c r="R117" s="368" t="inlineStr">
        <is>
          <t>—</t>
        </is>
      </c>
      <c r="S117" s="356">
        <f>IF(ABS(S80+S81-S82)&lt;0.01,"PASS","FAIL — OPEX ARITHMETIC ERROR")</f>
        <v/>
      </c>
      <c r="T117" s="368" t="inlineStr">
        <is>
          <t>—</t>
        </is>
      </c>
      <c r="U117" s="368" t="inlineStr">
        <is>
          <t>—</t>
        </is>
      </c>
      <c r="V117" s="368" t="inlineStr">
        <is>
          <t>—</t>
        </is>
      </c>
      <c r="W117" s="368" t="inlineStr">
        <is>
          <t>—</t>
        </is>
      </c>
      <c r="X117" s="356">
        <f>IF(ABS(X80+X81-X82)&lt;0.01,"PASS","FAIL — OPEX ARITHMETIC ERROR")</f>
        <v/>
      </c>
      <c r="Y117" s="368" t="inlineStr">
        <is>
          <t>—</t>
        </is>
      </c>
      <c r="Z117" s="368" t="inlineStr">
        <is>
          <t>—</t>
        </is>
      </c>
      <c r="AA117" s="368" t="inlineStr">
        <is>
          <t>—</t>
        </is>
      </c>
      <c r="AB117" s="368" t="inlineStr">
        <is>
          <t>—</t>
        </is>
      </c>
      <c r="AC117" s="356">
        <f>IF(ABS(AC80+AC81-AC82)&lt;0.01,"PASS","FAIL — OPEX ARITHMETIC ERROR")</f>
        <v/>
      </c>
      <c r="AD117" s="368" t="inlineStr">
        <is>
          <t>—</t>
        </is>
      </c>
      <c r="AE117" s="368" t="inlineStr">
        <is>
          <t>—</t>
        </is>
      </c>
      <c r="AF117" s="368" t="inlineStr">
        <is>
          <t>—</t>
        </is>
      </c>
      <c r="AG117" s="368" t="inlineStr">
        <is>
          <t>—</t>
        </is>
      </c>
      <c r="AH117" s="356">
        <f>IF(ABS(AH80+AH81-AH82)&lt;0.01,"PASS","FAIL — OPEX ARITHMETIC ERROR")</f>
        <v/>
      </c>
      <c r="AI117" s="368" t="inlineStr">
        <is>
          <t>—</t>
        </is>
      </c>
      <c r="AJ117" s="368" t="inlineStr">
        <is>
          <t>—</t>
        </is>
      </c>
      <c r="AK117" s="368" t="inlineStr">
        <is>
          <t>—</t>
        </is>
      </c>
      <c r="AL117" s="368" t="inlineStr">
        <is>
          <t>—</t>
        </is>
      </c>
      <c r="AM117" s="356">
        <f>IF(ABS(AM80+AM81-AM82)&lt;0.01,"PASS","FAIL — OPEX ARITHMETIC ERROR")</f>
        <v/>
      </c>
      <c r="AN117" s="368" t="inlineStr">
        <is>
          <t>—</t>
        </is>
      </c>
      <c r="AO117" s="368" t="inlineStr">
        <is>
          <t>—</t>
        </is>
      </c>
      <c r="AP117" s="368" t="inlineStr">
        <is>
          <t>—</t>
        </is>
      </c>
      <c r="AQ117" s="368" t="inlineStr">
        <is>
          <t>—</t>
        </is>
      </c>
      <c r="AR117" s="356">
        <f>IF(ABS(AR80+AR81-AR82)&lt;0.01,"PASS","FAIL — OPEX ARITHMETIC ERROR")</f>
        <v/>
      </c>
    </row>
    <row r="118" ht="4.5" customHeight="1" s="290"/>
    <row r="119" ht="18" customHeight="1" s="290">
      <c r="A119" s="360" t="inlineStr">
        <is>
          <t xml:space="preserve">  All 12 checks above feed Tab 11 — Checks. WARN results (zero denominators) will flip to PASS or FAIL once assumption values are entered in Tab 03. Tab 08 P&amp;L links to Section D rows (D_fixed, D_variable, D_opex_exda, D_da, D_opex_incda) and ratio rows.</t>
        </is>
      </c>
    </row>
    <row r="120" ht="4.5" customHeight="1" s="290"/>
    <row r="121" ht="3" customHeight="1" s="290">
      <c r="A121" s="293" t="n"/>
    </row>
  </sheetData>
  <mergeCells count="27">
    <mergeCell ref="A72:AR72"/>
    <mergeCell ref="A121:AR121"/>
    <mergeCell ref="A28:AR28"/>
    <mergeCell ref="A102:AR102"/>
    <mergeCell ref="A34:AR34"/>
    <mergeCell ref="A40:AR40"/>
    <mergeCell ref="A48:AR48"/>
    <mergeCell ref="A30:AR30"/>
    <mergeCell ref="A64:AR64"/>
    <mergeCell ref="A98:AR98"/>
    <mergeCell ref="A1:AR1"/>
    <mergeCell ref="A119:AR119"/>
    <mergeCell ref="A78:AR78"/>
    <mergeCell ref="A7:AR7"/>
    <mergeCell ref="A54:AR54"/>
    <mergeCell ref="A46:AR46"/>
    <mergeCell ref="A66:AR66"/>
    <mergeCell ref="A74:AR74"/>
    <mergeCell ref="A18:AR18"/>
    <mergeCell ref="A12:AR12"/>
    <mergeCell ref="A86:AR86"/>
    <mergeCell ref="A2:AR2"/>
    <mergeCell ref="A32:AR32"/>
    <mergeCell ref="A76:AR76"/>
    <mergeCell ref="A62:AR62"/>
    <mergeCell ref="A5:AR5"/>
    <mergeCell ref="A100:AR100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70AD47"/>
    <outlinePr summaryBelow="1" summaryRight="1"/>
    <pageSetUpPr fitToPage="1"/>
  </sheetPr>
  <dimension ref="A1:AR1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2" customWidth="1" style="289" min="1" max="1"/>
    <col width="40" customWidth="1" style="289" min="2" max="2"/>
    <col width="10" customWidth="1" style="289" min="3" max="3"/>
    <col width="16" customWidth="1" style="289" min="4" max="4"/>
    <col width="8.800000000000001" customWidth="1" style="289" min="5" max="8"/>
    <col width="10.51" customWidth="1" style="289" min="9" max="9"/>
    <col width="8.800000000000001" customWidth="1" style="289" min="10" max="13"/>
    <col width="10.51" customWidth="1" style="289" min="14" max="14"/>
    <col width="8.800000000000001" customWidth="1" style="289" min="15" max="18"/>
    <col width="10.51" customWidth="1" style="289" min="19" max="19"/>
    <col width="8.800000000000001" customWidth="1" style="289" min="20" max="23"/>
    <col width="10.51" customWidth="1" style="289" min="24" max="24"/>
    <col width="8.800000000000001" customWidth="1" style="289" min="25" max="28"/>
    <col width="10.51" customWidth="1" style="289" min="29" max="29"/>
    <col width="8.800000000000001" customWidth="1" style="289" min="30" max="33"/>
    <col width="10.51" customWidth="1" style="289" min="34" max="34"/>
    <col width="8.800000000000001" customWidth="1" style="289" min="35" max="38"/>
    <col width="10.51" customWidth="1" style="289" min="39" max="39"/>
    <col width="8.800000000000001" customWidth="1" style="289" min="40" max="43"/>
    <col width="10.51" customWidth="1" style="289" min="44" max="44"/>
  </cols>
  <sheetData>
    <row r="1" ht="25.5" customHeight="1" s="290">
      <c r="A1" s="330" t="inlineStr">
        <is>
          <t xml:space="preserve">  08  |  PROFIT &amp; LOSS  —  Brokerage Waterfall: GCI → Company Dollar → EBITDA → Net Income</t>
        </is>
      </c>
    </row>
    <row r="2" ht="15" customHeight="1" s="290">
      <c r="A2" s="331" t="inlineStr">
        <is>
          <t xml:space="preserve">  Green = link from Tabs 05/06/07  |  Dark rows = signature lines  |  Sections: A=Revenue  B=Payouts/Co$  C=Opex  D=EBITDA  E=Below-Line  F=Annual Summary  G=Checks</t>
        </is>
      </c>
    </row>
    <row r="3" ht="30" customHeight="1" s="290">
      <c r="A3" s="332" t="n"/>
      <c r="B3" s="333" t="inlineStr">
        <is>
          <t>Row Description</t>
        </is>
      </c>
      <c r="C3" s="333" t="inlineStr">
        <is>
          <t>Units</t>
        </is>
      </c>
      <c r="D3" s="333" t="inlineStr">
        <is>
          <t>Source</t>
        </is>
      </c>
      <c r="E3" s="334" t="inlineStr">
        <is>
          <t>2023A
Q1</t>
        </is>
      </c>
      <c r="F3" s="334" t="inlineStr">
        <is>
          <t>2023A
Q2</t>
        </is>
      </c>
      <c r="G3" s="334" t="inlineStr">
        <is>
          <t>2023A
Q3</t>
        </is>
      </c>
      <c r="H3" s="334" t="inlineStr">
        <is>
          <t>2023A
Q4</t>
        </is>
      </c>
      <c r="I3" s="335" t="inlineStr">
        <is>
          <t>2023A
Annual</t>
        </is>
      </c>
      <c r="J3" s="334" t="inlineStr">
        <is>
          <t>2024A
Q1</t>
        </is>
      </c>
      <c r="K3" s="334" t="inlineStr">
        <is>
          <t>2024A
Q2</t>
        </is>
      </c>
      <c r="L3" s="334" t="inlineStr">
        <is>
          <t>2024A
Q3</t>
        </is>
      </c>
      <c r="M3" s="334" t="inlineStr">
        <is>
          <t>2024A
Q4</t>
        </is>
      </c>
      <c r="N3" s="335" t="inlineStr">
        <is>
          <t>2024A
Annual</t>
        </is>
      </c>
      <c r="O3" s="334" t="inlineStr">
        <is>
          <t>2025A
Q1</t>
        </is>
      </c>
      <c r="P3" s="334" t="inlineStr">
        <is>
          <t>2025A
Q2</t>
        </is>
      </c>
      <c r="Q3" s="334" t="inlineStr">
        <is>
          <t>2025A
Q3</t>
        </is>
      </c>
      <c r="R3" s="334" t="inlineStr">
        <is>
          <t>2025A
Q4</t>
        </is>
      </c>
      <c r="S3" s="335" t="inlineStr">
        <is>
          <t>2025A
Annual</t>
        </is>
      </c>
      <c r="T3" s="336" t="inlineStr">
        <is>
          <t>2026E
Q1</t>
        </is>
      </c>
      <c r="U3" s="336" t="inlineStr">
        <is>
          <t>2026E
Q2</t>
        </is>
      </c>
      <c r="V3" s="336" t="inlineStr">
        <is>
          <t>2026E
Q3</t>
        </is>
      </c>
      <c r="W3" s="336" t="inlineStr">
        <is>
          <t>2026E
Q4</t>
        </is>
      </c>
      <c r="X3" s="337" t="inlineStr">
        <is>
          <t>2026E
Annual</t>
        </is>
      </c>
      <c r="Y3" s="336" t="inlineStr">
        <is>
          <t>2027E
Q1</t>
        </is>
      </c>
      <c r="Z3" s="336" t="inlineStr">
        <is>
          <t>2027E
Q2</t>
        </is>
      </c>
      <c r="AA3" s="336" t="inlineStr">
        <is>
          <t>2027E
Q3</t>
        </is>
      </c>
      <c r="AB3" s="336" t="inlineStr">
        <is>
          <t>2027E
Q4</t>
        </is>
      </c>
      <c r="AC3" s="337" t="inlineStr">
        <is>
          <t>2027E
Annual</t>
        </is>
      </c>
      <c r="AD3" s="336" t="inlineStr">
        <is>
          <t>2028E
Q1</t>
        </is>
      </c>
      <c r="AE3" s="336" t="inlineStr">
        <is>
          <t>2028E
Q2</t>
        </is>
      </c>
      <c r="AF3" s="336" t="inlineStr">
        <is>
          <t>2028E
Q3</t>
        </is>
      </c>
      <c r="AG3" s="336" t="inlineStr">
        <is>
          <t>2028E
Q4</t>
        </is>
      </c>
      <c r="AH3" s="337" t="inlineStr">
        <is>
          <t>2028E
Annual</t>
        </is>
      </c>
      <c r="AI3" s="336" t="inlineStr">
        <is>
          <t>2029E
Q1</t>
        </is>
      </c>
      <c r="AJ3" s="336" t="inlineStr">
        <is>
          <t>2029E
Q2</t>
        </is>
      </c>
      <c r="AK3" s="336" t="inlineStr">
        <is>
          <t>2029E
Q3</t>
        </is>
      </c>
      <c r="AL3" s="336" t="inlineStr">
        <is>
          <t>2029E
Q4</t>
        </is>
      </c>
      <c r="AM3" s="337" t="inlineStr">
        <is>
          <t>2029E
Annual</t>
        </is>
      </c>
      <c r="AN3" s="336" t="inlineStr">
        <is>
          <t>2030E
Q1</t>
        </is>
      </c>
      <c r="AO3" s="336" t="inlineStr">
        <is>
          <t>2030E
Q2</t>
        </is>
      </c>
      <c r="AP3" s="336" t="inlineStr">
        <is>
          <t>2030E
Q3</t>
        </is>
      </c>
      <c r="AQ3" s="336" t="inlineStr">
        <is>
          <t>2030E
Q4</t>
        </is>
      </c>
      <c r="AR3" s="337" t="inlineStr">
        <is>
          <t>2030E
Annual</t>
        </is>
      </c>
    </row>
    <row r="4" ht="4.5" customHeight="1" s="290"/>
    <row r="5" ht="15.75" customHeight="1" s="290">
      <c r="A5" s="338" t="inlineStr">
        <is>
          <t xml:space="preserve">  SECTION A — REVENUE</t>
        </is>
      </c>
    </row>
    <row r="6" ht="3.75" customHeight="1" s="290"/>
    <row r="7" ht="13.5" customHeight="1" s="290">
      <c r="A7" s="345" t="n"/>
      <c r="B7" s="370" t="inlineStr">
        <is>
          <t xml:space="preserve">    Leasing GCI</t>
        </is>
      </c>
      <c r="C7" s="371" t="inlineStr">
        <is>
          <t>$K</t>
        </is>
      </c>
      <c r="D7" s="394" t="inlineStr">
        <is>
          <t>← Tab 05 row 191</t>
        </is>
      </c>
      <c r="E7" s="361">
        <f>'05 Revenue Engine'!E191</f>
        <v/>
      </c>
      <c r="F7" s="361">
        <f>'05 Revenue Engine'!F191</f>
        <v/>
      </c>
      <c r="G7" s="361">
        <f>'05 Revenue Engine'!G191</f>
        <v/>
      </c>
      <c r="H7" s="361">
        <f>'05 Revenue Engine'!H191</f>
        <v/>
      </c>
      <c r="I7" s="405">
        <f>'05 Revenue Engine'!I191</f>
        <v/>
      </c>
      <c r="J7" s="361">
        <f>'05 Revenue Engine'!J191</f>
        <v/>
      </c>
      <c r="K7" s="361">
        <f>'05 Revenue Engine'!K191</f>
        <v/>
      </c>
      <c r="L7" s="361">
        <f>'05 Revenue Engine'!L191</f>
        <v/>
      </c>
      <c r="M7" s="361">
        <f>'05 Revenue Engine'!M191</f>
        <v/>
      </c>
      <c r="N7" s="405">
        <f>'05 Revenue Engine'!N191</f>
        <v/>
      </c>
      <c r="O7" s="361">
        <f>'05 Revenue Engine'!O191</f>
        <v/>
      </c>
      <c r="P7" s="361">
        <f>'05 Revenue Engine'!P191</f>
        <v/>
      </c>
      <c r="Q7" s="361">
        <f>'05 Revenue Engine'!Q191</f>
        <v/>
      </c>
      <c r="R7" s="361">
        <f>'05 Revenue Engine'!R191</f>
        <v/>
      </c>
      <c r="S7" s="405">
        <f>'05 Revenue Engine'!S191</f>
        <v/>
      </c>
      <c r="T7" s="361">
        <f>'05 Revenue Engine'!T191</f>
        <v/>
      </c>
      <c r="U7" s="361">
        <f>'05 Revenue Engine'!U191</f>
        <v/>
      </c>
      <c r="V7" s="361">
        <f>'05 Revenue Engine'!V191</f>
        <v/>
      </c>
      <c r="W7" s="361">
        <f>'05 Revenue Engine'!W191</f>
        <v/>
      </c>
      <c r="X7" s="405">
        <f>'05 Revenue Engine'!X191</f>
        <v/>
      </c>
      <c r="Y7" s="361">
        <f>'05 Revenue Engine'!Y191</f>
        <v/>
      </c>
      <c r="Z7" s="361">
        <f>'05 Revenue Engine'!Z191</f>
        <v/>
      </c>
      <c r="AA7" s="361">
        <f>'05 Revenue Engine'!AA191</f>
        <v/>
      </c>
      <c r="AB7" s="361">
        <f>'05 Revenue Engine'!AB191</f>
        <v/>
      </c>
      <c r="AC7" s="405">
        <f>'05 Revenue Engine'!AC191</f>
        <v/>
      </c>
      <c r="AD7" s="361">
        <f>'05 Revenue Engine'!AD191</f>
        <v/>
      </c>
      <c r="AE7" s="361">
        <f>'05 Revenue Engine'!AE191</f>
        <v/>
      </c>
      <c r="AF7" s="361">
        <f>'05 Revenue Engine'!AF191</f>
        <v/>
      </c>
      <c r="AG7" s="361">
        <f>'05 Revenue Engine'!AG191</f>
        <v/>
      </c>
      <c r="AH7" s="405">
        <f>'05 Revenue Engine'!AH191</f>
        <v/>
      </c>
      <c r="AI7" s="361">
        <f>'05 Revenue Engine'!AI191</f>
        <v/>
      </c>
      <c r="AJ7" s="361">
        <f>'05 Revenue Engine'!AJ191</f>
        <v/>
      </c>
      <c r="AK7" s="361">
        <f>'05 Revenue Engine'!AK191</f>
        <v/>
      </c>
      <c r="AL7" s="361">
        <f>'05 Revenue Engine'!AL191</f>
        <v/>
      </c>
      <c r="AM7" s="405">
        <f>'05 Revenue Engine'!AM191</f>
        <v/>
      </c>
      <c r="AN7" s="361">
        <f>'05 Revenue Engine'!AN191</f>
        <v/>
      </c>
      <c r="AO7" s="361">
        <f>'05 Revenue Engine'!AO191</f>
        <v/>
      </c>
      <c r="AP7" s="361">
        <f>'05 Revenue Engine'!AP191</f>
        <v/>
      </c>
      <c r="AQ7" s="361">
        <f>'05 Revenue Engine'!AQ191</f>
        <v/>
      </c>
      <c r="AR7" s="405">
        <f>'05 Revenue Engine'!AR191</f>
        <v/>
      </c>
    </row>
    <row r="8" ht="13.5" customHeight="1" s="290">
      <c r="A8" s="345" t="n"/>
      <c r="B8" s="370" t="inlineStr">
        <is>
          <t xml:space="preserve">    Investment Sales GCI</t>
        </is>
      </c>
      <c r="C8" s="371" t="inlineStr">
        <is>
          <t>$K</t>
        </is>
      </c>
      <c r="D8" s="394" t="inlineStr">
        <is>
          <t>← Tab 05 row 192</t>
        </is>
      </c>
      <c r="E8" s="361">
        <f>'05 Revenue Engine'!E192</f>
        <v/>
      </c>
      <c r="F8" s="361">
        <f>'05 Revenue Engine'!F192</f>
        <v/>
      </c>
      <c r="G8" s="361">
        <f>'05 Revenue Engine'!G192</f>
        <v/>
      </c>
      <c r="H8" s="361">
        <f>'05 Revenue Engine'!H192</f>
        <v/>
      </c>
      <c r="I8" s="405">
        <f>'05 Revenue Engine'!I192</f>
        <v/>
      </c>
      <c r="J8" s="361">
        <f>'05 Revenue Engine'!J192</f>
        <v/>
      </c>
      <c r="K8" s="361">
        <f>'05 Revenue Engine'!K192</f>
        <v/>
      </c>
      <c r="L8" s="361">
        <f>'05 Revenue Engine'!L192</f>
        <v/>
      </c>
      <c r="M8" s="361">
        <f>'05 Revenue Engine'!M192</f>
        <v/>
      </c>
      <c r="N8" s="405">
        <f>'05 Revenue Engine'!N192</f>
        <v/>
      </c>
      <c r="O8" s="361">
        <f>'05 Revenue Engine'!O192</f>
        <v/>
      </c>
      <c r="P8" s="361">
        <f>'05 Revenue Engine'!P192</f>
        <v/>
      </c>
      <c r="Q8" s="361">
        <f>'05 Revenue Engine'!Q192</f>
        <v/>
      </c>
      <c r="R8" s="361">
        <f>'05 Revenue Engine'!R192</f>
        <v/>
      </c>
      <c r="S8" s="405">
        <f>'05 Revenue Engine'!S192</f>
        <v/>
      </c>
      <c r="T8" s="361">
        <f>'05 Revenue Engine'!T192</f>
        <v/>
      </c>
      <c r="U8" s="361">
        <f>'05 Revenue Engine'!U192</f>
        <v/>
      </c>
      <c r="V8" s="361">
        <f>'05 Revenue Engine'!V192</f>
        <v/>
      </c>
      <c r="W8" s="361">
        <f>'05 Revenue Engine'!W192</f>
        <v/>
      </c>
      <c r="X8" s="405">
        <f>'05 Revenue Engine'!X192</f>
        <v/>
      </c>
      <c r="Y8" s="361">
        <f>'05 Revenue Engine'!Y192</f>
        <v/>
      </c>
      <c r="Z8" s="361">
        <f>'05 Revenue Engine'!Z192</f>
        <v/>
      </c>
      <c r="AA8" s="361">
        <f>'05 Revenue Engine'!AA192</f>
        <v/>
      </c>
      <c r="AB8" s="361">
        <f>'05 Revenue Engine'!AB192</f>
        <v/>
      </c>
      <c r="AC8" s="405">
        <f>'05 Revenue Engine'!AC192</f>
        <v/>
      </c>
      <c r="AD8" s="361">
        <f>'05 Revenue Engine'!AD192</f>
        <v/>
      </c>
      <c r="AE8" s="361">
        <f>'05 Revenue Engine'!AE192</f>
        <v/>
      </c>
      <c r="AF8" s="361">
        <f>'05 Revenue Engine'!AF192</f>
        <v/>
      </c>
      <c r="AG8" s="361">
        <f>'05 Revenue Engine'!AG192</f>
        <v/>
      </c>
      <c r="AH8" s="405">
        <f>'05 Revenue Engine'!AH192</f>
        <v/>
      </c>
      <c r="AI8" s="361">
        <f>'05 Revenue Engine'!AI192</f>
        <v/>
      </c>
      <c r="AJ8" s="361">
        <f>'05 Revenue Engine'!AJ192</f>
        <v/>
      </c>
      <c r="AK8" s="361">
        <f>'05 Revenue Engine'!AK192</f>
        <v/>
      </c>
      <c r="AL8" s="361">
        <f>'05 Revenue Engine'!AL192</f>
        <v/>
      </c>
      <c r="AM8" s="405">
        <f>'05 Revenue Engine'!AM192</f>
        <v/>
      </c>
      <c r="AN8" s="361">
        <f>'05 Revenue Engine'!AN192</f>
        <v/>
      </c>
      <c r="AO8" s="361">
        <f>'05 Revenue Engine'!AO192</f>
        <v/>
      </c>
      <c r="AP8" s="361">
        <f>'05 Revenue Engine'!AP192</f>
        <v/>
      </c>
      <c r="AQ8" s="361">
        <f>'05 Revenue Engine'!AQ192</f>
        <v/>
      </c>
      <c r="AR8" s="405">
        <f>'05 Revenue Engine'!AR192</f>
        <v/>
      </c>
    </row>
    <row r="9" ht="13.5" customHeight="1" s="290">
      <c r="A9" s="345" t="n"/>
      <c r="B9" s="370" t="inlineStr">
        <is>
          <t xml:space="preserve">    D&amp;E Placement GCI</t>
        </is>
      </c>
      <c r="C9" s="371" t="inlineStr">
        <is>
          <t>$K</t>
        </is>
      </c>
      <c r="D9" s="394" t="inlineStr">
        <is>
          <t>← Tab 05 row 193</t>
        </is>
      </c>
      <c r="E9" s="361">
        <f>'05 Revenue Engine'!E193</f>
        <v/>
      </c>
      <c r="F9" s="361">
        <f>'05 Revenue Engine'!F193</f>
        <v/>
      </c>
      <c r="G9" s="361">
        <f>'05 Revenue Engine'!G193</f>
        <v/>
      </c>
      <c r="H9" s="361">
        <f>'05 Revenue Engine'!H193</f>
        <v/>
      </c>
      <c r="I9" s="405">
        <f>'05 Revenue Engine'!I193</f>
        <v/>
      </c>
      <c r="J9" s="361">
        <f>'05 Revenue Engine'!J193</f>
        <v/>
      </c>
      <c r="K9" s="361">
        <f>'05 Revenue Engine'!K193</f>
        <v/>
      </c>
      <c r="L9" s="361">
        <f>'05 Revenue Engine'!L193</f>
        <v/>
      </c>
      <c r="M9" s="361">
        <f>'05 Revenue Engine'!M193</f>
        <v/>
      </c>
      <c r="N9" s="405">
        <f>'05 Revenue Engine'!N193</f>
        <v/>
      </c>
      <c r="O9" s="361">
        <f>'05 Revenue Engine'!O193</f>
        <v/>
      </c>
      <c r="P9" s="361">
        <f>'05 Revenue Engine'!P193</f>
        <v/>
      </c>
      <c r="Q9" s="361">
        <f>'05 Revenue Engine'!Q193</f>
        <v/>
      </c>
      <c r="R9" s="361">
        <f>'05 Revenue Engine'!R193</f>
        <v/>
      </c>
      <c r="S9" s="405">
        <f>'05 Revenue Engine'!S193</f>
        <v/>
      </c>
      <c r="T9" s="361">
        <f>'05 Revenue Engine'!T193</f>
        <v/>
      </c>
      <c r="U9" s="361">
        <f>'05 Revenue Engine'!U193</f>
        <v/>
      </c>
      <c r="V9" s="361">
        <f>'05 Revenue Engine'!V193</f>
        <v/>
      </c>
      <c r="W9" s="361">
        <f>'05 Revenue Engine'!W193</f>
        <v/>
      </c>
      <c r="X9" s="405">
        <f>'05 Revenue Engine'!X193</f>
        <v/>
      </c>
      <c r="Y9" s="361">
        <f>'05 Revenue Engine'!Y193</f>
        <v/>
      </c>
      <c r="Z9" s="361">
        <f>'05 Revenue Engine'!Z193</f>
        <v/>
      </c>
      <c r="AA9" s="361">
        <f>'05 Revenue Engine'!AA193</f>
        <v/>
      </c>
      <c r="AB9" s="361">
        <f>'05 Revenue Engine'!AB193</f>
        <v/>
      </c>
      <c r="AC9" s="405">
        <f>'05 Revenue Engine'!AC193</f>
        <v/>
      </c>
      <c r="AD9" s="361">
        <f>'05 Revenue Engine'!AD193</f>
        <v/>
      </c>
      <c r="AE9" s="361">
        <f>'05 Revenue Engine'!AE193</f>
        <v/>
      </c>
      <c r="AF9" s="361">
        <f>'05 Revenue Engine'!AF193</f>
        <v/>
      </c>
      <c r="AG9" s="361">
        <f>'05 Revenue Engine'!AG193</f>
        <v/>
      </c>
      <c r="AH9" s="405">
        <f>'05 Revenue Engine'!AH193</f>
        <v/>
      </c>
      <c r="AI9" s="361">
        <f>'05 Revenue Engine'!AI193</f>
        <v/>
      </c>
      <c r="AJ9" s="361">
        <f>'05 Revenue Engine'!AJ193</f>
        <v/>
      </c>
      <c r="AK9" s="361">
        <f>'05 Revenue Engine'!AK193</f>
        <v/>
      </c>
      <c r="AL9" s="361">
        <f>'05 Revenue Engine'!AL193</f>
        <v/>
      </c>
      <c r="AM9" s="405">
        <f>'05 Revenue Engine'!AM193</f>
        <v/>
      </c>
      <c r="AN9" s="361">
        <f>'05 Revenue Engine'!AN193</f>
        <v/>
      </c>
      <c r="AO9" s="361">
        <f>'05 Revenue Engine'!AO193</f>
        <v/>
      </c>
      <c r="AP9" s="361">
        <f>'05 Revenue Engine'!AP193</f>
        <v/>
      </c>
      <c r="AQ9" s="361">
        <f>'05 Revenue Engine'!AQ193</f>
        <v/>
      </c>
      <c r="AR9" s="405">
        <f>'05 Revenue Engine'!AR193</f>
        <v/>
      </c>
    </row>
    <row r="10" ht="13.5" customHeight="1" s="290">
      <c r="A10" s="345" t="n"/>
      <c r="B10" s="370" t="inlineStr">
        <is>
          <t xml:space="preserve">    Valuation &amp; Advisory Revenue</t>
        </is>
      </c>
      <c r="C10" s="371" t="inlineStr">
        <is>
          <t>$K</t>
        </is>
      </c>
      <c r="D10" s="394" t="inlineStr">
        <is>
          <t>← Tab 05 row 194</t>
        </is>
      </c>
      <c r="E10" s="361">
        <f>'05 Revenue Engine'!E194</f>
        <v/>
      </c>
      <c r="F10" s="361">
        <f>'05 Revenue Engine'!F194</f>
        <v/>
      </c>
      <c r="G10" s="361">
        <f>'05 Revenue Engine'!G194</f>
        <v/>
      </c>
      <c r="H10" s="361">
        <f>'05 Revenue Engine'!H194</f>
        <v/>
      </c>
      <c r="I10" s="405">
        <f>'05 Revenue Engine'!I194</f>
        <v/>
      </c>
      <c r="J10" s="361">
        <f>'05 Revenue Engine'!J194</f>
        <v/>
      </c>
      <c r="K10" s="361">
        <f>'05 Revenue Engine'!K194</f>
        <v/>
      </c>
      <c r="L10" s="361">
        <f>'05 Revenue Engine'!L194</f>
        <v/>
      </c>
      <c r="M10" s="361">
        <f>'05 Revenue Engine'!M194</f>
        <v/>
      </c>
      <c r="N10" s="405">
        <f>'05 Revenue Engine'!N194</f>
        <v/>
      </c>
      <c r="O10" s="361">
        <f>'05 Revenue Engine'!O194</f>
        <v/>
      </c>
      <c r="P10" s="361">
        <f>'05 Revenue Engine'!P194</f>
        <v/>
      </c>
      <c r="Q10" s="361">
        <f>'05 Revenue Engine'!Q194</f>
        <v/>
      </c>
      <c r="R10" s="361">
        <f>'05 Revenue Engine'!R194</f>
        <v/>
      </c>
      <c r="S10" s="405">
        <f>'05 Revenue Engine'!S194</f>
        <v/>
      </c>
      <c r="T10" s="361">
        <f>'05 Revenue Engine'!T194</f>
        <v/>
      </c>
      <c r="U10" s="361">
        <f>'05 Revenue Engine'!U194</f>
        <v/>
      </c>
      <c r="V10" s="361">
        <f>'05 Revenue Engine'!V194</f>
        <v/>
      </c>
      <c r="W10" s="361">
        <f>'05 Revenue Engine'!W194</f>
        <v/>
      </c>
      <c r="X10" s="405">
        <f>'05 Revenue Engine'!X194</f>
        <v/>
      </c>
      <c r="Y10" s="361">
        <f>'05 Revenue Engine'!Y194</f>
        <v/>
      </c>
      <c r="Z10" s="361">
        <f>'05 Revenue Engine'!Z194</f>
        <v/>
      </c>
      <c r="AA10" s="361">
        <f>'05 Revenue Engine'!AA194</f>
        <v/>
      </c>
      <c r="AB10" s="361">
        <f>'05 Revenue Engine'!AB194</f>
        <v/>
      </c>
      <c r="AC10" s="405">
        <f>'05 Revenue Engine'!AC194</f>
        <v/>
      </c>
      <c r="AD10" s="361">
        <f>'05 Revenue Engine'!AD194</f>
        <v/>
      </c>
      <c r="AE10" s="361">
        <f>'05 Revenue Engine'!AE194</f>
        <v/>
      </c>
      <c r="AF10" s="361">
        <f>'05 Revenue Engine'!AF194</f>
        <v/>
      </c>
      <c r="AG10" s="361">
        <f>'05 Revenue Engine'!AG194</f>
        <v/>
      </c>
      <c r="AH10" s="405">
        <f>'05 Revenue Engine'!AH194</f>
        <v/>
      </c>
      <c r="AI10" s="361">
        <f>'05 Revenue Engine'!AI194</f>
        <v/>
      </c>
      <c r="AJ10" s="361">
        <f>'05 Revenue Engine'!AJ194</f>
        <v/>
      </c>
      <c r="AK10" s="361">
        <f>'05 Revenue Engine'!AK194</f>
        <v/>
      </c>
      <c r="AL10" s="361">
        <f>'05 Revenue Engine'!AL194</f>
        <v/>
      </c>
      <c r="AM10" s="405">
        <f>'05 Revenue Engine'!AM194</f>
        <v/>
      </c>
      <c r="AN10" s="361">
        <f>'05 Revenue Engine'!AN194</f>
        <v/>
      </c>
      <c r="AO10" s="361">
        <f>'05 Revenue Engine'!AO194</f>
        <v/>
      </c>
      <c r="AP10" s="361">
        <f>'05 Revenue Engine'!AP194</f>
        <v/>
      </c>
      <c r="AQ10" s="361">
        <f>'05 Revenue Engine'!AQ194</f>
        <v/>
      </c>
      <c r="AR10" s="405">
        <f>'05 Revenue Engine'!AR194</f>
        <v/>
      </c>
    </row>
    <row r="11" ht="15" customHeight="1" s="290">
      <c r="A11" s="397" t="n"/>
      <c r="B11" s="398" t="inlineStr">
        <is>
          <t xml:space="preserve">  Total GCI / Gross Revenue</t>
        </is>
      </c>
      <c r="C11" s="399" t="inlineStr">
        <is>
          <t>$K</t>
        </is>
      </c>
      <c r="D11" s="400" t="inlineStr">
        <is>
          <t xml:space="preserve"> sum of all four business lines</t>
        </is>
      </c>
      <c r="E11" s="401">
        <f>E7+E8+E9+E10</f>
        <v/>
      </c>
      <c r="F11" s="401">
        <f>F7+F8+F9+F10</f>
        <v/>
      </c>
      <c r="G11" s="401">
        <f>G7+G8+G9+G10</f>
        <v/>
      </c>
      <c r="H11" s="401">
        <f>H7+H8+H9+H10</f>
        <v/>
      </c>
      <c r="I11" s="387">
        <f>SUM(E11:H11)</f>
        <v/>
      </c>
      <c r="J11" s="401">
        <f>J7+J8+J9+J10</f>
        <v/>
      </c>
      <c r="K11" s="401">
        <f>K7+K8+K9+K10</f>
        <v/>
      </c>
      <c r="L11" s="401">
        <f>L7+L8+L9+L10</f>
        <v/>
      </c>
      <c r="M11" s="401">
        <f>M7+M8+M9+M10</f>
        <v/>
      </c>
      <c r="N11" s="387">
        <f>SUM(J11:M11)</f>
        <v/>
      </c>
      <c r="O11" s="401">
        <f>O7+O8+O9+O10</f>
        <v/>
      </c>
      <c r="P11" s="401">
        <f>P7+P8+P9+P10</f>
        <v/>
      </c>
      <c r="Q11" s="401">
        <f>Q7+Q8+Q9+Q10</f>
        <v/>
      </c>
      <c r="R11" s="401">
        <f>R7+R8+R9+R10</f>
        <v/>
      </c>
      <c r="S11" s="387">
        <f>SUM(O11:R11)</f>
        <v/>
      </c>
      <c r="T11" s="401">
        <f>T7+T8+T9+T10</f>
        <v/>
      </c>
      <c r="U11" s="401">
        <f>U7+U8+U9+U10</f>
        <v/>
      </c>
      <c r="V11" s="401">
        <f>V7+V8+V9+V10</f>
        <v/>
      </c>
      <c r="W11" s="401">
        <f>W7+W8+W9+W10</f>
        <v/>
      </c>
      <c r="X11" s="387">
        <f>SUM(T11:W11)</f>
        <v/>
      </c>
      <c r="Y11" s="401">
        <f>Y7+Y8+Y9+Y10</f>
        <v/>
      </c>
      <c r="Z11" s="401">
        <f>Z7+Z8+Z9+Z10</f>
        <v/>
      </c>
      <c r="AA11" s="401">
        <f>AA7+AA8+AA9+AA10</f>
        <v/>
      </c>
      <c r="AB11" s="401">
        <f>AB7+AB8+AB9+AB10</f>
        <v/>
      </c>
      <c r="AC11" s="387">
        <f>SUM(Y11:AB11)</f>
        <v/>
      </c>
      <c r="AD11" s="401">
        <f>AD7+AD8+AD9+AD10</f>
        <v/>
      </c>
      <c r="AE11" s="401">
        <f>AE7+AE8+AE9+AE10</f>
        <v/>
      </c>
      <c r="AF11" s="401">
        <f>AF7+AF8+AF9+AF10</f>
        <v/>
      </c>
      <c r="AG11" s="401">
        <f>AG7+AG8+AG9+AG10</f>
        <v/>
      </c>
      <c r="AH11" s="387">
        <f>SUM(AD11:AG11)</f>
        <v/>
      </c>
      <c r="AI11" s="401">
        <f>AI7+AI8+AI9+AI10</f>
        <v/>
      </c>
      <c r="AJ11" s="401">
        <f>AJ7+AJ8+AJ9+AJ10</f>
        <v/>
      </c>
      <c r="AK11" s="401">
        <f>AK7+AK8+AK9+AK10</f>
        <v/>
      </c>
      <c r="AL11" s="401">
        <f>AL7+AL8+AL9+AL10</f>
        <v/>
      </c>
      <c r="AM11" s="387">
        <f>SUM(AI11:AL11)</f>
        <v/>
      </c>
      <c r="AN11" s="401">
        <f>AN7+AN8+AN9+AN10</f>
        <v/>
      </c>
      <c r="AO11" s="401">
        <f>AO7+AO8+AO9+AO10</f>
        <v/>
      </c>
      <c r="AP11" s="401">
        <f>AP7+AP8+AP9+AP10</f>
        <v/>
      </c>
      <c r="AQ11" s="401">
        <f>AQ7+AQ8+AQ9+AQ10</f>
        <v/>
      </c>
      <c r="AR11" s="387">
        <f>SUM(AN11:AQ11)</f>
        <v/>
      </c>
    </row>
    <row r="12" ht="3" customHeight="1" s="290"/>
    <row r="13" ht="13.5" customHeight="1" s="290">
      <c r="A13" s="339" t="n"/>
      <c r="B13" s="421" t="inlineStr">
        <is>
          <t xml:space="preserve">    YoY GCI Growth</t>
        </is>
      </c>
      <c r="C13" s="422" t="inlineStr">
        <is>
          <t>%</t>
        </is>
      </c>
      <c r="D13" s="375" t="n"/>
      <c r="E13" s="423">
        <f>0</f>
        <v/>
      </c>
      <c r="F13" s="423">
        <f>0</f>
        <v/>
      </c>
      <c r="G13" s="423">
        <f>0</f>
        <v/>
      </c>
      <c r="H13" s="423">
        <f>0</f>
        <v/>
      </c>
      <c r="I13" s="424">
        <f>0</f>
        <v/>
      </c>
      <c r="J13" s="423">
        <f>0</f>
        <v/>
      </c>
      <c r="K13" s="423">
        <f>0</f>
        <v/>
      </c>
      <c r="L13" s="423">
        <f>0</f>
        <v/>
      </c>
      <c r="M13" s="423">
        <f>0</f>
        <v/>
      </c>
      <c r="N13" s="424">
        <f>IFERROR(N11/I11-1,0)</f>
        <v/>
      </c>
      <c r="O13" s="423">
        <f>0</f>
        <v/>
      </c>
      <c r="P13" s="423">
        <f>0</f>
        <v/>
      </c>
      <c r="Q13" s="423">
        <f>0</f>
        <v/>
      </c>
      <c r="R13" s="423">
        <f>0</f>
        <v/>
      </c>
      <c r="S13" s="424">
        <f>IFERROR(S11/N11-1,0)</f>
        <v/>
      </c>
      <c r="T13" s="423">
        <f>0</f>
        <v/>
      </c>
      <c r="U13" s="423">
        <f>0</f>
        <v/>
      </c>
      <c r="V13" s="423">
        <f>0</f>
        <v/>
      </c>
      <c r="W13" s="423">
        <f>0</f>
        <v/>
      </c>
      <c r="X13" s="424">
        <f>IFERROR(X11/S11-1,0)</f>
        <v/>
      </c>
      <c r="Y13" s="423">
        <f>0</f>
        <v/>
      </c>
      <c r="Z13" s="423">
        <f>0</f>
        <v/>
      </c>
      <c r="AA13" s="423">
        <f>0</f>
        <v/>
      </c>
      <c r="AB13" s="423">
        <f>0</f>
        <v/>
      </c>
      <c r="AC13" s="424">
        <f>IFERROR(AC11/X11-1,0)</f>
        <v/>
      </c>
      <c r="AD13" s="423">
        <f>0</f>
        <v/>
      </c>
      <c r="AE13" s="423">
        <f>0</f>
        <v/>
      </c>
      <c r="AF13" s="423">
        <f>0</f>
        <v/>
      </c>
      <c r="AG13" s="423">
        <f>0</f>
        <v/>
      </c>
      <c r="AH13" s="424">
        <f>IFERROR(AH11/AC11-1,0)</f>
        <v/>
      </c>
      <c r="AI13" s="423">
        <f>0</f>
        <v/>
      </c>
      <c r="AJ13" s="423">
        <f>0</f>
        <v/>
      </c>
      <c r="AK13" s="423">
        <f>0</f>
        <v/>
      </c>
      <c r="AL13" s="423">
        <f>0</f>
        <v/>
      </c>
      <c r="AM13" s="424">
        <f>IFERROR(AM11/AH11-1,0)</f>
        <v/>
      </c>
      <c r="AN13" s="423">
        <f>0</f>
        <v/>
      </c>
      <c r="AO13" s="423">
        <f>0</f>
        <v/>
      </c>
      <c r="AP13" s="423">
        <f>0</f>
        <v/>
      </c>
      <c r="AQ13" s="423">
        <f>0</f>
        <v/>
      </c>
      <c r="AR13" s="424">
        <f>IFERROR(AR11/AM11-1,0)</f>
        <v/>
      </c>
    </row>
    <row r="14" ht="3" customHeight="1" s="290"/>
    <row r="15" ht="13.5" customHeight="1" s="290">
      <c r="A15" s="339" t="n"/>
      <c r="B15" s="421" t="inlineStr">
        <is>
          <t xml:space="preserve">    Leasing % of GCI</t>
        </is>
      </c>
      <c r="C15" s="422" t="inlineStr">
        <is>
          <t>%</t>
        </is>
      </c>
      <c r="D15" s="375" t="n"/>
      <c r="E15" s="423">
        <f>IFERROR(E7/E11,0)</f>
        <v/>
      </c>
      <c r="F15" s="423">
        <f>IFERROR(F7/F11,0)</f>
        <v/>
      </c>
      <c r="G15" s="423">
        <f>IFERROR(G7/G11,0)</f>
        <v/>
      </c>
      <c r="H15" s="423">
        <f>IFERROR(H7/H11,0)</f>
        <v/>
      </c>
      <c r="I15" s="424">
        <f>IFERROR(I7/I11,0)</f>
        <v/>
      </c>
      <c r="J15" s="423">
        <f>IFERROR(J7/J11,0)</f>
        <v/>
      </c>
      <c r="K15" s="423">
        <f>IFERROR(K7/K11,0)</f>
        <v/>
      </c>
      <c r="L15" s="423">
        <f>IFERROR(L7/L11,0)</f>
        <v/>
      </c>
      <c r="M15" s="423">
        <f>IFERROR(M7/M11,0)</f>
        <v/>
      </c>
      <c r="N15" s="424">
        <f>IFERROR(N7/N11,0)</f>
        <v/>
      </c>
      <c r="O15" s="423">
        <f>IFERROR(O7/O11,0)</f>
        <v/>
      </c>
      <c r="P15" s="423">
        <f>IFERROR(P7/P11,0)</f>
        <v/>
      </c>
      <c r="Q15" s="423">
        <f>IFERROR(Q7/Q11,0)</f>
        <v/>
      </c>
      <c r="R15" s="423">
        <f>IFERROR(R7/R11,0)</f>
        <v/>
      </c>
      <c r="S15" s="424">
        <f>IFERROR(S7/S11,0)</f>
        <v/>
      </c>
      <c r="T15" s="423">
        <f>IFERROR(T7/T11,0)</f>
        <v/>
      </c>
      <c r="U15" s="423">
        <f>IFERROR(U7/U11,0)</f>
        <v/>
      </c>
      <c r="V15" s="423">
        <f>IFERROR(V7/V11,0)</f>
        <v/>
      </c>
      <c r="W15" s="423">
        <f>IFERROR(W7/W11,0)</f>
        <v/>
      </c>
      <c r="X15" s="424">
        <f>IFERROR(X7/X11,0)</f>
        <v/>
      </c>
      <c r="Y15" s="423">
        <f>IFERROR(Y7/Y11,0)</f>
        <v/>
      </c>
      <c r="Z15" s="423">
        <f>IFERROR(Z7/Z11,0)</f>
        <v/>
      </c>
      <c r="AA15" s="423">
        <f>IFERROR(AA7/AA11,0)</f>
        <v/>
      </c>
      <c r="AB15" s="423">
        <f>IFERROR(AB7/AB11,0)</f>
        <v/>
      </c>
      <c r="AC15" s="424">
        <f>IFERROR(AC7/AC11,0)</f>
        <v/>
      </c>
      <c r="AD15" s="423">
        <f>IFERROR(AD7/AD11,0)</f>
        <v/>
      </c>
      <c r="AE15" s="423">
        <f>IFERROR(AE7/AE11,0)</f>
        <v/>
      </c>
      <c r="AF15" s="423">
        <f>IFERROR(AF7/AF11,0)</f>
        <v/>
      </c>
      <c r="AG15" s="423">
        <f>IFERROR(AG7/AG11,0)</f>
        <v/>
      </c>
      <c r="AH15" s="424">
        <f>IFERROR(AH7/AH11,0)</f>
        <v/>
      </c>
      <c r="AI15" s="423">
        <f>IFERROR(AI7/AI11,0)</f>
        <v/>
      </c>
      <c r="AJ15" s="423">
        <f>IFERROR(AJ7/AJ11,0)</f>
        <v/>
      </c>
      <c r="AK15" s="423">
        <f>IFERROR(AK7/AK11,0)</f>
        <v/>
      </c>
      <c r="AL15" s="423">
        <f>IFERROR(AL7/AL11,0)</f>
        <v/>
      </c>
      <c r="AM15" s="424">
        <f>IFERROR(AM7/AM11,0)</f>
        <v/>
      </c>
      <c r="AN15" s="423">
        <f>IFERROR(AN7/AN11,0)</f>
        <v/>
      </c>
      <c r="AO15" s="423">
        <f>IFERROR(AO7/AO11,0)</f>
        <v/>
      </c>
      <c r="AP15" s="423">
        <f>IFERROR(AP7/AP11,0)</f>
        <v/>
      </c>
      <c r="AQ15" s="423">
        <f>IFERROR(AQ7/AQ11,0)</f>
        <v/>
      </c>
      <c r="AR15" s="424">
        <f>IFERROR(AR7/AR11,0)</f>
        <v/>
      </c>
    </row>
    <row r="16" ht="13.5" customHeight="1" s="290">
      <c r="A16" s="339" t="n"/>
      <c r="B16" s="421" t="inlineStr">
        <is>
          <t xml:space="preserve">    IS % of GCI</t>
        </is>
      </c>
      <c r="C16" s="422" t="inlineStr">
        <is>
          <t>%</t>
        </is>
      </c>
      <c r="D16" s="375" t="n"/>
      <c r="E16" s="423">
        <f>IFERROR(E8/E11,0)</f>
        <v/>
      </c>
      <c r="F16" s="423">
        <f>IFERROR(F8/F11,0)</f>
        <v/>
      </c>
      <c r="G16" s="423">
        <f>IFERROR(G8/G11,0)</f>
        <v/>
      </c>
      <c r="H16" s="423">
        <f>IFERROR(H8/H11,0)</f>
        <v/>
      </c>
      <c r="I16" s="424">
        <f>IFERROR(I8/I11,0)</f>
        <v/>
      </c>
      <c r="J16" s="423">
        <f>IFERROR(J8/J11,0)</f>
        <v/>
      </c>
      <c r="K16" s="423">
        <f>IFERROR(K8/K11,0)</f>
        <v/>
      </c>
      <c r="L16" s="423">
        <f>IFERROR(L8/L11,0)</f>
        <v/>
      </c>
      <c r="M16" s="423">
        <f>IFERROR(M8/M11,0)</f>
        <v/>
      </c>
      <c r="N16" s="424">
        <f>IFERROR(N8/N11,0)</f>
        <v/>
      </c>
      <c r="O16" s="423">
        <f>IFERROR(O8/O11,0)</f>
        <v/>
      </c>
      <c r="P16" s="423">
        <f>IFERROR(P8/P11,0)</f>
        <v/>
      </c>
      <c r="Q16" s="423">
        <f>IFERROR(Q8/Q11,0)</f>
        <v/>
      </c>
      <c r="R16" s="423">
        <f>IFERROR(R8/R11,0)</f>
        <v/>
      </c>
      <c r="S16" s="424">
        <f>IFERROR(S8/S11,0)</f>
        <v/>
      </c>
      <c r="T16" s="423">
        <f>IFERROR(T8/T11,0)</f>
        <v/>
      </c>
      <c r="U16" s="423">
        <f>IFERROR(U8/U11,0)</f>
        <v/>
      </c>
      <c r="V16" s="423">
        <f>IFERROR(V8/V11,0)</f>
        <v/>
      </c>
      <c r="W16" s="423">
        <f>IFERROR(W8/W11,0)</f>
        <v/>
      </c>
      <c r="X16" s="424">
        <f>IFERROR(X8/X11,0)</f>
        <v/>
      </c>
      <c r="Y16" s="423">
        <f>IFERROR(Y8/Y11,0)</f>
        <v/>
      </c>
      <c r="Z16" s="423">
        <f>IFERROR(Z8/Z11,0)</f>
        <v/>
      </c>
      <c r="AA16" s="423">
        <f>IFERROR(AA8/AA11,0)</f>
        <v/>
      </c>
      <c r="AB16" s="423">
        <f>IFERROR(AB8/AB11,0)</f>
        <v/>
      </c>
      <c r="AC16" s="424">
        <f>IFERROR(AC8/AC11,0)</f>
        <v/>
      </c>
      <c r="AD16" s="423">
        <f>IFERROR(AD8/AD11,0)</f>
        <v/>
      </c>
      <c r="AE16" s="423">
        <f>IFERROR(AE8/AE11,0)</f>
        <v/>
      </c>
      <c r="AF16" s="423">
        <f>IFERROR(AF8/AF11,0)</f>
        <v/>
      </c>
      <c r="AG16" s="423">
        <f>IFERROR(AG8/AG11,0)</f>
        <v/>
      </c>
      <c r="AH16" s="424">
        <f>IFERROR(AH8/AH11,0)</f>
        <v/>
      </c>
      <c r="AI16" s="423">
        <f>IFERROR(AI8/AI11,0)</f>
        <v/>
      </c>
      <c r="AJ16" s="423">
        <f>IFERROR(AJ8/AJ11,0)</f>
        <v/>
      </c>
      <c r="AK16" s="423">
        <f>IFERROR(AK8/AK11,0)</f>
        <v/>
      </c>
      <c r="AL16" s="423">
        <f>IFERROR(AL8/AL11,0)</f>
        <v/>
      </c>
      <c r="AM16" s="424">
        <f>IFERROR(AM8/AM11,0)</f>
        <v/>
      </c>
      <c r="AN16" s="423">
        <f>IFERROR(AN8/AN11,0)</f>
        <v/>
      </c>
      <c r="AO16" s="423">
        <f>IFERROR(AO8/AO11,0)</f>
        <v/>
      </c>
      <c r="AP16" s="423">
        <f>IFERROR(AP8/AP11,0)</f>
        <v/>
      </c>
      <c r="AQ16" s="423">
        <f>IFERROR(AQ8/AQ11,0)</f>
        <v/>
      </c>
      <c r="AR16" s="424">
        <f>IFERROR(AR8/AR11,0)</f>
        <v/>
      </c>
    </row>
    <row r="17" ht="13.5" customHeight="1" s="290">
      <c r="A17" s="339" t="n"/>
      <c r="B17" s="421" t="inlineStr">
        <is>
          <t xml:space="preserve">    D&amp;E % of GCI</t>
        </is>
      </c>
      <c r="C17" s="422" t="inlineStr">
        <is>
          <t>%</t>
        </is>
      </c>
      <c r="D17" s="375" t="n"/>
      <c r="E17" s="423">
        <f>IFERROR(E9/E11,0)</f>
        <v/>
      </c>
      <c r="F17" s="423">
        <f>IFERROR(F9/F11,0)</f>
        <v/>
      </c>
      <c r="G17" s="423">
        <f>IFERROR(G9/G11,0)</f>
        <v/>
      </c>
      <c r="H17" s="423">
        <f>IFERROR(H9/H11,0)</f>
        <v/>
      </c>
      <c r="I17" s="424">
        <f>IFERROR(I9/I11,0)</f>
        <v/>
      </c>
      <c r="J17" s="423">
        <f>IFERROR(J9/J11,0)</f>
        <v/>
      </c>
      <c r="K17" s="423">
        <f>IFERROR(K9/K11,0)</f>
        <v/>
      </c>
      <c r="L17" s="423">
        <f>IFERROR(L9/L11,0)</f>
        <v/>
      </c>
      <c r="M17" s="423">
        <f>IFERROR(M9/M11,0)</f>
        <v/>
      </c>
      <c r="N17" s="424">
        <f>IFERROR(N9/N11,0)</f>
        <v/>
      </c>
      <c r="O17" s="423">
        <f>IFERROR(O9/O11,0)</f>
        <v/>
      </c>
      <c r="P17" s="423">
        <f>IFERROR(P9/P11,0)</f>
        <v/>
      </c>
      <c r="Q17" s="423">
        <f>IFERROR(Q9/Q11,0)</f>
        <v/>
      </c>
      <c r="R17" s="423">
        <f>IFERROR(R9/R11,0)</f>
        <v/>
      </c>
      <c r="S17" s="424">
        <f>IFERROR(S9/S11,0)</f>
        <v/>
      </c>
      <c r="T17" s="423">
        <f>IFERROR(T9/T11,0)</f>
        <v/>
      </c>
      <c r="U17" s="423">
        <f>IFERROR(U9/U11,0)</f>
        <v/>
      </c>
      <c r="V17" s="423">
        <f>IFERROR(V9/V11,0)</f>
        <v/>
      </c>
      <c r="W17" s="423">
        <f>IFERROR(W9/W11,0)</f>
        <v/>
      </c>
      <c r="X17" s="424">
        <f>IFERROR(X9/X11,0)</f>
        <v/>
      </c>
      <c r="Y17" s="423">
        <f>IFERROR(Y9/Y11,0)</f>
        <v/>
      </c>
      <c r="Z17" s="423">
        <f>IFERROR(Z9/Z11,0)</f>
        <v/>
      </c>
      <c r="AA17" s="423">
        <f>IFERROR(AA9/AA11,0)</f>
        <v/>
      </c>
      <c r="AB17" s="423">
        <f>IFERROR(AB9/AB11,0)</f>
        <v/>
      </c>
      <c r="AC17" s="424">
        <f>IFERROR(AC9/AC11,0)</f>
        <v/>
      </c>
      <c r="AD17" s="423">
        <f>IFERROR(AD9/AD11,0)</f>
        <v/>
      </c>
      <c r="AE17" s="423">
        <f>IFERROR(AE9/AE11,0)</f>
        <v/>
      </c>
      <c r="AF17" s="423">
        <f>IFERROR(AF9/AF11,0)</f>
        <v/>
      </c>
      <c r="AG17" s="423">
        <f>IFERROR(AG9/AG11,0)</f>
        <v/>
      </c>
      <c r="AH17" s="424">
        <f>IFERROR(AH9/AH11,0)</f>
        <v/>
      </c>
      <c r="AI17" s="423">
        <f>IFERROR(AI9/AI11,0)</f>
        <v/>
      </c>
      <c r="AJ17" s="423">
        <f>IFERROR(AJ9/AJ11,0)</f>
        <v/>
      </c>
      <c r="AK17" s="423">
        <f>IFERROR(AK9/AK11,0)</f>
        <v/>
      </c>
      <c r="AL17" s="423">
        <f>IFERROR(AL9/AL11,0)</f>
        <v/>
      </c>
      <c r="AM17" s="424">
        <f>IFERROR(AM9/AM11,0)</f>
        <v/>
      </c>
      <c r="AN17" s="423">
        <f>IFERROR(AN9/AN11,0)</f>
        <v/>
      </c>
      <c r="AO17" s="423">
        <f>IFERROR(AO9/AO11,0)</f>
        <v/>
      </c>
      <c r="AP17" s="423">
        <f>IFERROR(AP9/AP11,0)</f>
        <v/>
      </c>
      <c r="AQ17" s="423">
        <f>IFERROR(AQ9/AQ11,0)</f>
        <v/>
      </c>
      <c r="AR17" s="424">
        <f>IFERROR(AR9/AR11,0)</f>
        <v/>
      </c>
    </row>
    <row r="18" ht="13.5" customHeight="1" s="290">
      <c r="A18" s="339" t="n"/>
      <c r="B18" s="421" t="inlineStr">
        <is>
          <t xml:space="preserve">    Advisory % of GCI</t>
        </is>
      </c>
      <c r="C18" s="422" t="inlineStr">
        <is>
          <t>%</t>
        </is>
      </c>
      <c r="D18" s="375" t="n"/>
      <c r="E18" s="423">
        <f>IFERROR(E10/E11,0)</f>
        <v/>
      </c>
      <c r="F18" s="423">
        <f>IFERROR(F10/F11,0)</f>
        <v/>
      </c>
      <c r="G18" s="423">
        <f>IFERROR(G10/G11,0)</f>
        <v/>
      </c>
      <c r="H18" s="423">
        <f>IFERROR(H10/H11,0)</f>
        <v/>
      </c>
      <c r="I18" s="424">
        <f>IFERROR(I10/I11,0)</f>
        <v/>
      </c>
      <c r="J18" s="423">
        <f>IFERROR(J10/J11,0)</f>
        <v/>
      </c>
      <c r="K18" s="423">
        <f>IFERROR(K10/K11,0)</f>
        <v/>
      </c>
      <c r="L18" s="423">
        <f>IFERROR(L10/L11,0)</f>
        <v/>
      </c>
      <c r="M18" s="423">
        <f>IFERROR(M10/M11,0)</f>
        <v/>
      </c>
      <c r="N18" s="424">
        <f>IFERROR(N10/N11,0)</f>
        <v/>
      </c>
      <c r="O18" s="423">
        <f>IFERROR(O10/O11,0)</f>
        <v/>
      </c>
      <c r="P18" s="423">
        <f>IFERROR(P10/P11,0)</f>
        <v/>
      </c>
      <c r="Q18" s="423">
        <f>IFERROR(Q10/Q11,0)</f>
        <v/>
      </c>
      <c r="R18" s="423">
        <f>IFERROR(R10/R11,0)</f>
        <v/>
      </c>
      <c r="S18" s="424">
        <f>IFERROR(S10/S11,0)</f>
        <v/>
      </c>
      <c r="T18" s="423">
        <f>IFERROR(T10/T11,0)</f>
        <v/>
      </c>
      <c r="U18" s="423">
        <f>IFERROR(U10/U11,0)</f>
        <v/>
      </c>
      <c r="V18" s="423">
        <f>IFERROR(V10/V11,0)</f>
        <v/>
      </c>
      <c r="W18" s="423">
        <f>IFERROR(W10/W11,0)</f>
        <v/>
      </c>
      <c r="X18" s="424">
        <f>IFERROR(X10/X11,0)</f>
        <v/>
      </c>
      <c r="Y18" s="423">
        <f>IFERROR(Y10/Y11,0)</f>
        <v/>
      </c>
      <c r="Z18" s="423">
        <f>IFERROR(Z10/Z11,0)</f>
        <v/>
      </c>
      <c r="AA18" s="423">
        <f>IFERROR(AA10/AA11,0)</f>
        <v/>
      </c>
      <c r="AB18" s="423">
        <f>IFERROR(AB10/AB11,0)</f>
        <v/>
      </c>
      <c r="AC18" s="424">
        <f>IFERROR(AC10/AC11,0)</f>
        <v/>
      </c>
      <c r="AD18" s="423">
        <f>IFERROR(AD10/AD11,0)</f>
        <v/>
      </c>
      <c r="AE18" s="423">
        <f>IFERROR(AE10/AE11,0)</f>
        <v/>
      </c>
      <c r="AF18" s="423">
        <f>IFERROR(AF10/AF11,0)</f>
        <v/>
      </c>
      <c r="AG18" s="423">
        <f>IFERROR(AG10/AG11,0)</f>
        <v/>
      </c>
      <c r="AH18" s="424">
        <f>IFERROR(AH10/AH11,0)</f>
        <v/>
      </c>
      <c r="AI18" s="423">
        <f>IFERROR(AI10/AI11,0)</f>
        <v/>
      </c>
      <c r="AJ18" s="423">
        <f>IFERROR(AJ10/AJ11,0)</f>
        <v/>
      </c>
      <c r="AK18" s="423">
        <f>IFERROR(AK10/AK11,0)</f>
        <v/>
      </c>
      <c r="AL18" s="423">
        <f>IFERROR(AL10/AL11,0)</f>
        <v/>
      </c>
      <c r="AM18" s="424">
        <f>IFERROR(AM10/AM11,0)</f>
        <v/>
      </c>
      <c r="AN18" s="423">
        <f>IFERROR(AN10/AN11,0)</f>
        <v/>
      </c>
      <c r="AO18" s="423">
        <f>IFERROR(AO10/AO11,0)</f>
        <v/>
      </c>
      <c r="AP18" s="423">
        <f>IFERROR(AP10/AP11,0)</f>
        <v/>
      </c>
      <c r="AQ18" s="423">
        <f>IFERROR(AQ10/AQ11,0)</f>
        <v/>
      </c>
      <c r="AR18" s="424">
        <f>IFERROR(AR10/AR11,0)</f>
        <v/>
      </c>
    </row>
    <row r="19" ht="13.5" customHeight="1" s="290">
      <c r="A19" s="395" t="n"/>
      <c r="B19" s="373" t="inlineStr">
        <is>
          <t xml:space="preserve">  Mix Check (sum = 100%)</t>
        </is>
      </c>
      <c r="C19" s="374" t="inlineStr">
        <is>
          <t>%</t>
        </is>
      </c>
      <c r="D19" s="396" t="n"/>
      <c r="E19" s="376">
        <f>E15+E16+E17+E18</f>
        <v/>
      </c>
      <c r="F19" s="376">
        <f>F15+F16+F17+F18</f>
        <v/>
      </c>
      <c r="G19" s="376">
        <f>G15+G16+G17+G18</f>
        <v/>
      </c>
      <c r="H19" s="376">
        <f>H15+H16+H17+H18</f>
        <v/>
      </c>
      <c r="I19" s="344">
        <f>I15+I16+I17+I18</f>
        <v/>
      </c>
      <c r="J19" s="376">
        <f>J15+J16+J17+J18</f>
        <v/>
      </c>
      <c r="K19" s="376">
        <f>K15+K16+K17+K18</f>
        <v/>
      </c>
      <c r="L19" s="376">
        <f>L15+L16+L17+L18</f>
        <v/>
      </c>
      <c r="M19" s="376">
        <f>M15+M16+M17+M18</f>
        <v/>
      </c>
      <c r="N19" s="344">
        <f>N15+N16+N17+N18</f>
        <v/>
      </c>
      <c r="O19" s="376">
        <f>O15+O16+O17+O18</f>
        <v/>
      </c>
      <c r="P19" s="376">
        <f>P15+P16+P17+P18</f>
        <v/>
      </c>
      <c r="Q19" s="376">
        <f>Q15+Q16+Q17+Q18</f>
        <v/>
      </c>
      <c r="R19" s="376">
        <f>R15+R16+R17+R18</f>
        <v/>
      </c>
      <c r="S19" s="344">
        <f>S15+S16+S17+S18</f>
        <v/>
      </c>
      <c r="T19" s="376">
        <f>T15+T16+T17+T18</f>
        <v/>
      </c>
      <c r="U19" s="376">
        <f>U15+U16+U17+U18</f>
        <v/>
      </c>
      <c r="V19" s="376">
        <f>V15+V16+V17+V18</f>
        <v/>
      </c>
      <c r="W19" s="376">
        <f>W15+W16+W17+W18</f>
        <v/>
      </c>
      <c r="X19" s="344">
        <f>X15+X16+X17+X18</f>
        <v/>
      </c>
      <c r="Y19" s="376">
        <f>Y15+Y16+Y17+Y18</f>
        <v/>
      </c>
      <c r="Z19" s="376">
        <f>Z15+Z16+Z17+Z18</f>
        <v/>
      </c>
      <c r="AA19" s="376">
        <f>AA15+AA16+AA17+AA18</f>
        <v/>
      </c>
      <c r="AB19" s="376">
        <f>AB15+AB16+AB17+AB18</f>
        <v/>
      </c>
      <c r="AC19" s="344">
        <f>AC15+AC16+AC17+AC18</f>
        <v/>
      </c>
      <c r="AD19" s="376">
        <f>AD15+AD16+AD17+AD18</f>
        <v/>
      </c>
      <c r="AE19" s="376">
        <f>AE15+AE16+AE17+AE18</f>
        <v/>
      </c>
      <c r="AF19" s="376">
        <f>AF15+AF16+AF17+AF18</f>
        <v/>
      </c>
      <c r="AG19" s="376">
        <f>AG15+AG16+AG17+AG18</f>
        <v/>
      </c>
      <c r="AH19" s="344">
        <f>AH15+AH16+AH17+AH18</f>
        <v/>
      </c>
      <c r="AI19" s="376">
        <f>AI15+AI16+AI17+AI18</f>
        <v/>
      </c>
      <c r="AJ19" s="376">
        <f>AJ15+AJ16+AJ17+AJ18</f>
        <v/>
      </c>
      <c r="AK19" s="376">
        <f>AK15+AK16+AK17+AK18</f>
        <v/>
      </c>
      <c r="AL19" s="376">
        <f>AL15+AL16+AL17+AL18</f>
        <v/>
      </c>
      <c r="AM19" s="344">
        <f>AM15+AM16+AM17+AM18</f>
        <v/>
      </c>
      <c r="AN19" s="376">
        <f>AN15+AN16+AN17+AN18</f>
        <v/>
      </c>
      <c r="AO19" s="376">
        <f>AO15+AO16+AO17+AO18</f>
        <v/>
      </c>
      <c r="AP19" s="376">
        <f>AP15+AP16+AP17+AP18</f>
        <v/>
      </c>
      <c r="AQ19" s="376">
        <f>AQ15+AQ16+AQ17+AQ18</f>
        <v/>
      </c>
      <c r="AR19" s="344">
        <f>AR15+AR16+AR17+AR18</f>
        <v/>
      </c>
    </row>
    <row r="20" ht="4.5" customHeight="1" s="290"/>
    <row r="21" ht="3" customHeight="1" s="290">
      <c r="A21" s="293" t="n"/>
    </row>
    <row r="22" ht="4.5" customHeight="1" s="290"/>
    <row r="23" ht="15.75" customHeight="1" s="290">
      <c r="A23" s="338" t="inlineStr">
        <is>
          <t xml:space="preserve">  SECTION B — PRODUCER PAYOUTS  &amp;  COMPANY DOLLAR</t>
        </is>
      </c>
    </row>
    <row r="24" ht="3.75" customHeight="1" s="290"/>
    <row r="25" ht="13.5" customHeight="1" s="290">
      <c r="A25" s="345" t="n"/>
      <c r="B25" s="370" t="inlineStr">
        <is>
          <t xml:space="preserve">    Leasing — Producer Payouts</t>
        </is>
      </c>
      <c r="C25" s="371" t="inlineStr">
        <is>
          <t>$K</t>
        </is>
      </c>
      <c r="D25" s="394" t="inlineStr">
        <is>
          <t>← Tab 06 row 202</t>
        </is>
      </c>
      <c r="E25" s="361">
        <f>'06 Compensation Engine'!E202</f>
        <v/>
      </c>
      <c r="F25" s="361">
        <f>'06 Compensation Engine'!F202</f>
        <v/>
      </c>
      <c r="G25" s="361">
        <f>'06 Compensation Engine'!G202</f>
        <v/>
      </c>
      <c r="H25" s="361">
        <f>'06 Compensation Engine'!H202</f>
        <v/>
      </c>
      <c r="I25" s="405">
        <f>'06 Compensation Engine'!I202</f>
        <v/>
      </c>
      <c r="J25" s="361">
        <f>'06 Compensation Engine'!J202</f>
        <v/>
      </c>
      <c r="K25" s="361">
        <f>'06 Compensation Engine'!K202</f>
        <v/>
      </c>
      <c r="L25" s="361">
        <f>'06 Compensation Engine'!L202</f>
        <v/>
      </c>
      <c r="M25" s="361">
        <f>'06 Compensation Engine'!M202</f>
        <v/>
      </c>
      <c r="N25" s="405">
        <f>'06 Compensation Engine'!N202</f>
        <v/>
      </c>
      <c r="O25" s="361">
        <f>'06 Compensation Engine'!O202</f>
        <v/>
      </c>
      <c r="P25" s="361">
        <f>'06 Compensation Engine'!P202</f>
        <v/>
      </c>
      <c r="Q25" s="361">
        <f>'06 Compensation Engine'!Q202</f>
        <v/>
      </c>
      <c r="R25" s="361">
        <f>'06 Compensation Engine'!R202</f>
        <v/>
      </c>
      <c r="S25" s="405">
        <f>'06 Compensation Engine'!S202</f>
        <v/>
      </c>
      <c r="T25" s="361">
        <f>'06 Compensation Engine'!T202</f>
        <v/>
      </c>
      <c r="U25" s="361">
        <f>'06 Compensation Engine'!U202</f>
        <v/>
      </c>
      <c r="V25" s="361">
        <f>'06 Compensation Engine'!V202</f>
        <v/>
      </c>
      <c r="W25" s="361">
        <f>'06 Compensation Engine'!W202</f>
        <v/>
      </c>
      <c r="X25" s="405">
        <f>'06 Compensation Engine'!X202</f>
        <v/>
      </c>
      <c r="Y25" s="361">
        <f>'06 Compensation Engine'!Y202</f>
        <v/>
      </c>
      <c r="Z25" s="361">
        <f>'06 Compensation Engine'!Z202</f>
        <v/>
      </c>
      <c r="AA25" s="361">
        <f>'06 Compensation Engine'!AA202</f>
        <v/>
      </c>
      <c r="AB25" s="361">
        <f>'06 Compensation Engine'!AB202</f>
        <v/>
      </c>
      <c r="AC25" s="405">
        <f>'06 Compensation Engine'!AC202</f>
        <v/>
      </c>
      <c r="AD25" s="361">
        <f>'06 Compensation Engine'!AD202</f>
        <v/>
      </c>
      <c r="AE25" s="361">
        <f>'06 Compensation Engine'!AE202</f>
        <v/>
      </c>
      <c r="AF25" s="361">
        <f>'06 Compensation Engine'!AF202</f>
        <v/>
      </c>
      <c r="AG25" s="361">
        <f>'06 Compensation Engine'!AG202</f>
        <v/>
      </c>
      <c r="AH25" s="405">
        <f>'06 Compensation Engine'!AH202</f>
        <v/>
      </c>
      <c r="AI25" s="361">
        <f>'06 Compensation Engine'!AI202</f>
        <v/>
      </c>
      <c r="AJ25" s="361">
        <f>'06 Compensation Engine'!AJ202</f>
        <v/>
      </c>
      <c r="AK25" s="361">
        <f>'06 Compensation Engine'!AK202</f>
        <v/>
      </c>
      <c r="AL25" s="361">
        <f>'06 Compensation Engine'!AL202</f>
        <v/>
      </c>
      <c r="AM25" s="405">
        <f>'06 Compensation Engine'!AM202</f>
        <v/>
      </c>
      <c r="AN25" s="361">
        <f>'06 Compensation Engine'!AN202</f>
        <v/>
      </c>
      <c r="AO25" s="361">
        <f>'06 Compensation Engine'!AO202</f>
        <v/>
      </c>
      <c r="AP25" s="361">
        <f>'06 Compensation Engine'!AP202</f>
        <v/>
      </c>
      <c r="AQ25" s="361">
        <f>'06 Compensation Engine'!AQ202</f>
        <v/>
      </c>
      <c r="AR25" s="405">
        <f>'06 Compensation Engine'!AR202</f>
        <v/>
      </c>
    </row>
    <row r="26" ht="13.5" customHeight="1" s="290">
      <c r="A26" s="345" t="n"/>
      <c r="B26" s="370" t="inlineStr">
        <is>
          <t xml:space="preserve">    Investment Sales — Producer Payouts</t>
        </is>
      </c>
      <c r="C26" s="371" t="inlineStr">
        <is>
          <t>$K</t>
        </is>
      </c>
      <c r="D26" s="394" t="inlineStr">
        <is>
          <t>← Tab 06 row 203</t>
        </is>
      </c>
      <c r="E26" s="361">
        <f>'06 Compensation Engine'!E203</f>
        <v/>
      </c>
      <c r="F26" s="361">
        <f>'06 Compensation Engine'!F203</f>
        <v/>
      </c>
      <c r="G26" s="361">
        <f>'06 Compensation Engine'!G203</f>
        <v/>
      </c>
      <c r="H26" s="361">
        <f>'06 Compensation Engine'!H203</f>
        <v/>
      </c>
      <c r="I26" s="405">
        <f>'06 Compensation Engine'!I203</f>
        <v/>
      </c>
      <c r="J26" s="361">
        <f>'06 Compensation Engine'!J203</f>
        <v/>
      </c>
      <c r="K26" s="361">
        <f>'06 Compensation Engine'!K203</f>
        <v/>
      </c>
      <c r="L26" s="361">
        <f>'06 Compensation Engine'!L203</f>
        <v/>
      </c>
      <c r="M26" s="361">
        <f>'06 Compensation Engine'!M203</f>
        <v/>
      </c>
      <c r="N26" s="405">
        <f>'06 Compensation Engine'!N203</f>
        <v/>
      </c>
      <c r="O26" s="361">
        <f>'06 Compensation Engine'!O203</f>
        <v/>
      </c>
      <c r="P26" s="361">
        <f>'06 Compensation Engine'!P203</f>
        <v/>
      </c>
      <c r="Q26" s="361">
        <f>'06 Compensation Engine'!Q203</f>
        <v/>
      </c>
      <c r="R26" s="361">
        <f>'06 Compensation Engine'!R203</f>
        <v/>
      </c>
      <c r="S26" s="405">
        <f>'06 Compensation Engine'!S203</f>
        <v/>
      </c>
      <c r="T26" s="361">
        <f>'06 Compensation Engine'!T203</f>
        <v/>
      </c>
      <c r="U26" s="361">
        <f>'06 Compensation Engine'!U203</f>
        <v/>
      </c>
      <c r="V26" s="361">
        <f>'06 Compensation Engine'!V203</f>
        <v/>
      </c>
      <c r="W26" s="361">
        <f>'06 Compensation Engine'!W203</f>
        <v/>
      </c>
      <c r="X26" s="405">
        <f>'06 Compensation Engine'!X203</f>
        <v/>
      </c>
      <c r="Y26" s="361">
        <f>'06 Compensation Engine'!Y203</f>
        <v/>
      </c>
      <c r="Z26" s="361">
        <f>'06 Compensation Engine'!Z203</f>
        <v/>
      </c>
      <c r="AA26" s="361">
        <f>'06 Compensation Engine'!AA203</f>
        <v/>
      </c>
      <c r="AB26" s="361">
        <f>'06 Compensation Engine'!AB203</f>
        <v/>
      </c>
      <c r="AC26" s="405">
        <f>'06 Compensation Engine'!AC203</f>
        <v/>
      </c>
      <c r="AD26" s="361">
        <f>'06 Compensation Engine'!AD203</f>
        <v/>
      </c>
      <c r="AE26" s="361">
        <f>'06 Compensation Engine'!AE203</f>
        <v/>
      </c>
      <c r="AF26" s="361">
        <f>'06 Compensation Engine'!AF203</f>
        <v/>
      </c>
      <c r="AG26" s="361">
        <f>'06 Compensation Engine'!AG203</f>
        <v/>
      </c>
      <c r="AH26" s="405">
        <f>'06 Compensation Engine'!AH203</f>
        <v/>
      </c>
      <c r="AI26" s="361">
        <f>'06 Compensation Engine'!AI203</f>
        <v/>
      </c>
      <c r="AJ26" s="361">
        <f>'06 Compensation Engine'!AJ203</f>
        <v/>
      </c>
      <c r="AK26" s="361">
        <f>'06 Compensation Engine'!AK203</f>
        <v/>
      </c>
      <c r="AL26" s="361">
        <f>'06 Compensation Engine'!AL203</f>
        <v/>
      </c>
      <c r="AM26" s="405">
        <f>'06 Compensation Engine'!AM203</f>
        <v/>
      </c>
      <c r="AN26" s="361">
        <f>'06 Compensation Engine'!AN203</f>
        <v/>
      </c>
      <c r="AO26" s="361">
        <f>'06 Compensation Engine'!AO203</f>
        <v/>
      </c>
      <c r="AP26" s="361">
        <f>'06 Compensation Engine'!AP203</f>
        <v/>
      </c>
      <c r="AQ26" s="361">
        <f>'06 Compensation Engine'!AQ203</f>
        <v/>
      </c>
      <c r="AR26" s="405">
        <f>'06 Compensation Engine'!AR203</f>
        <v/>
      </c>
    </row>
    <row r="27" ht="13.5" customHeight="1" s="290">
      <c r="A27" s="345" t="n"/>
      <c r="B27" s="370" t="inlineStr">
        <is>
          <t xml:space="preserve">    D&amp;E — Producer Payouts</t>
        </is>
      </c>
      <c r="C27" s="371" t="inlineStr">
        <is>
          <t>$K</t>
        </is>
      </c>
      <c r="D27" s="394" t="inlineStr">
        <is>
          <t>← Tab 06 row 204</t>
        </is>
      </c>
      <c r="E27" s="361">
        <f>'06 Compensation Engine'!E204</f>
        <v/>
      </c>
      <c r="F27" s="361">
        <f>'06 Compensation Engine'!F204</f>
        <v/>
      </c>
      <c r="G27" s="361">
        <f>'06 Compensation Engine'!G204</f>
        <v/>
      </c>
      <c r="H27" s="361">
        <f>'06 Compensation Engine'!H204</f>
        <v/>
      </c>
      <c r="I27" s="405">
        <f>'06 Compensation Engine'!I204</f>
        <v/>
      </c>
      <c r="J27" s="361">
        <f>'06 Compensation Engine'!J204</f>
        <v/>
      </c>
      <c r="K27" s="361">
        <f>'06 Compensation Engine'!K204</f>
        <v/>
      </c>
      <c r="L27" s="361">
        <f>'06 Compensation Engine'!L204</f>
        <v/>
      </c>
      <c r="M27" s="361">
        <f>'06 Compensation Engine'!M204</f>
        <v/>
      </c>
      <c r="N27" s="405">
        <f>'06 Compensation Engine'!N204</f>
        <v/>
      </c>
      <c r="O27" s="361">
        <f>'06 Compensation Engine'!O204</f>
        <v/>
      </c>
      <c r="P27" s="361">
        <f>'06 Compensation Engine'!P204</f>
        <v/>
      </c>
      <c r="Q27" s="361">
        <f>'06 Compensation Engine'!Q204</f>
        <v/>
      </c>
      <c r="R27" s="361">
        <f>'06 Compensation Engine'!R204</f>
        <v/>
      </c>
      <c r="S27" s="405">
        <f>'06 Compensation Engine'!S204</f>
        <v/>
      </c>
      <c r="T27" s="361">
        <f>'06 Compensation Engine'!T204</f>
        <v/>
      </c>
      <c r="U27" s="361">
        <f>'06 Compensation Engine'!U204</f>
        <v/>
      </c>
      <c r="V27" s="361">
        <f>'06 Compensation Engine'!V204</f>
        <v/>
      </c>
      <c r="W27" s="361">
        <f>'06 Compensation Engine'!W204</f>
        <v/>
      </c>
      <c r="X27" s="405">
        <f>'06 Compensation Engine'!X204</f>
        <v/>
      </c>
      <c r="Y27" s="361">
        <f>'06 Compensation Engine'!Y204</f>
        <v/>
      </c>
      <c r="Z27" s="361">
        <f>'06 Compensation Engine'!Z204</f>
        <v/>
      </c>
      <c r="AA27" s="361">
        <f>'06 Compensation Engine'!AA204</f>
        <v/>
      </c>
      <c r="AB27" s="361">
        <f>'06 Compensation Engine'!AB204</f>
        <v/>
      </c>
      <c r="AC27" s="405">
        <f>'06 Compensation Engine'!AC204</f>
        <v/>
      </c>
      <c r="AD27" s="361">
        <f>'06 Compensation Engine'!AD204</f>
        <v/>
      </c>
      <c r="AE27" s="361">
        <f>'06 Compensation Engine'!AE204</f>
        <v/>
      </c>
      <c r="AF27" s="361">
        <f>'06 Compensation Engine'!AF204</f>
        <v/>
      </c>
      <c r="AG27" s="361">
        <f>'06 Compensation Engine'!AG204</f>
        <v/>
      </c>
      <c r="AH27" s="405">
        <f>'06 Compensation Engine'!AH204</f>
        <v/>
      </c>
      <c r="AI27" s="361">
        <f>'06 Compensation Engine'!AI204</f>
        <v/>
      </c>
      <c r="AJ27" s="361">
        <f>'06 Compensation Engine'!AJ204</f>
        <v/>
      </c>
      <c r="AK27" s="361">
        <f>'06 Compensation Engine'!AK204</f>
        <v/>
      </c>
      <c r="AL27" s="361">
        <f>'06 Compensation Engine'!AL204</f>
        <v/>
      </c>
      <c r="AM27" s="405">
        <f>'06 Compensation Engine'!AM204</f>
        <v/>
      </c>
      <c r="AN27" s="361">
        <f>'06 Compensation Engine'!AN204</f>
        <v/>
      </c>
      <c r="AO27" s="361">
        <f>'06 Compensation Engine'!AO204</f>
        <v/>
      </c>
      <c r="AP27" s="361">
        <f>'06 Compensation Engine'!AP204</f>
        <v/>
      </c>
      <c r="AQ27" s="361">
        <f>'06 Compensation Engine'!AQ204</f>
        <v/>
      </c>
      <c r="AR27" s="405">
        <f>'06 Compensation Engine'!AR204</f>
        <v/>
      </c>
    </row>
    <row r="28" ht="13.5" customHeight="1" s="290">
      <c r="A28" s="397" t="n"/>
      <c r="B28" s="398" t="inlineStr">
        <is>
          <t xml:space="preserve">  Total Producer Payouts</t>
        </is>
      </c>
      <c r="C28" s="399" t="inlineStr">
        <is>
          <t>$K</t>
        </is>
      </c>
      <c r="D28" s="400" t="inlineStr">
        <is>
          <t xml:space="preserve"> lea + is + d&amp;e payouts</t>
        </is>
      </c>
      <c r="E28" s="401">
        <f>E25+E26+E27</f>
        <v/>
      </c>
      <c r="F28" s="401">
        <f>F25+F26+F27</f>
        <v/>
      </c>
      <c r="G28" s="401">
        <f>G25+G26+G27</f>
        <v/>
      </c>
      <c r="H28" s="401">
        <f>H25+H26+H27</f>
        <v/>
      </c>
      <c r="I28" s="387">
        <f>SUM(E28:H28)</f>
        <v/>
      </c>
      <c r="J28" s="401">
        <f>J25+J26+J27</f>
        <v/>
      </c>
      <c r="K28" s="401">
        <f>K25+K26+K27</f>
        <v/>
      </c>
      <c r="L28" s="401">
        <f>L25+L26+L27</f>
        <v/>
      </c>
      <c r="M28" s="401">
        <f>M25+M26+M27</f>
        <v/>
      </c>
      <c r="N28" s="387">
        <f>SUM(J28:M28)</f>
        <v/>
      </c>
      <c r="O28" s="401">
        <f>O25+O26+O27</f>
        <v/>
      </c>
      <c r="P28" s="401">
        <f>P25+P26+P27</f>
        <v/>
      </c>
      <c r="Q28" s="401">
        <f>Q25+Q26+Q27</f>
        <v/>
      </c>
      <c r="R28" s="401">
        <f>R25+R26+R27</f>
        <v/>
      </c>
      <c r="S28" s="387">
        <f>SUM(O28:R28)</f>
        <v/>
      </c>
      <c r="T28" s="401">
        <f>T25+T26+T27</f>
        <v/>
      </c>
      <c r="U28" s="401">
        <f>U25+U26+U27</f>
        <v/>
      </c>
      <c r="V28" s="401">
        <f>V25+V26+V27</f>
        <v/>
      </c>
      <c r="W28" s="401">
        <f>W25+W26+W27</f>
        <v/>
      </c>
      <c r="X28" s="387">
        <f>SUM(T28:W28)</f>
        <v/>
      </c>
      <c r="Y28" s="401">
        <f>Y25+Y26+Y27</f>
        <v/>
      </c>
      <c r="Z28" s="401">
        <f>Z25+Z26+Z27</f>
        <v/>
      </c>
      <c r="AA28" s="401">
        <f>AA25+AA26+AA27</f>
        <v/>
      </c>
      <c r="AB28" s="401">
        <f>AB25+AB26+AB27</f>
        <v/>
      </c>
      <c r="AC28" s="387">
        <f>SUM(Y28:AB28)</f>
        <v/>
      </c>
      <c r="AD28" s="401">
        <f>AD25+AD26+AD27</f>
        <v/>
      </c>
      <c r="AE28" s="401">
        <f>AE25+AE26+AE27</f>
        <v/>
      </c>
      <c r="AF28" s="401">
        <f>AF25+AF26+AF27</f>
        <v/>
      </c>
      <c r="AG28" s="401">
        <f>AG25+AG26+AG27</f>
        <v/>
      </c>
      <c r="AH28" s="387">
        <f>SUM(AD28:AG28)</f>
        <v/>
      </c>
      <c r="AI28" s="401">
        <f>AI25+AI26+AI27</f>
        <v/>
      </c>
      <c r="AJ28" s="401">
        <f>AJ25+AJ26+AJ27</f>
        <v/>
      </c>
      <c r="AK28" s="401">
        <f>AK25+AK26+AK27</f>
        <v/>
      </c>
      <c r="AL28" s="401">
        <f>AL25+AL26+AL27</f>
        <v/>
      </c>
      <c r="AM28" s="387">
        <f>SUM(AI28:AL28)</f>
        <v/>
      </c>
      <c r="AN28" s="401">
        <f>AN25+AN26+AN27</f>
        <v/>
      </c>
      <c r="AO28" s="401">
        <f>AO25+AO26+AO27</f>
        <v/>
      </c>
      <c r="AP28" s="401">
        <f>AP25+AP26+AP27</f>
        <v/>
      </c>
      <c r="AQ28" s="401">
        <f>AQ25+AQ26+AQ27</f>
        <v/>
      </c>
      <c r="AR28" s="387">
        <f>SUM(AN28:AQ28)</f>
        <v/>
      </c>
    </row>
    <row r="29" ht="3" customHeight="1" s="290"/>
    <row r="30" ht="13.5" customHeight="1" s="290">
      <c r="A30" s="339" t="n"/>
      <c r="B30" s="421" t="inlineStr">
        <is>
          <t xml:space="preserve">    Effective Payout Ratio</t>
        </is>
      </c>
      <c r="C30" s="422" t="inlineStr">
        <is>
          <t>%</t>
        </is>
      </c>
      <c r="D30" s="375" t="n"/>
      <c r="E30" s="423">
        <f>IFERROR(E28/E11,0)</f>
        <v/>
      </c>
      <c r="F30" s="423">
        <f>IFERROR(F28/F11,0)</f>
        <v/>
      </c>
      <c r="G30" s="423">
        <f>IFERROR(G28/G11,0)</f>
        <v/>
      </c>
      <c r="H30" s="423">
        <f>IFERROR(H28/H11,0)</f>
        <v/>
      </c>
      <c r="I30" s="424">
        <f>IFERROR(I28/I11,0)</f>
        <v/>
      </c>
      <c r="J30" s="423">
        <f>IFERROR(J28/J11,0)</f>
        <v/>
      </c>
      <c r="K30" s="423">
        <f>IFERROR(K28/K11,0)</f>
        <v/>
      </c>
      <c r="L30" s="423">
        <f>IFERROR(L28/L11,0)</f>
        <v/>
      </c>
      <c r="M30" s="423">
        <f>IFERROR(M28/M11,0)</f>
        <v/>
      </c>
      <c r="N30" s="424">
        <f>IFERROR(N28/N11,0)</f>
        <v/>
      </c>
      <c r="O30" s="423">
        <f>IFERROR(O28/O11,0)</f>
        <v/>
      </c>
      <c r="P30" s="423">
        <f>IFERROR(P28/P11,0)</f>
        <v/>
      </c>
      <c r="Q30" s="423">
        <f>IFERROR(Q28/Q11,0)</f>
        <v/>
      </c>
      <c r="R30" s="423">
        <f>IFERROR(R28/R11,0)</f>
        <v/>
      </c>
      <c r="S30" s="424">
        <f>IFERROR(S28/S11,0)</f>
        <v/>
      </c>
      <c r="T30" s="423">
        <f>IFERROR(T28/T11,0)</f>
        <v/>
      </c>
      <c r="U30" s="423">
        <f>IFERROR(U28/U11,0)</f>
        <v/>
      </c>
      <c r="V30" s="423">
        <f>IFERROR(V28/V11,0)</f>
        <v/>
      </c>
      <c r="W30" s="423">
        <f>IFERROR(W28/W11,0)</f>
        <v/>
      </c>
      <c r="X30" s="424">
        <f>IFERROR(X28/X11,0)</f>
        <v/>
      </c>
      <c r="Y30" s="423">
        <f>IFERROR(Y28/Y11,0)</f>
        <v/>
      </c>
      <c r="Z30" s="423">
        <f>IFERROR(Z28/Z11,0)</f>
        <v/>
      </c>
      <c r="AA30" s="423">
        <f>IFERROR(AA28/AA11,0)</f>
        <v/>
      </c>
      <c r="AB30" s="423">
        <f>IFERROR(AB28/AB11,0)</f>
        <v/>
      </c>
      <c r="AC30" s="424">
        <f>IFERROR(AC28/AC11,0)</f>
        <v/>
      </c>
      <c r="AD30" s="423">
        <f>IFERROR(AD28/AD11,0)</f>
        <v/>
      </c>
      <c r="AE30" s="423">
        <f>IFERROR(AE28/AE11,0)</f>
        <v/>
      </c>
      <c r="AF30" s="423">
        <f>IFERROR(AF28/AF11,0)</f>
        <v/>
      </c>
      <c r="AG30" s="423">
        <f>IFERROR(AG28/AG11,0)</f>
        <v/>
      </c>
      <c r="AH30" s="424">
        <f>IFERROR(AH28/AH11,0)</f>
        <v/>
      </c>
      <c r="AI30" s="423">
        <f>IFERROR(AI28/AI11,0)</f>
        <v/>
      </c>
      <c r="AJ30" s="423">
        <f>IFERROR(AJ28/AJ11,0)</f>
        <v/>
      </c>
      <c r="AK30" s="423">
        <f>IFERROR(AK28/AK11,0)</f>
        <v/>
      </c>
      <c r="AL30" s="423">
        <f>IFERROR(AL28/AL11,0)</f>
        <v/>
      </c>
      <c r="AM30" s="424">
        <f>IFERROR(AM28/AM11,0)</f>
        <v/>
      </c>
      <c r="AN30" s="423">
        <f>IFERROR(AN28/AN11,0)</f>
        <v/>
      </c>
      <c r="AO30" s="423">
        <f>IFERROR(AO28/AO11,0)</f>
        <v/>
      </c>
      <c r="AP30" s="423">
        <f>IFERROR(AP28/AP11,0)</f>
        <v/>
      </c>
      <c r="AQ30" s="423">
        <f>IFERROR(AQ28/AQ11,0)</f>
        <v/>
      </c>
      <c r="AR30" s="424">
        <f>IFERROR(AR28/AR11,0)</f>
        <v/>
      </c>
    </row>
    <row r="31" ht="3" customHeight="1" s="290"/>
    <row r="32" ht="18" customHeight="1" s="290">
      <c r="A32" s="425" t="n"/>
      <c r="B32" s="426" t="inlineStr">
        <is>
          <t xml:space="preserve">  ★  COMPANY DOLLAR</t>
        </is>
      </c>
      <c r="C32" s="427" t="inlineStr">
        <is>
          <t>$K</t>
        </is>
      </c>
      <c r="D32" s="425" t="n"/>
      <c r="E32" s="428">
        <f>E11-E28</f>
        <v/>
      </c>
      <c r="F32" s="428">
        <f>F11-F28</f>
        <v/>
      </c>
      <c r="G32" s="428">
        <f>G11-G28</f>
        <v/>
      </c>
      <c r="H32" s="428">
        <f>H11-H28</f>
        <v/>
      </c>
      <c r="I32" s="428">
        <f>I11-I28</f>
        <v/>
      </c>
      <c r="J32" s="428">
        <f>J11-J28</f>
        <v/>
      </c>
      <c r="K32" s="428">
        <f>K11-K28</f>
        <v/>
      </c>
      <c r="L32" s="428">
        <f>L11-L28</f>
        <v/>
      </c>
      <c r="M32" s="428">
        <f>M11-M28</f>
        <v/>
      </c>
      <c r="N32" s="428">
        <f>N11-N28</f>
        <v/>
      </c>
      <c r="O32" s="428">
        <f>O11-O28</f>
        <v/>
      </c>
      <c r="P32" s="428">
        <f>P11-P28</f>
        <v/>
      </c>
      <c r="Q32" s="428">
        <f>Q11-Q28</f>
        <v/>
      </c>
      <c r="R32" s="428">
        <f>R11-R28</f>
        <v/>
      </c>
      <c r="S32" s="428">
        <f>S11-S28</f>
        <v/>
      </c>
      <c r="T32" s="428">
        <f>T11-T28</f>
        <v/>
      </c>
      <c r="U32" s="428">
        <f>U11-U28</f>
        <v/>
      </c>
      <c r="V32" s="428">
        <f>V11-V28</f>
        <v/>
      </c>
      <c r="W32" s="428">
        <f>W11-W28</f>
        <v/>
      </c>
      <c r="X32" s="428">
        <f>X11-X28</f>
        <v/>
      </c>
      <c r="Y32" s="428">
        <f>Y11-Y28</f>
        <v/>
      </c>
      <c r="Z32" s="428">
        <f>Z11-Z28</f>
        <v/>
      </c>
      <c r="AA32" s="428">
        <f>AA11-AA28</f>
        <v/>
      </c>
      <c r="AB32" s="428">
        <f>AB11-AB28</f>
        <v/>
      </c>
      <c r="AC32" s="428">
        <f>AC11-AC28</f>
        <v/>
      </c>
      <c r="AD32" s="428">
        <f>AD11-AD28</f>
        <v/>
      </c>
      <c r="AE32" s="428">
        <f>AE11-AE28</f>
        <v/>
      </c>
      <c r="AF32" s="428">
        <f>AF11-AF28</f>
        <v/>
      </c>
      <c r="AG32" s="428">
        <f>AG11-AG28</f>
        <v/>
      </c>
      <c r="AH32" s="428">
        <f>AH11-AH28</f>
        <v/>
      </c>
      <c r="AI32" s="428">
        <f>AI11-AI28</f>
        <v/>
      </c>
      <c r="AJ32" s="428">
        <f>AJ11-AJ28</f>
        <v/>
      </c>
      <c r="AK32" s="428">
        <f>AK11-AK28</f>
        <v/>
      </c>
      <c r="AL32" s="428">
        <f>AL11-AL28</f>
        <v/>
      </c>
      <c r="AM32" s="428">
        <f>AM11-AM28</f>
        <v/>
      </c>
      <c r="AN32" s="428">
        <f>AN11-AN28</f>
        <v/>
      </c>
      <c r="AO32" s="428">
        <f>AO11-AO28</f>
        <v/>
      </c>
      <c r="AP32" s="428">
        <f>AP11-AP28</f>
        <v/>
      </c>
      <c r="AQ32" s="428">
        <f>AQ11-AQ28</f>
        <v/>
      </c>
      <c r="AR32" s="428">
        <f>AR11-AR28</f>
        <v/>
      </c>
    </row>
    <row r="33" ht="15" customHeight="1" s="290">
      <c r="A33" s="339" t="n"/>
      <c r="B33" s="421" t="inlineStr">
        <is>
          <t xml:space="preserve">    Company Dollar Margin %</t>
        </is>
      </c>
      <c r="C33" s="422" t="inlineStr">
        <is>
          <t>%</t>
        </is>
      </c>
      <c r="D33" s="375" t="n"/>
      <c r="E33" s="423">
        <f>IFERROR(E32/E11,0)</f>
        <v/>
      </c>
      <c r="F33" s="423">
        <f>IFERROR(F32/F11,0)</f>
        <v/>
      </c>
      <c r="G33" s="423">
        <f>IFERROR(G32/G11,0)</f>
        <v/>
      </c>
      <c r="H33" s="423">
        <f>IFERROR(H32/H11,0)</f>
        <v/>
      </c>
      <c r="I33" s="424">
        <f>IFERROR(I32/I11,0)</f>
        <v/>
      </c>
      <c r="J33" s="423">
        <f>IFERROR(J32/J11,0)</f>
        <v/>
      </c>
      <c r="K33" s="423">
        <f>IFERROR(K32/K11,0)</f>
        <v/>
      </c>
      <c r="L33" s="423">
        <f>IFERROR(L32/L11,0)</f>
        <v/>
      </c>
      <c r="M33" s="423">
        <f>IFERROR(M32/M11,0)</f>
        <v/>
      </c>
      <c r="N33" s="424">
        <f>IFERROR(N32/N11,0)</f>
        <v/>
      </c>
      <c r="O33" s="423">
        <f>IFERROR(O32/O11,0)</f>
        <v/>
      </c>
      <c r="P33" s="423">
        <f>IFERROR(P32/P11,0)</f>
        <v/>
      </c>
      <c r="Q33" s="423">
        <f>IFERROR(Q32/Q11,0)</f>
        <v/>
      </c>
      <c r="R33" s="423">
        <f>IFERROR(R32/R11,0)</f>
        <v/>
      </c>
      <c r="S33" s="424">
        <f>IFERROR(S32/S11,0)</f>
        <v/>
      </c>
      <c r="T33" s="423">
        <f>IFERROR(T32/T11,0)</f>
        <v/>
      </c>
      <c r="U33" s="423">
        <f>IFERROR(U32/U11,0)</f>
        <v/>
      </c>
      <c r="V33" s="423">
        <f>IFERROR(V32/V11,0)</f>
        <v/>
      </c>
      <c r="W33" s="423">
        <f>IFERROR(W32/W11,0)</f>
        <v/>
      </c>
      <c r="X33" s="424">
        <f>IFERROR(X32/X11,0)</f>
        <v/>
      </c>
      <c r="Y33" s="423">
        <f>IFERROR(Y32/Y11,0)</f>
        <v/>
      </c>
      <c r="Z33" s="423">
        <f>IFERROR(Z32/Z11,0)</f>
        <v/>
      </c>
      <c r="AA33" s="423">
        <f>IFERROR(AA32/AA11,0)</f>
        <v/>
      </c>
      <c r="AB33" s="423">
        <f>IFERROR(AB32/AB11,0)</f>
        <v/>
      </c>
      <c r="AC33" s="424">
        <f>IFERROR(AC32/AC11,0)</f>
        <v/>
      </c>
      <c r="AD33" s="423">
        <f>IFERROR(AD32/AD11,0)</f>
        <v/>
      </c>
      <c r="AE33" s="423">
        <f>IFERROR(AE32/AE11,0)</f>
        <v/>
      </c>
      <c r="AF33" s="423">
        <f>IFERROR(AF32/AF11,0)</f>
        <v/>
      </c>
      <c r="AG33" s="423">
        <f>IFERROR(AG32/AG11,0)</f>
        <v/>
      </c>
      <c r="AH33" s="424">
        <f>IFERROR(AH32/AH11,0)</f>
        <v/>
      </c>
      <c r="AI33" s="423">
        <f>IFERROR(AI32/AI11,0)</f>
        <v/>
      </c>
      <c r="AJ33" s="423">
        <f>IFERROR(AJ32/AJ11,0)</f>
        <v/>
      </c>
      <c r="AK33" s="423">
        <f>IFERROR(AK32/AK11,0)</f>
        <v/>
      </c>
      <c r="AL33" s="423">
        <f>IFERROR(AL32/AL11,0)</f>
        <v/>
      </c>
      <c r="AM33" s="424">
        <f>IFERROR(AM32/AM11,0)</f>
        <v/>
      </c>
      <c r="AN33" s="423">
        <f>IFERROR(AN32/AN11,0)</f>
        <v/>
      </c>
      <c r="AO33" s="423">
        <f>IFERROR(AO32/AO11,0)</f>
        <v/>
      </c>
      <c r="AP33" s="423">
        <f>IFERROR(AP32/AP11,0)</f>
        <v/>
      </c>
      <c r="AQ33" s="423">
        <f>IFERROR(AQ32/AQ11,0)</f>
        <v/>
      </c>
      <c r="AR33" s="424">
        <f>IFERROR(AR32/AR11,0)</f>
        <v/>
      </c>
    </row>
    <row r="34" ht="4.5" customHeight="1" s="290"/>
    <row r="35" ht="3" customHeight="1" s="290">
      <c r="A35" s="293" t="n"/>
    </row>
    <row r="36" ht="4.5" customHeight="1" s="290"/>
    <row r="37" ht="15.75" customHeight="1" s="290">
      <c r="A37" s="338" t="inlineStr">
        <is>
          <t xml:space="preserve">  SECTION C — OPERATING EXPENSES</t>
        </is>
      </c>
    </row>
    <row r="38" ht="3.75" customHeight="1" s="290"/>
    <row r="39" ht="12.75" customHeight="1" s="290">
      <c r="A39" s="348" t="inlineStr">
        <is>
          <t xml:space="preserve">  Operating expenses below Company Dollar. Non-producer compensation (Advisory, Corporate) + Opex (Fixed + Variable). All rows linked from Tabs 06 and 07.</t>
        </is>
      </c>
    </row>
    <row r="40" ht="3.75" customHeight="1" s="290"/>
    <row r="41" ht="15" customHeight="1" s="290">
      <c r="A41" s="307" t="inlineStr">
        <is>
          <t xml:space="preserve">    Compensation Expenses (below Company Dollar)</t>
        </is>
      </c>
    </row>
    <row r="42" ht="3" customHeight="1" s="290"/>
    <row r="43" ht="13.5" customHeight="1" s="290">
      <c r="A43" s="345" t="n"/>
      <c r="B43" s="370" t="inlineStr">
        <is>
          <t xml:space="preserve">    Advisory Compensation</t>
        </is>
      </c>
      <c r="C43" s="371" t="inlineStr">
        <is>
          <t>$K</t>
        </is>
      </c>
      <c r="D43" s="394" t="inlineStr">
        <is>
          <t>← Tab 06 row 213</t>
        </is>
      </c>
      <c r="E43" s="361">
        <f>'06 Compensation Engine'!E213</f>
        <v/>
      </c>
      <c r="F43" s="361">
        <f>'06 Compensation Engine'!F213</f>
        <v/>
      </c>
      <c r="G43" s="361">
        <f>'06 Compensation Engine'!G213</f>
        <v/>
      </c>
      <c r="H43" s="361">
        <f>'06 Compensation Engine'!H213</f>
        <v/>
      </c>
      <c r="I43" s="405">
        <f>'06 Compensation Engine'!I213</f>
        <v/>
      </c>
      <c r="J43" s="361">
        <f>'06 Compensation Engine'!J213</f>
        <v/>
      </c>
      <c r="K43" s="361">
        <f>'06 Compensation Engine'!K213</f>
        <v/>
      </c>
      <c r="L43" s="361">
        <f>'06 Compensation Engine'!L213</f>
        <v/>
      </c>
      <c r="M43" s="361">
        <f>'06 Compensation Engine'!M213</f>
        <v/>
      </c>
      <c r="N43" s="405">
        <f>'06 Compensation Engine'!N213</f>
        <v/>
      </c>
      <c r="O43" s="361">
        <f>'06 Compensation Engine'!O213</f>
        <v/>
      </c>
      <c r="P43" s="361">
        <f>'06 Compensation Engine'!P213</f>
        <v/>
      </c>
      <c r="Q43" s="361">
        <f>'06 Compensation Engine'!Q213</f>
        <v/>
      </c>
      <c r="R43" s="361">
        <f>'06 Compensation Engine'!R213</f>
        <v/>
      </c>
      <c r="S43" s="405">
        <f>'06 Compensation Engine'!S213</f>
        <v/>
      </c>
      <c r="T43" s="361">
        <f>'06 Compensation Engine'!T213</f>
        <v/>
      </c>
      <c r="U43" s="361">
        <f>'06 Compensation Engine'!U213</f>
        <v/>
      </c>
      <c r="V43" s="361">
        <f>'06 Compensation Engine'!V213</f>
        <v/>
      </c>
      <c r="W43" s="361">
        <f>'06 Compensation Engine'!W213</f>
        <v/>
      </c>
      <c r="X43" s="405">
        <f>'06 Compensation Engine'!X213</f>
        <v/>
      </c>
      <c r="Y43" s="361">
        <f>'06 Compensation Engine'!Y213</f>
        <v/>
      </c>
      <c r="Z43" s="361">
        <f>'06 Compensation Engine'!Z213</f>
        <v/>
      </c>
      <c r="AA43" s="361">
        <f>'06 Compensation Engine'!AA213</f>
        <v/>
      </c>
      <c r="AB43" s="361">
        <f>'06 Compensation Engine'!AB213</f>
        <v/>
      </c>
      <c r="AC43" s="405">
        <f>'06 Compensation Engine'!AC213</f>
        <v/>
      </c>
      <c r="AD43" s="361">
        <f>'06 Compensation Engine'!AD213</f>
        <v/>
      </c>
      <c r="AE43" s="361">
        <f>'06 Compensation Engine'!AE213</f>
        <v/>
      </c>
      <c r="AF43" s="361">
        <f>'06 Compensation Engine'!AF213</f>
        <v/>
      </c>
      <c r="AG43" s="361">
        <f>'06 Compensation Engine'!AG213</f>
        <v/>
      </c>
      <c r="AH43" s="405">
        <f>'06 Compensation Engine'!AH213</f>
        <v/>
      </c>
      <c r="AI43" s="361">
        <f>'06 Compensation Engine'!AI213</f>
        <v/>
      </c>
      <c r="AJ43" s="361">
        <f>'06 Compensation Engine'!AJ213</f>
        <v/>
      </c>
      <c r="AK43" s="361">
        <f>'06 Compensation Engine'!AK213</f>
        <v/>
      </c>
      <c r="AL43" s="361">
        <f>'06 Compensation Engine'!AL213</f>
        <v/>
      </c>
      <c r="AM43" s="405">
        <f>'06 Compensation Engine'!AM213</f>
        <v/>
      </c>
      <c r="AN43" s="361">
        <f>'06 Compensation Engine'!AN213</f>
        <v/>
      </c>
      <c r="AO43" s="361">
        <f>'06 Compensation Engine'!AO213</f>
        <v/>
      </c>
      <c r="AP43" s="361">
        <f>'06 Compensation Engine'!AP213</f>
        <v/>
      </c>
      <c r="AQ43" s="361">
        <f>'06 Compensation Engine'!AQ213</f>
        <v/>
      </c>
      <c r="AR43" s="405">
        <f>'06 Compensation Engine'!AR213</f>
        <v/>
      </c>
    </row>
    <row r="44" ht="13.5" customHeight="1" s="290">
      <c r="A44" s="345" t="n"/>
      <c r="B44" s="370" t="inlineStr">
        <is>
          <t xml:space="preserve">    Corporate &amp; Support Compensation</t>
        </is>
      </c>
      <c r="C44" s="371" t="inlineStr">
        <is>
          <t>$K</t>
        </is>
      </c>
      <c r="D44" s="394" t="inlineStr">
        <is>
          <t>← Tab 06 row 214</t>
        </is>
      </c>
      <c r="E44" s="361">
        <f>'06 Compensation Engine'!E214</f>
        <v/>
      </c>
      <c r="F44" s="361">
        <f>'06 Compensation Engine'!F214</f>
        <v/>
      </c>
      <c r="G44" s="361">
        <f>'06 Compensation Engine'!G214</f>
        <v/>
      </c>
      <c r="H44" s="361">
        <f>'06 Compensation Engine'!H214</f>
        <v/>
      </c>
      <c r="I44" s="405">
        <f>'06 Compensation Engine'!I214</f>
        <v/>
      </c>
      <c r="J44" s="361">
        <f>'06 Compensation Engine'!J214</f>
        <v/>
      </c>
      <c r="K44" s="361">
        <f>'06 Compensation Engine'!K214</f>
        <v/>
      </c>
      <c r="L44" s="361">
        <f>'06 Compensation Engine'!L214</f>
        <v/>
      </c>
      <c r="M44" s="361">
        <f>'06 Compensation Engine'!M214</f>
        <v/>
      </c>
      <c r="N44" s="405">
        <f>'06 Compensation Engine'!N214</f>
        <v/>
      </c>
      <c r="O44" s="361">
        <f>'06 Compensation Engine'!O214</f>
        <v/>
      </c>
      <c r="P44" s="361">
        <f>'06 Compensation Engine'!P214</f>
        <v/>
      </c>
      <c r="Q44" s="361">
        <f>'06 Compensation Engine'!Q214</f>
        <v/>
      </c>
      <c r="R44" s="361">
        <f>'06 Compensation Engine'!R214</f>
        <v/>
      </c>
      <c r="S44" s="405">
        <f>'06 Compensation Engine'!S214</f>
        <v/>
      </c>
      <c r="T44" s="361">
        <f>'06 Compensation Engine'!T214</f>
        <v/>
      </c>
      <c r="U44" s="361">
        <f>'06 Compensation Engine'!U214</f>
        <v/>
      </c>
      <c r="V44" s="361">
        <f>'06 Compensation Engine'!V214</f>
        <v/>
      </c>
      <c r="W44" s="361">
        <f>'06 Compensation Engine'!W214</f>
        <v/>
      </c>
      <c r="X44" s="405">
        <f>'06 Compensation Engine'!X214</f>
        <v/>
      </c>
      <c r="Y44" s="361">
        <f>'06 Compensation Engine'!Y214</f>
        <v/>
      </c>
      <c r="Z44" s="361">
        <f>'06 Compensation Engine'!Z214</f>
        <v/>
      </c>
      <c r="AA44" s="361">
        <f>'06 Compensation Engine'!AA214</f>
        <v/>
      </c>
      <c r="AB44" s="361">
        <f>'06 Compensation Engine'!AB214</f>
        <v/>
      </c>
      <c r="AC44" s="405">
        <f>'06 Compensation Engine'!AC214</f>
        <v/>
      </c>
      <c r="AD44" s="361">
        <f>'06 Compensation Engine'!AD214</f>
        <v/>
      </c>
      <c r="AE44" s="361">
        <f>'06 Compensation Engine'!AE214</f>
        <v/>
      </c>
      <c r="AF44" s="361">
        <f>'06 Compensation Engine'!AF214</f>
        <v/>
      </c>
      <c r="AG44" s="361">
        <f>'06 Compensation Engine'!AG214</f>
        <v/>
      </c>
      <c r="AH44" s="405">
        <f>'06 Compensation Engine'!AH214</f>
        <v/>
      </c>
      <c r="AI44" s="361">
        <f>'06 Compensation Engine'!AI214</f>
        <v/>
      </c>
      <c r="AJ44" s="361">
        <f>'06 Compensation Engine'!AJ214</f>
        <v/>
      </c>
      <c r="AK44" s="361">
        <f>'06 Compensation Engine'!AK214</f>
        <v/>
      </c>
      <c r="AL44" s="361">
        <f>'06 Compensation Engine'!AL214</f>
        <v/>
      </c>
      <c r="AM44" s="405">
        <f>'06 Compensation Engine'!AM214</f>
        <v/>
      </c>
      <c r="AN44" s="361">
        <f>'06 Compensation Engine'!AN214</f>
        <v/>
      </c>
      <c r="AO44" s="361">
        <f>'06 Compensation Engine'!AO214</f>
        <v/>
      </c>
      <c r="AP44" s="361">
        <f>'06 Compensation Engine'!AP214</f>
        <v/>
      </c>
      <c r="AQ44" s="361">
        <f>'06 Compensation Engine'!AQ214</f>
        <v/>
      </c>
      <c r="AR44" s="405">
        <f>'06 Compensation Engine'!AR214</f>
        <v/>
      </c>
    </row>
    <row r="45" ht="13.5" customHeight="1" s="290">
      <c r="A45" s="345" t="n"/>
      <c r="B45" s="370" t="inlineStr">
        <is>
          <t xml:space="preserve">    Discretionary Bonus Pool</t>
        </is>
      </c>
      <c r="C45" s="371" t="inlineStr">
        <is>
          <t>$K</t>
        </is>
      </c>
      <c r="D45" s="394" t="inlineStr">
        <is>
          <t>← Tab 06 row 215</t>
        </is>
      </c>
      <c r="E45" s="361">
        <f>'06 Compensation Engine'!E215</f>
        <v/>
      </c>
      <c r="F45" s="361">
        <f>'06 Compensation Engine'!F215</f>
        <v/>
      </c>
      <c r="G45" s="361">
        <f>'06 Compensation Engine'!G215</f>
        <v/>
      </c>
      <c r="H45" s="361">
        <f>'06 Compensation Engine'!H215</f>
        <v/>
      </c>
      <c r="I45" s="405">
        <f>'06 Compensation Engine'!I215</f>
        <v/>
      </c>
      <c r="J45" s="361">
        <f>'06 Compensation Engine'!J215</f>
        <v/>
      </c>
      <c r="K45" s="361">
        <f>'06 Compensation Engine'!K215</f>
        <v/>
      </c>
      <c r="L45" s="361">
        <f>'06 Compensation Engine'!L215</f>
        <v/>
      </c>
      <c r="M45" s="361">
        <f>'06 Compensation Engine'!M215</f>
        <v/>
      </c>
      <c r="N45" s="405">
        <f>'06 Compensation Engine'!N215</f>
        <v/>
      </c>
      <c r="O45" s="361">
        <f>'06 Compensation Engine'!O215</f>
        <v/>
      </c>
      <c r="P45" s="361">
        <f>'06 Compensation Engine'!P215</f>
        <v/>
      </c>
      <c r="Q45" s="361">
        <f>'06 Compensation Engine'!Q215</f>
        <v/>
      </c>
      <c r="R45" s="361">
        <f>'06 Compensation Engine'!R215</f>
        <v/>
      </c>
      <c r="S45" s="405">
        <f>'06 Compensation Engine'!S215</f>
        <v/>
      </c>
      <c r="T45" s="361">
        <f>'06 Compensation Engine'!T215</f>
        <v/>
      </c>
      <c r="U45" s="361">
        <f>'06 Compensation Engine'!U215</f>
        <v/>
      </c>
      <c r="V45" s="361">
        <f>'06 Compensation Engine'!V215</f>
        <v/>
      </c>
      <c r="W45" s="361">
        <f>'06 Compensation Engine'!W215</f>
        <v/>
      </c>
      <c r="X45" s="405">
        <f>'06 Compensation Engine'!X215</f>
        <v/>
      </c>
      <c r="Y45" s="361">
        <f>'06 Compensation Engine'!Y215</f>
        <v/>
      </c>
      <c r="Z45" s="361">
        <f>'06 Compensation Engine'!Z215</f>
        <v/>
      </c>
      <c r="AA45" s="361">
        <f>'06 Compensation Engine'!AA215</f>
        <v/>
      </c>
      <c r="AB45" s="361">
        <f>'06 Compensation Engine'!AB215</f>
        <v/>
      </c>
      <c r="AC45" s="405">
        <f>'06 Compensation Engine'!AC215</f>
        <v/>
      </c>
      <c r="AD45" s="361">
        <f>'06 Compensation Engine'!AD215</f>
        <v/>
      </c>
      <c r="AE45" s="361">
        <f>'06 Compensation Engine'!AE215</f>
        <v/>
      </c>
      <c r="AF45" s="361">
        <f>'06 Compensation Engine'!AF215</f>
        <v/>
      </c>
      <c r="AG45" s="361">
        <f>'06 Compensation Engine'!AG215</f>
        <v/>
      </c>
      <c r="AH45" s="405">
        <f>'06 Compensation Engine'!AH215</f>
        <v/>
      </c>
      <c r="AI45" s="361">
        <f>'06 Compensation Engine'!AI215</f>
        <v/>
      </c>
      <c r="AJ45" s="361">
        <f>'06 Compensation Engine'!AJ215</f>
        <v/>
      </c>
      <c r="AK45" s="361">
        <f>'06 Compensation Engine'!AK215</f>
        <v/>
      </c>
      <c r="AL45" s="361">
        <f>'06 Compensation Engine'!AL215</f>
        <v/>
      </c>
      <c r="AM45" s="405">
        <f>'06 Compensation Engine'!AM215</f>
        <v/>
      </c>
      <c r="AN45" s="361">
        <f>'06 Compensation Engine'!AN215</f>
        <v/>
      </c>
      <c r="AO45" s="361">
        <f>'06 Compensation Engine'!AO215</f>
        <v/>
      </c>
      <c r="AP45" s="361">
        <f>'06 Compensation Engine'!AP215</f>
        <v/>
      </c>
      <c r="AQ45" s="361">
        <f>'06 Compensation Engine'!AQ215</f>
        <v/>
      </c>
      <c r="AR45" s="405">
        <f>'06 Compensation Engine'!AR215</f>
        <v/>
      </c>
    </row>
    <row r="46" ht="3.75" customHeight="1" s="290"/>
    <row r="47" ht="15" customHeight="1" s="290">
      <c r="A47" s="307" t="inlineStr">
        <is>
          <t xml:space="preserve">    Operating Expenses</t>
        </is>
      </c>
    </row>
    <row r="48" ht="3" customHeight="1" s="290"/>
    <row r="49" ht="13.5" customHeight="1" s="290">
      <c r="A49" s="345" t="n"/>
      <c r="B49" s="370" t="inlineStr">
        <is>
          <t xml:space="preserve">    Fixed Operating Expenses</t>
        </is>
      </c>
      <c r="C49" s="371" t="inlineStr">
        <is>
          <t>$K</t>
        </is>
      </c>
      <c r="D49" s="394" t="inlineStr">
        <is>
          <t>← Tab 07 row 80</t>
        </is>
      </c>
      <c r="E49" s="361">
        <f>'07 Opex Engine'!E80</f>
        <v/>
      </c>
      <c r="F49" s="361">
        <f>'07 Opex Engine'!F80</f>
        <v/>
      </c>
      <c r="G49" s="361">
        <f>'07 Opex Engine'!G80</f>
        <v/>
      </c>
      <c r="H49" s="361">
        <f>'07 Opex Engine'!H80</f>
        <v/>
      </c>
      <c r="I49" s="405">
        <f>'07 Opex Engine'!I80</f>
        <v/>
      </c>
      <c r="J49" s="361">
        <f>'07 Opex Engine'!J80</f>
        <v/>
      </c>
      <c r="K49" s="361">
        <f>'07 Opex Engine'!K80</f>
        <v/>
      </c>
      <c r="L49" s="361">
        <f>'07 Opex Engine'!L80</f>
        <v/>
      </c>
      <c r="M49" s="361">
        <f>'07 Opex Engine'!M80</f>
        <v/>
      </c>
      <c r="N49" s="405">
        <f>'07 Opex Engine'!N80</f>
        <v/>
      </c>
      <c r="O49" s="361">
        <f>'07 Opex Engine'!O80</f>
        <v/>
      </c>
      <c r="P49" s="361">
        <f>'07 Opex Engine'!P80</f>
        <v/>
      </c>
      <c r="Q49" s="361">
        <f>'07 Opex Engine'!Q80</f>
        <v/>
      </c>
      <c r="R49" s="361">
        <f>'07 Opex Engine'!R80</f>
        <v/>
      </c>
      <c r="S49" s="405">
        <f>'07 Opex Engine'!S80</f>
        <v/>
      </c>
      <c r="T49" s="361">
        <f>'07 Opex Engine'!T80</f>
        <v/>
      </c>
      <c r="U49" s="361">
        <f>'07 Opex Engine'!U80</f>
        <v/>
      </c>
      <c r="V49" s="361">
        <f>'07 Opex Engine'!V80</f>
        <v/>
      </c>
      <c r="W49" s="361">
        <f>'07 Opex Engine'!W80</f>
        <v/>
      </c>
      <c r="X49" s="405">
        <f>'07 Opex Engine'!X80</f>
        <v/>
      </c>
      <c r="Y49" s="361">
        <f>'07 Opex Engine'!Y80</f>
        <v/>
      </c>
      <c r="Z49" s="361">
        <f>'07 Opex Engine'!Z80</f>
        <v/>
      </c>
      <c r="AA49" s="361">
        <f>'07 Opex Engine'!AA80</f>
        <v/>
      </c>
      <c r="AB49" s="361">
        <f>'07 Opex Engine'!AB80</f>
        <v/>
      </c>
      <c r="AC49" s="405">
        <f>'07 Opex Engine'!AC80</f>
        <v/>
      </c>
      <c r="AD49" s="361">
        <f>'07 Opex Engine'!AD80</f>
        <v/>
      </c>
      <c r="AE49" s="361">
        <f>'07 Opex Engine'!AE80</f>
        <v/>
      </c>
      <c r="AF49" s="361">
        <f>'07 Opex Engine'!AF80</f>
        <v/>
      </c>
      <c r="AG49" s="361">
        <f>'07 Opex Engine'!AG80</f>
        <v/>
      </c>
      <c r="AH49" s="405">
        <f>'07 Opex Engine'!AH80</f>
        <v/>
      </c>
      <c r="AI49" s="361">
        <f>'07 Opex Engine'!AI80</f>
        <v/>
      </c>
      <c r="AJ49" s="361">
        <f>'07 Opex Engine'!AJ80</f>
        <v/>
      </c>
      <c r="AK49" s="361">
        <f>'07 Opex Engine'!AK80</f>
        <v/>
      </c>
      <c r="AL49" s="361">
        <f>'07 Opex Engine'!AL80</f>
        <v/>
      </c>
      <c r="AM49" s="405">
        <f>'07 Opex Engine'!AM80</f>
        <v/>
      </c>
      <c r="AN49" s="361">
        <f>'07 Opex Engine'!AN80</f>
        <v/>
      </c>
      <c r="AO49" s="361">
        <f>'07 Opex Engine'!AO80</f>
        <v/>
      </c>
      <c r="AP49" s="361">
        <f>'07 Opex Engine'!AP80</f>
        <v/>
      </c>
      <c r="AQ49" s="361">
        <f>'07 Opex Engine'!AQ80</f>
        <v/>
      </c>
      <c r="AR49" s="405">
        <f>'07 Opex Engine'!AR80</f>
        <v/>
      </c>
    </row>
    <row r="50" ht="13.5" customHeight="1" s="290">
      <c r="A50" s="345" t="n"/>
      <c r="B50" s="370" t="inlineStr">
        <is>
          <t xml:space="preserve">    Variable Operating Expenses</t>
        </is>
      </c>
      <c r="C50" s="371" t="inlineStr">
        <is>
          <t>$K</t>
        </is>
      </c>
      <c r="D50" s="394" t="inlineStr">
        <is>
          <t>← Tab 07 row 81</t>
        </is>
      </c>
      <c r="E50" s="361">
        <f>'07 Opex Engine'!E81</f>
        <v/>
      </c>
      <c r="F50" s="361">
        <f>'07 Opex Engine'!F81</f>
        <v/>
      </c>
      <c r="G50" s="361">
        <f>'07 Opex Engine'!G81</f>
        <v/>
      </c>
      <c r="H50" s="361">
        <f>'07 Opex Engine'!H81</f>
        <v/>
      </c>
      <c r="I50" s="405">
        <f>'07 Opex Engine'!I81</f>
        <v/>
      </c>
      <c r="J50" s="361">
        <f>'07 Opex Engine'!J81</f>
        <v/>
      </c>
      <c r="K50" s="361">
        <f>'07 Opex Engine'!K81</f>
        <v/>
      </c>
      <c r="L50" s="361">
        <f>'07 Opex Engine'!L81</f>
        <v/>
      </c>
      <c r="M50" s="361">
        <f>'07 Opex Engine'!M81</f>
        <v/>
      </c>
      <c r="N50" s="405">
        <f>'07 Opex Engine'!N81</f>
        <v/>
      </c>
      <c r="O50" s="361">
        <f>'07 Opex Engine'!O81</f>
        <v/>
      </c>
      <c r="P50" s="361">
        <f>'07 Opex Engine'!P81</f>
        <v/>
      </c>
      <c r="Q50" s="361">
        <f>'07 Opex Engine'!Q81</f>
        <v/>
      </c>
      <c r="R50" s="361">
        <f>'07 Opex Engine'!R81</f>
        <v/>
      </c>
      <c r="S50" s="405">
        <f>'07 Opex Engine'!S81</f>
        <v/>
      </c>
      <c r="T50" s="361">
        <f>'07 Opex Engine'!T81</f>
        <v/>
      </c>
      <c r="U50" s="361">
        <f>'07 Opex Engine'!U81</f>
        <v/>
      </c>
      <c r="V50" s="361">
        <f>'07 Opex Engine'!V81</f>
        <v/>
      </c>
      <c r="W50" s="361">
        <f>'07 Opex Engine'!W81</f>
        <v/>
      </c>
      <c r="X50" s="405">
        <f>'07 Opex Engine'!X81</f>
        <v/>
      </c>
      <c r="Y50" s="361">
        <f>'07 Opex Engine'!Y81</f>
        <v/>
      </c>
      <c r="Z50" s="361">
        <f>'07 Opex Engine'!Z81</f>
        <v/>
      </c>
      <c r="AA50" s="361">
        <f>'07 Opex Engine'!AA81</f>
        <v/>
      </c>
      <c r="AB50" s="361">
        <f>'07 Opex Engine'!AB81</f>
        <v/>
      </c>
      <c r="AC50" s="405">
        <f>'07 Opex Engine'!AC81</f>
        <v/>
      </c>
      <c r="AD50" s="361">
        <f>'07 Opex Engine'!AD81</f>
        <v/>
      </c>
      <c r="AE50" s="361">
        <f>'07 Opex Engine'!AE81</f>
        <v/>
      </c>
      <c r="AF50" s="361">
        <f>'07 Opex Engine'!AF81</f>
        <v/>
      </c>
      <c r="AG50" s="361">
        <f>'07 Opex Engine'!AG81</f>
        <v/>
      </c>
      <c r="AH50" s="405">
        <f>'07 Opex Engine'!AH81</f>
        <v/>
      </c>
      <c r="AI50" s="361">
        <f>'07 Opex Engine'!AI81</f>
        <v/>
      </c>
      <c r="AJ50" s="361">
        <f>'07 Opex Engine'!AJ81</f>
        <v/>
      </c>
      <c r="AK50" s="361">
        <f>'07 Opex Engine'!AK81</f>
        <v/>
      </c>
      <c r="AL50" s="361">
        <f>'07 Opex Engine'!AL81</f>
        <v/>
      </c>
      <c r="AM50" s="405">
        <f>'07 Opex Engine'!AM81</f>
        <v/>
      </c>
      <c r="AN50" s="361">
        <f>'07 Opex Engine'!AN81</f>
        <v/>
      </c>
      <c r="AO50" s="361">
        <f>'07 Opex Engine'!AO81</f>
        <v/>
      </c>
      <c r="AP50" s="361">
        <f>'07 Opex Engine'!AP81</f>
        <v/>
      </c>
      <c r="AQ50" s="361">
        <f>'07 Opex Engine'!AQ81</f>
        <v/>
      </c>
      <c r="AR50" s="405">
        <f>'07 Opex Engine'!AR81</f>
        <v/>
      </c>
    </row>
    <row r="51" ht="3" customHeight="1" s="290"/>
    <row r="52" ht="15" customHeight="1" s="290">
      <c r="A52" s="397" t="n"/>
      <c r="B52" s="398" t="inlineStr">
        <is>
          <t xml:space="preserve">  Total Operating Expenses</t>
        </is>
      </c>
      <c r="C52" s="399" t="inlineStr">
        <is>
          <t>$K</t>
        </is>
      </c>
      <c r="D52" s="400" t="inlineStr">
        <is>
          <t xml:space="preserve"> advisory comp + corp/support + bonus + fixed opex + variable opex</t>
        </is>
      </c>
      <c r="E52" s="401">
        <f>SUM(E43,E44,E45,E49,E50)</f>
        <v/>
      </c>
      <c r="F52" s="401">
        <f>SUM(F43,F44,F45,F49,F50)</f>
        <v/>
      </c>
      <c r="G52" s="401">
        <f>SUM(G43,G44,G45,G49,G50)</f>
        <v/>
      </c>
      <c r="H52" s="401">
        <f>SUM(H43,H44,H45,H49,H50)</f>
        <v/>
      </c>
      <c r="I52" s="387">
        <f>SUM(E52:H52)</f>
        <v/>
      </c>
      <c r="J52" s="401">
        <f>SUM(J43,J44,J45,J49,J50)</f>
        <v/>
      </c>
      <c r="K52" s="401">
        <f>SUM(K43,K44,K45,K49,K50)</f>
        <v/>
      </c>
      <c r="L52" s="401">
        <f>SUM(L43,L44,L45,L49,L50)</f>
        <v/>
      </c>
      <c r="M52" s="401">
        <f>SUM(M43,M44,M45,M49,M50)</f>
        <v/>
      </c>
      <c r="N52" s="387">
        <f>SUM(J52:M52)</f>
        <v/>
      </c>
      <c r="O52" s="401">
        <f>SUM(O43,O44,O45,O49,O50)</f>
        <v/>
      </c>
      <c r="P52" s="401">
        <f>SUM(P43,P44,P45,P49,P50)</f>
        <v/>
      </c>
      <c r="Q52" s="401">
        <f>SUM(Q43,Q44,Q45,Q49,Q50)</f>
        <v/>
      </c>
      <c r="R52" s="401">
        <f>SUM(R43,R44,R45,R49,R50)</f>
        <v/>
      </c>
      <c r="S52" s="387">
        <f>SUM(O52:R52)</f>
        <v/>
      </c>
      <c r="T52" s="401">
        <f>SUM(T43,T44,T45,T49,T50)</f>
        <v/>
      </c>
      <c r="U52" s="401">
        <f>SUM(U43,U44,U45,U49,U50)</f>
        <v/>
      </c>
      <c r="V52" s="401">
        <f>SUM(V43,V44,V45,V49,V50)</f>
        <v/>
      </c>
      <c r="W52" s="401">
        <f>SUM(W43,W44,W45,W49,W50)</f>
        <v/>
      </c>
      <c r="X52" s="387">
        <f>SUM(T52:W52)</f>
        <v/>
      </c>
      <c r="Y52" s="401">
        <f>SUM(Y43,Y44,Y45,Y49,Y50)</f>
        <v/>
      </c>
      <c r="Z52" s="401">
        <f>SUM(Z43,Z44,Z45,Z49,Z50)</f>
        <v/>
      </c>
      <c r="AA52" s="401">
        <f>SUM(AA43,AA44,AA45,AA49,AA50)</f>
        <v/>
      </c>
      <c r="AB52" s="401">
        <f>SUM(AB43,AB44,AB45,AB49,AB50)</f>
        <v/>
      </c>
      <c r="AC52" s="387">
        <f>SUM(Y52:AB52)</f>
        <v/>
      </c>
      <c r="AD52" s="401">
        <f>SUM(AD43,AD44,AD45,AD49,AD50)</f>
        <v/>
      </c>
      <c r="AE52" s="401">
        <f>SUM(AE43,AE44,AE45,AE49,AE50)</f>
        <v/>
      </c>
      <c r="AF52" s="401">
        <f>SUM(AF43,AF44,AF45,AF49,AF50)</f>
        <v/>
      </c>
      <c r="AG52" s="401">
        <f>SUM(AG43,AG44,AG45,AG49,AG50)</f>
        <v/>
      </c>
      <c r="AH52" s="387">
        <f>SUM(AD52:AG52)</f>
        <v/>
      </c>
      <c r="AI52" s="401">
        <f>SUM(AI43,AI44,AI45,AI49,AI50)</f>
        <v/>
      </c>
      <c r="AJ52" s="401">
        <f>SUM(AJ43,AJ44,AJ45,AJ49,AJ50)</f>
        <v/>
      </c>
      <c r="AK52" s="401">
        <f>SUM(AK43,AK44,AK45,AK49,AK50)</f>
        <v/>
      </c>
      <c r="AL52" s="401">
        <f>SUM(AL43,AL44,AL45,AL49,AL50)</f>
        <v/>
      </c>
      <c r="AM52" s="387">
        <f>SUM(AI52:AL52)</f>
        <v/>
      </c>
      <c r="AN52" s="401">
        <f>SUM(AN43,AN44,AN45,AN49,AN50)</f>
        <v/>
      </c>
      <c r="AO52" s="401">
        <f>SUM(AO43,AO44,AO45,AO49,AO50)</f>
        <v/>
      </c>
      <c r="AP52" s="401">
        <f>SUM(AP43,AP44,AP45,AP49,AP50)</f>
        <v/>
      </c>
      <c r="AQ52" s="401">
        <f>SUM(AQ43,AQ44,AQ45,AQ49,AQ50)</f>
        <v/>
      </c>
      <c r="AR52" s="387">
        <f>SUM(AN52:AQ52)</f>
        <v/>
      </c>
    </row>
    <row r="53" ht="13.5" customHeight="1" s="290">
      <c r="A53" s="339" t="n"/>
      <c r="B53" s="421" t="inlineStr">
        <is>
          <t xml:space="preserve">    Total Opex / GCI</t>
        </is>
      </c>
      <c r="C53" s="422" t="inlineStr">
        <is>
          <t>%</t>
        </is>
      </c>
      <c r="D53" s="375" t="n"/>
      <c r="E53" s="423">
        <f>IFERROR(E52/E11,0)</f>
        <v/>
      </c>
      <c r="F53" s="423">
        <f>IFERROR(F52/F11,0)</f>
        <v/>
      </c>
      <c r="G53" s="423">
        <f>IFERROR(G52/G11,0)</f>
        <v/>
      </c>
      <c r="H53" s="423">
        <f>IFERROR(H52/H11,0)</f>
        <v/>
      </c>
      <c r="I53" s="424">
        <f>IFERROR(I52/I11,0)</f>
        <v/>
      </c>
      <c r="J53" s="423">
        <f>IFERROR(J52/J11,0)</f>
        <v/>
      </c>
      <c r="K53" s="423">
        <f>IFERROR(K52/K11,0)</f>
        <v/>
      </c>
      <c r="L53" s="423">
        <f>IFERROR(L52/L11,0)</f>
        <v/>
      </c>
      <c r="M53" s="423">
        <f>IFERROR(M52/M11,0)</f>
        <v/>
      </c>
      <c r="N53" s="424">
        <f>IFERROR(N52/N11,0)</f>
        <v/>
      </c>
      <c r="O53" s="423">
        <f>IFERROR(O52/O11,0)</f>
        <v/>
      </c>
      <c r="P53" s="423">
        <f>IFERROR(P52/P11,0)</f>
        <v/>
      </c>
      <c r="Q53" s="423">
        <f>IFERROR(Q52/Q11,0)</f>
        <v/>
      </c>
      <c r="R53" s="423">
        <f>IFERROR(R52/R11,0)</f>
        <v/>
      </c>
      <c r="S53" s="424">
        <f>IFERROR(S52/S11,0)</f>
        <v/>
      </c>
      <c r="T53" s="423">
        <f>IFERROR(T52/T11,0)</f>
        <v/>
      </c>
      <c r="U53" s="423">
        <f>IFERROR(U52/U11,0)</f>
        <v/>
      </c>
      <c r="V53" s="423">
        <f>IFERROR(V52/V11,0)</f>
        <v/>
      </c>
      <c r="W53" s="423">
        <f>IFERROR(W52/W11,0)</f>
        <v/>
      </c>
      <c r="X53" s="424">
        <f>IFERROR(X52/X11,0)</f>
        <v/>
      </c>
      <c r="Y53" s="423">
        <f>IFERROR(Y52/Y11,0)</f>
        <v/>
      </c>
      <c r="Z53" s="423">
        <f>IFERROR(Z52/Z11,0)</f>
        <v/>
      </c>
      <c r="AA53" s="423">
        <f>IFERROR(AA52/AA11,0)</f>
        <v/>
      </c>
      <c r="AB53" s="423">
        <f>IFERROR(AB52/AB11,0)</f>
        <v/>
      </c>
      <c r="AC53" s="424">
        <f>IFERROR(AC52/AC11,0)</f>
        <v/>
      </c>
      <c r="AD53" s="423">
        <f>IFERROR(AD52/AD11,0)</f>
        <v/>
      </c>
      <c r="AE53" s="423">
        <f>IFERROR(AE52/AE11,0)</f>
        <v/>
      </c>
      <c r="AF53" s="423">
        <f>IFERROR(AF52/AF11,0)</f>
        <v/>
      </c>
      <c r="AG53" s="423">
        <f>IFERROR(AG52/AG11,0)</f>
        <v/>
      </c>
      <c r="AH53" s="424">
        <f>IFERROR(AH52/AH11,0)</f>
        <v/>
      </c>
      <c r="AI53" s="423">
        <f>IFERROR(AI52/AI11,0)</f>
        <v/>
      </c>
      <c r="AJ53" s="423">
        <f>IFERROR(AJ52/AJ11,0)</f>
        <v/>
      </c>
      <c r="AK53" s="423">
        <f>IFERROR(AK52/AK11,0)</f>
        <v/>
      </c>
      <c r="AL53" s="423">
        <f>IFERROR(AL52/AL11,0)</f>
        <v/>
      </c>
      <c r="AM53" s="424">
        <f>IFERROR(AM52/AM11,0)</f>
        <v/>
      </c>
      <c r="AN53" s="423">
        <f>IFERROR(AN52/AN11,0)</f>
        <v/>
      </c>
      <c r="AO53" s="423">
        <f>IFERROR(AO52/AO11,0)</f>
        <v/>
      </c>
      <c r="AP53" s="423">
        <f>IFERROR(AP52/AP11,0)</f>
        <v/>
      </c>
      <c r="AQ53" s="423">
        <f>IFERROR(AQ52/AQ11,0)</f>
        <v/>
      </c>
      <c r="AR53" s="424">
        <f>IFERROR(AR52/AR11,0)</f>
        <v/>
      </c>
    </row>
    <row r="54" ht="4.5" customHeight="1" s="290"/>
    <row r="55" ht="3" customHeight="1" s="290">
      <c r="A55" s="293" t="n"/>
    </row>
    <row r="56" ht="4.5" customHeight="1" s="290"/>
    <row r="57" ht="15.75" customHeight="1" s="290">
      <c r="A57" s="338" t="inlineStr">
        <is>
          <t xml:space="preserve">  SECTION D — EBITDA</t>
        </is>
      </c>
    </row>
    <row r="58" ht="3.75" customHeight="1" s="290"/>
    <row r="59" ht="18" customHeight="1" s="290">
      <c r="A59" s="429" t="n"/>
      <c r="B59" s="430" t="inlineStr">
        <is>
          <t xml:space="preserve">  ★  EBITDA</t>
        </is>
      </c>
      <c r="C59" s="431" t="inlineStr">
        <is>
          <t>$K</t>
        </is>
      </c>
      <c r="D59" s="429" t="n"/>
      <c r="E59" s="432">
        <f>E32-E52</f>
        <v/>
      </c>
      <c r="F59" s="432">
        <f>F32-F52</f>
        <v/>
      </c>
      <c r="G59" s="432">
        <f>G32-G52</f>
        <v/>
      </c>
      <c r="H59" s="432">
        <f>H32-H52</f>
        <v/>
      </c>
      <c r="I59" s="432">
        <f>I32-I52</f>
        <v/>
      </c>
      <c r="J59" s="432">
        <f>J32-J52</f>
        <v/>
      </c>
      <c r="K59" s="432">
        <f>K32-K52</f>
        <v/>
      </c>
      <c r="L59" s="432">
        <f>L32-L52</f>
        <v/>
      </c>
      <c r="M59" s="432">
        <f>M32-M52</f>
        <v/>
      </c>
      <c r="N59" s="432">
        <f>N32-N52</f>
        <v/>
      </c>
      <c r="O59" s="432">
        <f>O32-O52</f>
        <v/>
      </c>
      <c r="P59" s="432">
        <f>P32-P52</f>
        <v/>
      </c>
      <c r="Q59" s="432">
        <f>Q32-Q52</f>
        <v/>
      </c>
      <c r="R59" s="432">
        <f>R32-R52</f>
        <v/>
      </c>
      <c r="S59" s="432">
        <f>S32-S52</f>
        <v/>
      </c>
      <c r="T59" s="432">
        <f>T32-T52</f>
        <v/>
      </c>
      <c r="U59" s="432">
        <f>U32-U52</f>
        <v/>
      </c>
      <c r="V59" s="432">
        <f>V32-V52</f>
        <v/>
      </c>
      <c r="W59" s="432">
        <f>W32-W52</f>
        <v/>
      </c>
      <c r="X59" s="432">
        <f>X32-X52</f>
        <v/>
      </c>
      <c r="Y59" s="432">
        <f>Y32-Y52</f>
        <v/>
      </c>
      <c r="Z59" s="432">
        <f>Z32-Z52</f>
        <v/>
      </c>
      <c r="AA59" s="432">
        <f>AA32-AA52</f>
        <v/>
      </c>
      <c r="AB59" s="432">
        <f>AB32-AB52</f>
        <v/>
      </c>
      <c r="AC59" s="432">
        <f>AC32-AC52</f>
        <v/>
      </c>
      <c r="AD59" s="432">
        <f>AD32-AD52</f>
        <v/>
      </c>
      <c r="AE59" s="432">
        <f>AE32-AE52</f>
        <v/>
      </c>
      <c r="AF59" s="432">
        <f>AF32-AF52</f>
        <v/>
      </c>
      <c r="AG59" s="432">
        <f>AG32-AG52</f>
        <v/>
      </c>
      <c r="AH59" s="432">
        <f>AH32-AH52</f>
        <v/>
      </c>
      <c r="AI59" s="432">
        <f>AI32-AI52</f>
        <v/>
      </c>
      <c r="AJ59" s="432">
        <f>AJ32-AJ52</f>
        <v/>
      </c>
      <c r="AK59" s="432">
        <f>AK32-AK52</f>
        <v/>
      </c>
      <c r="AL59" s="432">
        <f>AL32-AL52</f>
        <v/>
      </c>
      <c r="AM59" s="432">
        <f>AM32-AM52</f>
        <v/>
      </c>
      <c r="AN59" s="432">
        <f>AN32-AN52</f>
        <v/>
      </c>
      <c r="AO59" s="432">
        <f>AO32-AO52</f>
        <v/>
      </c>
      <c r="AP59" s="432">
        <f>AP32-AP52</f>
        <v/>
      </c>
      <c r="AQ59" s="432">
        <f>AQ32-AQ52</f>
        <v/>
      </c>
      <c r="AR59" s="432">
        <f>AR32-AR52</f>
        <v/>
      </c>
    </row>
    <row r="60" ht="3" customHeight="1" s="290"/>
    <row r="61" ht="15" customHeight="1" s="290">
      <c r="A61" s="339" t="n"/>
      <c r="B61" s="421" t="inlineStr">
        <is>
          <t xml:space="preserve">    EBITDA Margin on GCI</t>
        </is>
      </c>
      <c r="C61" s="422" t="inlineStr">
        <is>
          <t>%</t>
        </is>
      </c>
      <c r="D61" s="375" t="n"/>
      <c r="E61" s="423">
        <f>IFERROR(E59/E11,0)</f>
        <v/>
      </c>
      <c r="F61" s="423">
        <f>IFERROR(F59/F11,0)</f>
        <v/>
      </c>
      <c r="G61" s="423">
        <f>IFERROR(G59/G11,0)</f>
        <v/>
      </c>
      <c r="H61" s="423">
        <f>IFERROR(H59/H11,0)</f>
        <v/>
      </c>
      <c r="I61" s="424">
        <f>IFERROR(I59/I11,0)</f>
        <v/>
      </c>
      <c r="J61" s="423">
        <f>IFERROR(J59/J11,0)</f>
        <v/>
      </c>
      <c r="K61" s="423">
        <f>IFERROR(K59/K11,0)</f>
        <v/>
      </c>
      <c r="L61" s="423">
        <f>IFERROR(L59/L11,0)</f>
        <v/>
      </c>
      <c r="M61" s="423">
        <f>IFERROR(M59/M11,0)</f>
        <v/>
      </c>
      <c r="N61" s="424">
        <f>IFERROR(N59/N11,0)</f>
        <v/>
      </c>
      <c r="O61" s="423">
        <f>IFERROR(O59/O11,0)</f>
        <v/>
      </c>
      <c r="P61" s="423">
        <f>IFERROR(P59/P11,0)</f>
        <v/>
      </c>
      <c r="Q61" s="423">
        <f>IFERROR(Q59/Q11,0)</f>
        <v/>
      </c>
      <c r="R61" s="423">
        <f>IFERROR(R59/R11,0)</f>
        <v/>
      </c>
      <c r="S61" s="424">
        <f>IFERROR(S59/S11,0)</f>
        <v/>
      </c>
      <c r="T61" s="423">
        <f>IFERROR(T59/T11,0)</f>
        <v/>
      </c>
      <c r="U61" s="423">
        <f>IFERROR(U59/U11,0)</f>
        <v/>
      </c>
      <c r="V61" s="423">
        <f>IFERROR(V59/V11,0)</f>
        <v/>
      </c>
      <c r="W61" s="423">
        <f>IFERROR(W59/W11,0)</f>
        <v/>
      </c>
      <c r="X61" s="424">
        <f>IFERROR(X59/X11,0)</f>
        <v/>
      </c>
      <c r="Y61" s="423">
        <f>IFERROR(Y59/Y11,0)</f>
        <v/>
      </c>
      <c r="Z61" s="423">
        <f>IFERROR(Z59/Z11,0)</f>
        <v/>
      </c>
      <c r="AA61" s="423">
        <f>IFERROR(AA59/AA11,0)</f>
        <v/>
      </c>
      <c r="AB61" s="423">
        <f>IFERROR(AB59/AB11,0)</f>
        <v/>
      </c>
      <c r="AC61" s="424">
        <f>IFERROR(AC59/AC11,0)</f>
        <v/>
      </c>
      <c r="AD61" s="423">
        <f>IFERROR(AD59/AD11,0)</f>
        <v/>
      </c>
      <c r="AE61" s="423">
        <f>IFERROR(AE59/AE11,0)</f>
        <v/>
      </c>
      <c r="AF61" s="423">
        <f>IFERROR(AF59/AF11,0)</f>
        <v/>
      </c>
      <c r="AG61" s="423">
        <f>IFERROR(AG59/AG11,0)</f>
        <v/>
      </c>
      <c r="AH61" s="424">
        <f>IFERROR(AH59/AH11,0)</f>
        <v/>
      </c>
      <c r="AI61" s="423">
        <f>IFERROR(AI59/AI11,0)</f>
        <v/>
      </c>
      <c r="AJ61" s="423">
        <f>IFERROR(AJ59/AJ11,0)</f>
        <v/>
      </c>
      <c r="AK61" s="423">
        <f>IFERROR(AK59/AK11,0)</f>
        <v/>
      </c>
      <c r="AL61" s="423">
        <f>IFERROR(AL59/AL11,0)</f>
        <v/>
      </c>
      <c r="AM61" s="424">
        <f>IFERROR(AM59/AM11,0)</f>
        <v/>
      </c>
      <c r="AN61" s="423">
        <f>IFERROR(AN59/AN11,0)</f>
        <v/>
      </c>
      <c r="AO61" s="423">
        <f>IFERROR(AO59/AO11,0)</f>
        <v/>
      </c>
      <c r="AP61" s="423">
        <f>IFERROR(AP59/AP11,0)</f>
        <v/>
      </c>
      <c r="AQ61" s="423">
        <f>IFERROR(AQ59/AQ11,0)</f>
        <v/>
      </c>
      <c r="AR61" s="424">
        <f>IFERROR(AR59/AR11,0)</f>
        <v/>
      </c>
    </row>
    <row r="62" ht="13.5" customHeight="1" s="290">
      <c r="A62" s="339" t="n"/>
      <c r="B62" s="421" t="inlineStr">
        <is>
          <t xml:space="preserve">    EBITDA Margin on Company Dollar</t>
        </is>
      </c>
      <c r="C62" s="422" t="inlineStr">
        <is>
          <t>%</t>
        </is>
      </c>
      <c r="D62" s="375" t="n"/>
      <c r="E62" s="423">
        <f>IFERROR(E59/E32,0)</f>
        <v/>
      </c>
      <c r="F62" s="423">
        <f>IFERROR(F59/F32,0)</f>
        <v/>
      </c>
      <c r="G62" s="423">
        <f>IFERROR(G59/G32,0)</f>
        <v/>
      </c>
      <c r="H62" s="423">
        <f>IFERROR(H59/H32,0)</f>
        <v/>
      </c>
      <c r="I62" s="424">
        <f>IFERROR(I59/I32,0)</f>
        <v/>
      </c>
      <c r="J62" s="423">
        <f>IFERROR(J59/J32,0)</f>
        <v/>
      </c>
      <c r="K62" s="423">
        <f>IFERROR(K59/K32,0)</f>
        <v/>
      </c>
      <c r="L62" s="423">
        <f>IFERROR(L59/L32,0)</f>
        <v/>
      </c>
      <c r="M62" s="423">
        <f>IFERROR(M59/M32,0)</f>
        <v/>
      </c>
      <c r="N62" s="424">
        <f>IFERROR(N59/N32,0)</f>
        <v/>
      </c>
      <c r="O62" s="423">
        <f>IFERROR(O59/O32,0)</f>
        <v/>
      </c>
      <c r="P62" s="423">
        <f>IFERROR(P59/P32,0)</f>
        <v/>
      </c>
      <c r="Q62" s="423">
        <f>IFERROR(Q59/Q32,0)</f>
        <v/>
      </c>
      <c r="R62" s="423">
        <f>IFERROR(R59/R32,0)</f>
        <v/>
      </c>
      <c r="S62" s="424">
        <f>IFERROR(S59/S32,0)</f>
        <v/>
      </c>
      <c r="T62" s="423">
        <f>IFERROR(T59/T32,0)</f>
        <v/>
      </c>
      <c r="U62" s="423">
        <f>IFERROR(U59/U32,0)</f>
        <v/>
      </c>
      <c r="V62" s="423">
        <f>IFERROR(V59/V32,0)</f>
        <v/>
      </c>
      <c r="W62" s="423">
        <f>IFERROR(W59/W32,0)</f>
        <v/>
      </c>
      <c r="X62" s="424">
        <f>IFERROR(X59/X32,0)</f>
        <v/>
      </c>
      <c r="Y62" s="423">
        <f>IFERROR(Y59/Y32,0)</f>
        <v/>
      </c>
      <c r="Z62" s="423">
        <f>IFERROR(Z59/Z32,0)</f>
        <v/>
      </c>
      <c r="AA62" s="423">
        <f>IFERROR(AA59/AA32,0)</f>
        <v/>
      </c>
      <c r="AB62" s="423">
        <f>IFERROR(AB59/AB32,0)</f>
        <v/>
      </c>
      <c r="AC62" s="424">
        <f>IFERROR(AC59/AC32,0)</f>
        <v/>
      </c>
      <c r="AD62" s="423">
        <f>IFERROR(AD59/AD32,0)</f>
        <v/>
      </c>
      <c r="AE62" s="423">
        <f>IFERROR(AE59/AE32,0)</f>
        <v/>
      </c>
      <c r="AF62" s="423">
        <f>IFERROR(AF59/AF32,0)</f>
        <v/>
      </c>
      <c r="AG62" s="423">
        <f>IFERROR(AG59/AG32,0)</f>
        <v/>
      </c>
      <c r="AH62" s="424">
        <f>IFERROR(AH59/AH32,0)</f>
        <v/>
      </c>
      <c r="AI62" s="423">
        <f>IFERROR(AI59/AI32,0)</f>
        <v/>
      </c>
      <c r="AJ62" s="423">
        <f>IFERROR(AJ59/AJ32,0)</f>
        <v/>
      </c>
      <c r="AK62" s="423">
        <f>IFERROR(AK59/AK32,0)</f>
        <v/>
      </c>
      <c r="AL62" s="423">
        <f>IFERROR(AL59/AL32,0)</f>
        <v/>
      </c>
      <c r="AM62" s="424">
        <f>IFERROR(AM59/AM32,0)</f>
        <v/>
      </c>
      <c r="AN62" s="423">
        <f>IFERROR(AN59/AN32,0)</f>
        <v/>
      </c>
      <c r="AO62" s="423">
        <f>IFERROR(AO59/AO32,0)</f>
        <v/>
      </c>
      <c r="AP62" s="423">
        <f>IFERROR(AP59/AP32,0)</f>
        <v/>
      </c>
      <c r="AQ62" s="423">
        <f>IFERROR(AQ59/AQ32,0)</f>
        <v/>
      </c>
      <c r="AR62" s="424">
        <f>IFERROR(AR59/AR32,0)</f>
        <v/>
      </c>
    </row>
    <row r="63" ht="13.5" customHeight="1" s="290">
      <c r="A63" s="345" t="n"/>
      <c r="B63" s="370" t="inlineStr">
        <is>
          <t xml:space="preserve">  Total Firm EPE (denominator)</t>
        </is>
      </c>
      <c r="C63" s="371" t="inlineStr">
        <is>
          <t>EPE</t>
        </is>
      </c>
      <c r="D63" s="394" t="inlineStr">
        <is>
          <t>← Tab 04 row 213 (Total Firm EPE)</t>
        </is>
      </c>
      <c r="E63" s="361">
        <f>'04 Producer Engine'!E213</f>
        <v/>
      </c>
      <c r="F63" s="361">
        <f>'04 Producer Engine'!F213</f>
        <v/>
      </c>
      <c r="G63" s="361">
        <f>'04 Producer Engine'!G213</f>
        <v/>
      </c>
      <c r="H63" s="361">
        <f>'04 Producer Engine'!H213</f>
        <v/>
      </c>
      <c r="I63" s="405">
        <f>'04 Producer Engine'!I213</f>
        <v/>
      </c>
      <c r="J63" s="361">
        <f>'04 Producer Engine'!J213</f>
        <v/>
      </c>
      <c r="K63" s="361">
        <f>'04 Producer Engine'!K213</f>
        <v/>
      </c>
      <c r="L63" s="361">
        <f>'04 Producer Engine'!L213</f>
        <v/>
      </c>
      <c r="M63" s="361">
        <f>'04 Producer Engine'!M213</f>
        <v/>
      </c>
      <c r="N63" s="405">
        <f>'04 Producer Engine'!N213</f>
        <v/>
      </c>
      <c r="O63" s="361">
        <f>'04 Producer Engine'!O213</f>
        <v/>
      </c>
      <c r="P63" s="361">
        <f>'04 Producer Engine'!P213</f>
        <v/>
      </c>
      <c r="Q63" s="361">
        <f>'04 Producer Engine'!Q213</f>
        <v/>
      </c>
      <c r="R63" s="361">
        <f>'04 Producer Engine'!R213</f>
        <v/>
      </c>
      <c r="S63" s="405">
        <f>'04 Producer Engine'!S213</f>
        <v/>
      </c>
      <c r="T63" s="361">
        <f>'04 Producer Engine'!T213</f>
        <v/>
      </c>
      <c r="U63" s="361">
        <f>'04 Producer Engine'!U213</f>
        <v/>
      </c>
      <c r="V63" s="361">
        <f>'04 Producer Engine'!V213</f>
        <v/>
      </c>
      <c r="W63" s="361">
        <f>'04 Producer Engine'!W213</f>
        <v/>
      </c>
      <c r="X63" s="405">
        <f>'04 Producer Engine'!X213</f>
        <v/>
      </c>
      <c r="Y63" s="361">
        <f>'04 Producer Engine'!Y213</f>
        <v/>
      </c>
      <c r="Z63" s="361">
        <f>'04 Producer Engine'!Z213</f>
        <v/>
      </c>
      <c r="AA63" s="361">
        <f>'04 Producer Engine'!AA213</f>
        <v/>
      </c>
      <c r="AB63" s="361">
        <f>'04 Producer Engine'!AB213</f>
        <v/>
      </c>
      <c r="AC63" s="405">
        <f>'04 Producer Engine'!AC213</f>
        <v/>
      </c>
      <c r="AD63" s="361">
        <f>'04 Producer Engine'!AD213</f>
        <v/>
      </c>
      <c r="AE63" s="361">
        <f>'04 Producer Engine'!AE213</f>
        <v/>
      </c>
      <c r="AF63" s="361">
        <f>'04 Producer Engine'!AF213</f>
        <v/>
      </c>
      <c r="AG63" s="361">
        <f>'04 Producer Engine'!AG213</f>
        <v/>
      </c>
      <c r="AH63" s="405">
        <f>'04 Producer Engine'!AH213</f>
        <v/>
      </c>
      <c r="AI63" s="361">
        <f>'04 Producer Engine'!AI213</f>
        <v/>
      </c>
      <c r="AJ63" s="361">
        <f>'04 Producer Engine'!AJ213</f>
        <v/>
      </c>
      <c r="AK63" s="361">
        <f>'04 Producer Engine'!AK213</f>
        <v/>
      </c>
      <c r="AL63" s="361">
        <f>'04 Producer Engine'!AL213</f>
        <v/>
      </c>
      <c r="AM63" s="405">
        <f>'04 Producer Engine'!AM213</f>
        <v/>
      </c>
      <c r="AN63" s="361">
        <f>'04 Producer Engine'!AN213</f>
        <v/>
      </c>
      <c r="AO63" s="361">
        <f>'04 Producer Engine'!AO213</f>
        <v/>
      </c>
      <c r="AP63" s="361">
        <f>'04 Producer Engine'!AP213</f>
        <v/>
      </c>
      <c r="AQ63" s="361">
        <f>'04 Producer Engine'!AQ213</f>
        <v/>
      </c>
      <c r="AR63" s="405">
        <f>'04 Producer Engine'!AR213</f>
        <v/>
      </c>
    </row>
    <row r="64" ht="13.5" customHeight="1" s="290">
      <c r="A64" s="339" t="n"/>
      <c r="B64" s="421" t="inlineStr">
        <is>
          <t xml:space="preserve">    EBITDA per EPE</t>
        </is>
      </c>
      <c r="C64" s="422" t="inlineStr">
        <is>
          <t>$K/EPE</t>
        </is>
      </c>
      <c r="D64" s="375" t="n"/>
      <c r="E64" s="423">
        <f>IFERROR(E59/E63,0)</f>
        <v/>
      </c>
      <c r="F64" s="423">
        <f>IFERROR(F59/F63,0)</f>
        <v/>
      </c>
      <c r="G64" s="423">
        <f>IFERROR(G59/G63,0)</f>
        <v/>
      </c>
      <c r="H64" s="423">
        <f>IFERROR(H59/H63,0)</f>
        <v/>
      </c>
      <c r="I64" s="424">
        <f>IFERROR(I59/I63,0)</f>
        <v/>
      </c>
      <c r="J64" s="423">
        <f>IFERROR(J59/J63,0)</f>
        <v/>
      </c>
      <c r="K64" s="423">
        <f>IFERROR(K59/K63,0)</f>
        <v/>
      </c>
      <c r="L64" s="423">
        <f>IFERROR(L59/L63,0)</f>
        <v/>
      </c>
      <c r="M64" s="423">
        <f>IFERROR(M59/M63,0)</f>
        <v/>
      </c>
      <c r="N64" s="424">
        <f>IFERROR(N59/N63,0)</f>
        <v/>
      </c>
      <c r="O64" s="423">
        <f>IFERROR(O59/O63,0)</f>
        <v/>
      </c>
      <c r="P64" s="423">
        <f>IFERROR(P59/P63,0)</f>
        <v/>
      </c>
      <c r="Q64" s="423">
        <f>IFERROR(Q59/Q63,0)</f>
        <v/>
      </c>
      <c r="R64" s="423">
        <f>IFERROR(R59/R63,0)</f>
        <v/>
      </c>
      <c r="S64" s="424">
        <f>IFERROR(S59/S63,0)</f>
        <v/>
      </c>
      <c r="T64" s="423">
        <f>IFERROR(T59/T63,0)</f>
        <v/>
      </c>
      <c r="U64" s="423">
        <f>IFERROR(U59/U63,0)</f>
        <v/>
      </c>
      <c r="V64" s="423">
        <f>IFERROR(V59/V63,0)</f>
        <v/>
      </c>
      <c r="W64" s="423">
        <f>IFERROR(W59/W63,0)</f>
        <v/>
      </c>
      <c r="X64" s="424">
        <f>IFERROR(X59/X63,0)</f>
        <v/>
      </c>
      <c r="Y64" s="423">
        <f>IFERROR(Y59/Y63,0)</f>
        <v/>
      </c>
      <c r="Z64" s="423">
        <f>IFERROR(Z59/Z63,0)</f>
        <v/>
      </c>
      <c r="AA64" s="423">
        <f>IFERROR(AA59/AA63,0)</f>
        <v/>
      </c>
      <c r="AB64" s="423">
        <f>IFERROR(AB59/AB63,0)</f>
        <v/>
      </c>
      <c r="AC64" s="424">
        <f>IFERROR(AC59/AC63,0)</f>
        <v/>
      </c>
      <c r="AD64" s="423">
        <f>IFERROR(AD59/AD63,0)</f>
        <v/>
      </c>
      <c r="AE64" s="423">
        <f>IFERROR(AE59/AE63,0)</f>
        <v/>
      </c>
      <c r="AF64" s="423">
        <f>IFERROR(AF59/AF63,0)</f>
        <v/>
      </c>
      <c r="AG64" s="423">
        <f>IFERROR(AG59/AG63,0)</f>
        <v/>
      </c>
      <c r="AH64" s="424">
        <f>IFERROR(AH59/AH63,0)</f>
        <v/>
      </c>
      <c r="AI64" s="423">
        <f>IFERROR(AI59/AI63,0)</f>
        <v/>
      </c>
      <c r="AJ64" s="423">
        <f>IFERROR(AJ59/AJ63,0)</f>
        <v/>
      </c>
      <c r="AK64" s="423">
        <f>IFERROR(AK59/AK63,0)</f>
        <v/>
      </c>
      <c r="AL64" s="423">
        <f>IFERROR(AL59/AL63,0)</f>
        <v/>
      </c>
      <c r="AM64" s="424">
        <f>IFERROR(AM59/AM63,0)</f>
        <v/>
      </c>
      <c r="AN64" s="423">
        <f>IFERROR(AN59/AN63,0)</f>
        <v/>
      </c>
      <c r="AO64" s="423">
        <f>IFERROR(AO59/AO63,0)</f>
        <v/>
      </c>
      <c r="AP64" s="423">
        <f>IFERROR(AP59/AP63,0)</f>
        <v/>
      </c>
      <c r="AQ64" s="423">
        <f>IFERROR(AQ59/AQ63,0)</f>
        <v/>
      </c>
      <c r="AR64" s="424">
        <f>IFERROR(AR59/AR63,0)</f>
        <v/>
      </c>
    </row>
    <row r="65" ht="13.5" customHeight="1" s="290">
      <c r="A65" s="339" t="n"/>
      <c r="B65" s="421" t="inlineStr">
        <is>
          <t xml:space="preserve">    YoY EBITDA Growth</t>
        </is>
      </c>
      <c r="C65" s="422" t="inlineStr">
        <is>
          <t>%</t>
        </is>
      </c>
      <c r="D65" s="375" t="n"/>
      <c r="E65" s="423">
        <f>0</f>
        <v/>
      </c>
      <c r="F65" s="423">
        <f>0</f>
        <v/>
      </c>
      <c r="G65" s="423">
        <f>0</f>
        <v/>
      </c>
      <c r="H65" s="423">
        <f>0</f>
        <v/>
      </c>
      <c r="I65" s="424">
        <f>0</f>
        <v/>
      </c>
      <c r="J65" s="423">
        <f>0</f>
        <v/>
      </c>
      <c r="K65" s="423">
        <f>0</f>
        <v/>
      </c>
      <c r="L65" s="423">
        <f>0</f>
        <v/>
      </c>
      <c r="M65" s="423">
        <f>0</f>
        <v/>
      </c>
      <c r="N65" s="424">
        <f>IFERROR(N59/I59-1,0)</f>
        <v/>
      </c>
      <c r="O65" s="423">
        <f>0</f>
        <v/>
      </c>
      <c r="P65" s="423">
        <f>0</f>
        <v/>
      </c>
      <c r="Q65" s="423">
        <f>0</f>
        <v/>
      </c>
      <c r="R65" s="423">
        <f>0</f>
        <v/>
      </c>
      <c r="S65" s="424">
        <f>IFERROR(S59/N59-1,0)</f>
        <v/>
      </c>
      <c r="T65" s="423">
        <f>0</f>
        <v/>
      </c>
      <c r="U65" s="423">
        <f>0</f>
        <v/>
      </c>
      <c r="V65" s="423">
        <f>0</f>
        <v/>
      </c>
      <c r="W65" s="423">
        <f>0</f>
        <v/>
      </c>
      <c r="X65" s="424">
        <f>IFERROR(X59/S59-1,0)</f>
        <v/>
      </c>
      <c r="Y65" s="423">
        <f>0</f>
        <v/>
      </c>
      <c r="Z65" s="423">
        <f>0</f>
        <v/>
      </c>
      <c r="AA65" s="423">
        <f>0</f>
        <v/>
      </c>
      <c r="AB65" s="423">
        <f>0</f>
        <v/>
      </c>
      <c r="AC65" s="424">
        <f>IFERROR(AC59/X59-1,0)</f>
        <v/>
      </c>
      <c r="AD65" s="423">
        <f>0</f>
        <v/>
      </c>
      <c r="AE65" s="423">
        <f>0</f>
        <v/>
      </c>
      <c r="AF65" s="423">
        <f>0</f>
        <v/>
      </c>
      <c r="AG65" s="423">
        <f>0</f>
        <v/>
      </c>
      <c r="AH65" s="424">
        <f>IFERROR(AH59/AC59-1,0)</f>
        <v/>
      </c>
      <c r="AI65" s="423">
        <f>0</f>
        <v/>
      </c>
      <c r="AJ65" s="423">
        <f>0</f>
        <v/>
      </c>
      <c r="AK65" s="423">
        <f>0</f>
        <v/>
      </c>
      <c r="AL65" s="423">
        <f>0</f>
        <v/>
      </c>
      <c r="AM65" s="424">
        <f>IFERROR(AM59/AH59-1,0)</f>
        <v/>
      </c>
      <c r="AN65" s="423">
        <f>0</f>
        <v/>
      </c>
      <c r="AO65" s="423">
        <f>0</f>
        <v/>
      </c>
      <c r="AP65" s="423">
        <f>0</f>
        <v/>
      </c>
      <c r="AQ65" s="423">
        <f>0</f>
        <v/>
      </c>
      <c r="AR65" s="424">
        <f>IFERROR(AR59/AM59-1,0)</f>
        <v/>
      </c>
    </row>
    <row r="66" ht="4.5" customHeight="1" s="290"/>
    <row r="67" ht="3" customHeight="1" s="290">
      <c r="A67" s="293" t="n"/>
    </row>
    <row r="68" ht="4.5" customHeight="1" s="290"/>
    <row r="69" ht="15.75" customHeight="1" s="290">
      <c r="A69" s="338" t="inlineStr">
        <is>
          <t xml:space="preserve">  SECTION E — BELOW THE LINE</t>
        </is>
      </c>
    </row>
    <row r="70" ht="3.75" customHeight="1" s="290"/>
    <row r="71" ht="12.75" customHeight="1" s="290">
      <c r="A71" s="348" t="inlineStr">
        <is>
          <t xml:space="preserve">  D&amp;A from Tab 07. Interest expense and tax rate are blue input placeholders. These are the only new inputs on Tab 08. All other rows are calculations from above.</t>
        </is>
      </c>
    </row>
    <row r="72" ht="3.75" customHeight="1" s="290"/>
    <row r="73" ht="13.5" customHeight="1" s="290">
      <c r="A73" s="345" t="n"/>
      <c r="B73" s="370" t="inlineStr">
        <is>
          <t xml:space="preserve">  Depreciation &amp; Amortization</t>
        </is>
      </c>
      <c r="C73" s="371" t="inlineStr">
        <is>
          <t>$K</t>
        </is>
      </c>
      <c r="D73" s="394" t="inlineStr">
        <is>
          <t>← Tab 07 row 83</t>
        </is>
      </c>
      <c r="E73" s="361">
        <f>'07 Opex Engine'!E83</f>
        <v/>
      </c>
      <c r="F73" s="361">
        <f>'07 Opex Engine'!F83</f>
        <v/>
      </c>
      <c r="G73" s="361">
        <f>'07 Opex Engine'!G83</f>
        <v/>
      </c>
      <c r="H73" s="361">
        <f>'07 Opex Engine'!H83</f>
        <v/>
      </c>
      <c r="I73" s="405">
        <f>'07 Opex Engine'!I83</f>
        <v/>
      </c>
      <c r="J73" s="361">
        <f>'07 Opex Engine'!J83</f>
        <v/>
      </c>
      <c r="K73" s="361">
        <f>'07 Opex Engine'!K83</f>
        <v/>
      </c>
      <c r="L73" s="361">
        <f>'07 Opex Engine'!L83</f>
        <v/>
      </c>
      <c r="M73" s="361">
        <f>'07 Opex Engine'!M83</f>
        <v/>
      </c>
      <c r="N73" s="405">
        <f>'07 Opex Engine'!N83</f>
        <v/>
      </c>
      <c r="O73" s="361">
        <f>'07 Opex Engine'!O83</f>
        <v/>
      </c>
      <c r="P73" s="361">
        <f>'07 Opex Engine'!P83</f>
        <v/>
      </c>
      <c r="Q73" s="361">
        <f>'07 Opex Engine'!Q83</f>
        <v/>
      </c>
      <c r="R73" s="361">
        <f>'07 Opex Engine'!R83</f>
        <v/>
      </c>
      <c r="S73" s="405">
        <f>'07 Opex Engine'!S83</f>
        <v/>
      </c>
      <c r="T73" s="361">
        <f>'07 Opex Engine'!T83</f>
        <v/>
      </c>
      <c r="U73" s="361">
        <f>'07 Opex Engine'!U83</f>
        <v/>
      </c>
      <c r="V73" s="361">
        <f>'07 Opex Engine'!V83</f>
        <v/>
      </c>
      <c r="W73" s="361">
        <f>'07 Opex Engine'!W83</f>
        <v/>
      </c>
      <c r="X73" s="405">
        <f>'07 Opex Engine'!X83</f>
        <v/>
      </c>
      <c r="Y73" s="361">
        <f>'07 Opex Engine'!Y83</f>
        <v/>
      </c>
      <c r="Z73" s="361">
        <f>'07 Opex Engine'!Z83</f>
        <v/>
      </c>
      <c r="AA73" s="361">
        <f>'07 Opex Engine'!AA83</f>
        <v/>
      </c>
      <c r="AB73" s="361">
        <f>'07 Opex Engine'!AB83</f>
        <v/>
      </c>
      <c r="AC73" s="405">
        <f>'07 Opex Engine'!AC83</f>
        <v/>
      </c>
      <c r="AD73" s="361">
        <f>'07 Opex Engine'!AD83</f>
        <v/>
      </c>
      <c r="AE73" s="361">
        <f>'07 Opex Engine'!AE83</f>
        <v/>
      </c>
      <c r="AF73" s="361">
        <f>'07 Opex Engine'!AF83</f>
        <v/>
      </c>
      <c r="AG73" s="361">
        <f>'07 Opex Engine'!AG83</f>
        <v/>
      </c>
      <c r="AH73" s="405">
        <f>'07 Opex Engine'!AH83</f>
        <v/>
      </c>
      <c r="AI73" s="361">
        <f>'07 Opex Engine'!AI83</f>
        <v/>
      </c>
      <c r="AJ73" s="361">
        <f>'07 Opex Engine'!AJ83</f>
        <v/>
      </c>
      <c r="AK73" s="361">
        <f>'07 Opex Engine'!AK83</f>
        <v/>
      </c>
      <c r="AL73" s="361">
        <f>'07 Opex Engine'!AL83</f>
        <v/>
      </c>
      <c r="AM73" s="405">
        <f>'07 Opex Engine'!AM83</f>
        <v/>
      </c>
      <c r="AN73" s="361">
        <f>'07 Opex Engine'!AN83</f>
        <v/>
      </c>
      <c r="AO73" s="361">
        <f>'07 Opex Engine'!AO83</f>
        <v/>
      </c>
      <c r="AP73" s="361">
        <f>'07 Opex Engine'!AP83</f>
        <v/>
      </c>
      <c r="AQ73" s="361">
        <f>'07 Opex Engine'!AQ83</f>
        <v/>
      </c>
      <c r="AR73" s="405">
        <f>'07 Opex Engine'!AR83</f>
        <v/>
      </c>
    </row>
    <row r="74" ht="13.5" customHeight="1" s="290">
      <c r="A74" s="395" t="n"/>
      <c r="B74" s="402" t="inlineStr">
        <is>
          <t xml:space="preserve">  EBIT  (EBITDA − D&amp;A)</t>
        </is>
      </c>
      <c r="C74" s="374" t="inlineStr">
        <is>
          <t>$K</t>
        </is>
      </c>
      <c r="D74" s="396" t="inlineStr">
        <is>
          <t xml:space="preserve"> ebitda − D&amp;A</t>
        </is>
      </c>
      <c r="E74" s="403">
        <f>E59-E73</f>
        <v/>
      </c>
      <c r="F74" s="403">
        <f>F59-F73</f>
        <v/>
      </c>
      <c r="G74" s="403">
        <f>G59-G73</f>
        <v/>
      </c>
      <c r="H74" s="403">
        <f>H59-H73</f>
        <v/>
      </c>
      <c r="I74" s="387">
        <f>SUM(E74:H74)</f>
        <v/>
      </c>
      <c r="J74" s="403">
        <f>J59-J73</f>
        <v/>
      </c>
      <c r="K74" s="403">
        <f>K59-K73</f>
        <v/>
      </c>
      <c r="L74" s="403">
        <f>L59-L73</f>
        <v/>
      </c>
      <c r="M74" s="403">
        <f>M59-M73</f>
        <v/>
      </c>
      <c r="N74" s="387">
        <f>SUM(J74:M74)</f>
        <v/>
      </c>
      <c r="O74" s="403">
        <f>O59-O73</f>
        <v/>
      </c>
      <c r="P74" s="403">
        <f>P59-P73</f>
        <v/>
      </c>
      <c r="Q74" s="403">
        <f>Q59-Q73</f>
        <v/>
      </c>
      <c r="R74" s="403">
        <f>R59-R73</f>
        <v/>
      </c>
      <c r="S74" s="387">
        <f>SUM(O74:R74)</f>
        <v/>
      </c>
      <c r="T74" s="403">
        <f>T59-T73</f>
        <v/>
      </c>
      <c r="U74" s="403">
        <f>U59-U73</f>
        <v/>
      </c>
      <c r="V74" s="403">
        <f>V59-V73</f>
        <v/>
      </c>
      <c r="W74" s="403">
        <f>W59-W73</f>
        <v/>
      </c>
      <c r="X74" s="387">
        <f>SUM(T74:W74)</f>
        <v/>
      </c>
      <c r="Y74" s="403">
        <f>Y59-Y73</f>
        <v/>
      </c>
      <c r="Z74" s="403">
        <f>Z59-Z73</f>
        <v/>
      </c>
      <c r="AA74" s="403">
        <f>AA59-AA73</f>
        <v/>
      </c>
      <c r="AB74" s="403">
        <f>AB59-AB73</f>
        <v/>
      </c>
      <c r="AC74" s="387">
        <f>SUM(Y74:AB74)</f>
        <v/>
      </c>
      <c r="AD74" s="403">
        <f>AD59-AD73</f>
        <v/>
      </c>
      <c r="AE74" s="403">
        <f>AE59-AE73</f>
        <v/>
      </c>
      <c r="AF74" s="403">
        <f>AF59-AF73</f>
        <v/>
      </c>
      <c r="AG74" s="403">
        <f>AG59-AG73</f>
        <v/>
      </c>
      <c r="AH74" s="387">
        <f>SUM(AD74:AG74)</f>
        <v/>
      </c>
      <c r="AI74" s="403">
        <f>AI59-AI73</f>
        <v/>
      </c>
      <c r="AJ74" s="403">
        <f>AJ59-AJ73</f>
        <v/>
      </c>
      <c r="AK74" s="403">
        <f>AK59-AK73</f>
        <v/>
      </c>
      <c r="AL74" s="403">
        <f>AL59-AL73</f>
        <v/>
      </c>
      <c r="AM74" s="387">
        <f>SUM(AI74:AL74)</f>
        <v/>
      </c>
      <c r="AN74" s="403">
        <f>AN59-AN73</f>
        <v/>
      </c>
      <c r="AO74" s="403">
        <f>AO59-AO73</f>
        <v/>
      </c>
      <c r="AP74" s="403">
        <f>AP59-AP73</f>
        <v/>
      </c>
      <c r="AQ74" s="403">
        <f>AQ59-AQ73</f>
        <v/>
      </c>
      <c r="AR74" s="387">
        <f>SUM(AN74:AQ74)</f>
        <v/>
      </c>
    </row>
    <row r="75" ht="3" customHeight="1" s="290"/>
    <row r="76" ht="13.5" customHeight="1" s="290">
      <c r="A76" s="433" t="n"/>
      <c r="B76" s="434" t="inlineStr">
        <is>
          <t xml:space="preserve">  Interest Expense  [Placeholder — enter if levered]</t>
        </is>
      </c>
      <c r="C76" s="435" t="inlineStr">
        <is>
          <t>$K</t>
        </is>
      </c>
      <c r="D76" s="436" t="inlineStr">
        <is>
          <t>Blue input — enter interest cost if applicable; 0 = no debt</t>
        </is>
      </c>
      <c r="E76" s="343" t="n">
        <v>0</v>
      </c>
      <c r="F76" s="343" t="n">
        <v>0</v>
      </c>
      <c r="G76" s="343" t="n">
        <v>0</v>
      </c>
      <c r="H76" s="343" t="n">
        <v>0</v>
      </c>
      <c r="I76" s="437">
        <f>SUM(E76:H76)</f>
        <v/>
      </c>
      <c r="J76" s="343" t="n">
        <v>0</v>
      </c>
      <c r="K76" s="343" t="n">
        <v>0</v>
      </c>
      <c r="L76" s="343" t="n">
        <v>0</v>
      </c>
      <c r="M76" s="343" t="n">
        <v>0</v>
      </c>
      <c r="N76" s="437">
        <f>SUM(J76:M76)</f>
        <v/>
      </c>
      <c r="O76" s="343" t="n">
        <v>0</v>
      </c>
      <c r="P76" s="343" t="n">
        <v>0</v>
      </c>
      <c r="Q76" s="343" t="n">
        <v>0</v>
      </c>
      <c r="R76" s="343" t="n">
        <v>0</v>
      </c>
      <c r="S76" s="437">
        <f>SUM(O76:R76)</f>
        <v/>
      </c>
      <c r="T76" s="343" t="n">
        <v>0</v>
      </c>
      <c r="U76" s="343" t="n">
        <v>0</v>
      </c>
      <c r="V76" s="343" t="n">
        <v>0</v>
      </c>
      <c r="W76" s="343" t="n">
        <v>0</v>
      </c>
      <c r="X76" s="437">
        <f>SUM(T76:W76)</f>
        <v/>
      </c>
      <c r="Y76" s="343" t="n">
        <v>0</v>
      </c>
      <c r="Z76" s="343" t="n">
        <v>0</v>
      </c>
      <c r="AA76" s="343" t="n">
        <v>0</v>
      </c>
      <c r="AB76" s="343" t="n">
        <v>0</v>
      </c>
      <c r="AC76" s="437">
        <f>SUM(Y76:AB76)</f>
        <v/>
      </c>
      <c r="AD76" s="343" t="n">
        <v>0</v>
      </c>
      <c r="AE76" s="343" t="n">
        <v>0</v>
      </c>
      <c r="AF76" s="343" t="n">
        <v>0</v>
      </c>
      <c r="AG76" s="343" t="n">
        <v>0</v>
      </c>
      <c r="AH76" s="437">
        <f>SUM(AD76:AG76)</f>
        <v/>
      </c>
      <c r="AI76" s="343" t="n">
        <v>0</v>
      </c>
      <c r="AJ76" s="343" t="n">
        <v>0</v>
      </c>
      <c r="AK76" s="343" t="n">
        <v>0</v>
      </c>
      <c r="AL76" s="343" t="n">
        <v>0</v>
      </c>
      <c r="AM76" s="437">
        <f>SUM(AI76:AL76)</f>
        <v/>
      </c>
      <c r="AN76" s="343" t="n">
        <v>0</v>
      </c>
      <c r="AO76" s="343" t="n">
        <v>0</v>
      </c>
      <c r="AP76" s="343" t="n">
        <v>0</v>
      </c>
      <c r="AQ76" s="343" t="n">
        <v>0</v>
      </c>
      <c r="AR76" s="437">
        <f>SUM(AN76:AQ76)</f>
        <v/>
      </c>
    </row>
    <row r="77" ht="13.5" customHeight="1" s="290">
      <c r="A77" s="395" t="n"/>
      <c r="B77" s="402" t="inlineStr">
        <is>
          <t xml:space="preserve">  Pre-Tax Income</t>
        </is>
      </c>
      <c r="C77" s="374" t="inlineStr">
        <is>
          <t>$K</t>
        </is>
      </c>
      <c r="D77" s="396" t="inlineStr">
        <is>
          <t xml:space="preserve"> ebit − Interest Expense</t>
        </is>
      </c>
      <c r="E77" s="403">
        <f>E74-E76</f>
        <v/>
      </c>
      <c r="F77" s="403">
        <f>F74-F76</f>
        <v/>
      </c>
      <c r="G77" s="403">
        <f>G74-G76</f>
        <v/>
      </c>
      <c r="H77" s="403">
        <f>H74-H76</f>
        <v/>
      </c>
      <c r="I77" s="387">
        <f>SUM(E77:H77)</f>
        <v/>
      </c>
      <c r="J77" s="403">
        <f>J74-J76</f>
        <v/>
      </c>
      <c r="K77" s="403">
        <f>K74-K76</f>
        <v/>
      </c>
      <c r="L77" s="403">
        <f>L74-L76</f>
        <v/>
      </c>
      <c r="M77" s="403">
        <f>M74-M76</f>
        <v/>
      </c>
      <c r="N77" s="387">
        <f>SUM(J77:M77)</f>
        <v/>
      </c>
      <c r="O77" s="403">
        <f>O74-O76</f>
        <v/>
      </c>
      <c r="P77" s="403">
        <f>P74-P76</f>
        <v/>
      </c>
      <c r="Q77" s="403">
        <f>Q74-Q76</f>
        <v/>
      </c>
      <c r="R77" s="403">
        <f>R74-R76</f>
        <v/>
      </c>
      <c r="S77" s="387">
        <f>SUM(O77:R77)</f>
        <v/>
      </c>
      <c r="T77" s="403">
        <f>T74-T76</f>
        <v/>
      </c>
      <c r="U77" s="403">
        <f>U74-U76</f>
        <v/>
      </c>
      <c r="V77" s="403">
        <f>V74-V76</f>
        <v/>
      </c>
      <c r="W77" s="403">
        <f>W74-W76</f>
        <v/>
      </c>
      <c r="X77" s="387">
        <f>SUM(T77:W77)</f>
        <v/>
      </c>
      <c r="Y77" s="403">
        <f>Y74-Y76</f>
        <v/>
      </c>
      <c r="Z77" s="403">
        <f>Z74-Z76</f>
        <v/>
      </c>
      <c r="AA77" s="403">
        <f>AA74-AA76</f>
        <v/>
      </c>
      <c r="AB77" s="403">
        <f>AB74-AB76</f>
        <v/>
      </c>
      <c r="AC77" s="387">
        <f>SUM(Y77:AB77)</f>
        <v/>
      </c>
      <c r="AD77" s="403">
        <f>AD74-AD76</f>
        <v/>
      </c>
      <c r="AE77" s="403">
        <f>AE74-AE76</f>
        <v/>
      </c>
      <c r="AF77" s="403">
        <f>AF74-AF76</f>
        <v/>
      </c>
      <c r="AG77" s="403">
        <f>AG74-AG76</f>
        <v/>
      </c>
      <c r="AH77" s="387">
        <f>SUM(AD77:AG77)</f>
        <v/>
      </c>
      <c r="AI77" s="403">
        <f>AI74-AI76</f>
        <v/>
      </c>
      <c r="AJ77" s="403">
        <f>AJ74-AJ76</f>
        <v/>
      </c>
      <c r="AK77" s="403">
        <f>AK74-AK76</f>
        <v/>
      </c>
      <c r="AL77" s="403">
        <f>AL74-AL76</f>
        <v/>
      </c>
      <c r="AM77" s="387">
        <f>SUM(AI77:AL77)</f>
        <v/>
      </c>
      <c r="AN77" s="403">
        <f>AN74-AN76</f>
        <v/>
      </c>
      <c r="AO77" s="403">
        <f>AO74-AO76</f>
        <v/>
      </c>
      <c r="AP77" s="403">
        <f>AP74-AP76</f>
        <v/>
      </c>
      <c r="AQ77" s="403">
        <f>AQ74-AQ76</f>
        <v/>
      </c>
      <c r="AR77" s="387">
        <f>SUM(AN77:AQ77)</f>
        <v/>
      </c>
    </row>
    <row r="78" ht="3" customHeight="1" s="290"/>
    <row r="79" ht="13.5" customHeight="1" s="290">
      <c r="A79" s="433" t="n"/>
      <c r="B79" s="434" t="inlineStr">
        <is>
          <t xml:space="preserve">  Effective Tax Rate  [Placeholder]</t>
        </is>
      </c>
      <c r="C79" s="435" t="inlineStr">
        <is>
          <t>%</t>
        </is>
      </c>
      <c r="D79" s="436" t="inlineStr">
        <is>
          <t>Blue input — enter effective tax rate (e.g., 0.27 for 27%)</t>
        </is>
      </c>
      <c r="E79" s="343" t="n">
        <v>0</v>
      </c>
      <c r="F79" s="343" t="n">
        <v>0</v>
      </c>
      <c r="G79" s="343" t="n">
        <v>0</v>
      </c>
      <c r="H79" s="343" t="n">
        <v>0</v>
      </c>
      <c r="I79" s="437">
        <f>SUM(E79:H79)</f>
        <v/>
      </c>
      <c r="J79" s="343" t="n">
        <v>0</v>
      </c>
      <c r="K79" s="343" t="n">
        <v>0</v>
      </c>
      <c r="L79" s="343" t="n">
        <v>0</v>
      </c>
      <c r="M79" s="343" t="n">
        <v>0</v>
      </c>
      <c r="N79" s="437">
        <f>SUM(J79:M79)</f>
        <v/>
      </c>
      <c r="O79" s="343" t="n">
        <v>0</v>
      </c>
      <c r="P79" s="343" t="n">
        <v>0</v>
      </c>
      <c r="Q79" s="343" t="n">
        <v>0</v>
      </c>
      <c r="R79" s="343" t="n">
        <v>0</v>
      </c>
      <c r="S79" s="437">
        <f>SUM(O79:R79)</f>
        <v/>
      </c>
      <c r="T79" s="343" t="n">
        <v>0</v>
      </c>
      <c r="U79" s="343" t="n">
        <v>0</v>
      </c>
      <c r="V79" s="343" t="n">
        <v>0</v>
      </c>
      <c r="W79" s="343" t="n">
        <v>0</v>
      </c>
      <c r="X79" s="437">
        <f>SUM(T79:W79)</f>
        <v/>
      </c>
      <c r="Y79" s="343" t="n">
        <v>0</v>
      </c>
      <c r="Z79" s="343" t="n">
        <v>0</v>
      </c>
      <c r="AA79" s="343" t="n">
        <v>0</v>
      </c>
      <c r="AB79" s="343" t="n">
        <v>0</v>
      </c>
      <c r="AC79" s="437">
        <f>SUM(Y79:AB79)</f>
        <v/>
      </c>
      <c r="AD79" s="343" t="n">
        <v>0</v>
      </c>
      <c r="AE79" s="343" t="n">
        <v>0</v>
      </c>
      <c r="AF79" s="343" t="n">
        <v>0</v>
      </c>
      <c r="AG79" s="343" t="n">
        <v>0</v>
      </c>
      <c r="AH79" s="437">
        <f>SUM(AD79:AG79)</f>
        <v/>
      </c>
      <c r="AI79" s="343" t="n">
        <v>0</v>
      </c>
      <c r="AJ79" s="343" t="n">
        <v>0</v>
      </c>
      <c r="AK79" s="343" t="n">
        <v>0</v>
      </c>
      <c r="AL79" s="343" t="n">
        <v>0</v>
      </c>
      <c r="AM79" s="437">
        <f>SUM(AI79:AL79)</f>
        <v/>
      </c>
      <c r="AN79" s="343" t="n">
        <v>0</v>
      </c>
      <c r="AO79" s="343" t="n">
        <v>0</v>
      </c>
      <c r="AP79" s="343" t="n">
        <v>0</v>
      </c>
      <c r="AQ79" s="343" t="n">
        <v>0</v>
      </c>
      <c r="AR79" s="437">
        <f>SUM(AN79:AQ79)</f>
        <v/>
      </c>
    </row>
    <row r="80" ht="13.5" customHeight="1" s="290">
      <c r="A80" s="395" t="n"/>
      <c r="B80" s="373" t="inlineStr">
        <is>
          <t xml:space="preserve">  Tax Provision</t>
        </is>
      </c>
      <c r="C80" s="374" t="inlineStr">
        <is>
          <t>$K</t>
        </is>
      </c>
      <c r="D80" s="396" t="inlineStr">
        <is>
          <t xml:space="preserve"> MAX(0, pre-tax income × Tax Rate)  [no tax benefit on losses])</t>
        </is>
      </c>
      <c r="E80" s="376">
        <f>MAX(0,E77*E79)</f>
        <v/>
      </c>
      <c r="F80" s="376">
        <f>MAX(0,F77*F79)</f>
        <v/>
      </c>
      <c r="G80" s="376">
        <f>MAX(0,G77*G79)</f>
        <v/>
      </c>
      <c r="H80" s="376">
        <f>MAX(0,H77*H79)</f>
        <v/>
      </c>
      <c r="I80" s="344">
        <f>SUM(E80:H80)</f>
        <v/>
      </c>
      <c r="J80" s="376">
        <f>MAX(0,J77*J79)</f>
        <v/>
      </c>
      <c r="K80" s="376">
        <f>MAX(0,K77*K79)</f>
        <v/>
      </c>
      <c r="L80" s="376">
        <f>MAX(0,L77*L79)</f>
        <v/>
      </c>
      <c r="M80" s="376">
        <f>MAX(0,M77*M79)</f>
        <v/>
      </c>
      <c r="N80" s="344">
        <f>SUM(J80:M80)</f>
        <v/>
      </c>
      <c r="O80" s="376">
        <f>MAX(0,O77*O79)</f>
        <v/>
      </c>
      <c r="P80" s="376">
        <f>MAX(0,P77*P79)</f>
        <v/>
      </c>
      <c r="Q80" s="376">
        <f>MAX(0,Q77*Q79)</f>
        <v/>
      </c>
      <c r="R80" s="376">
        <f>MAX(0,R77*R79)</f>
        <v/>
      </c>
      <c r="S80" s="344">
        <f>SUM(O80:R80)</f>
        <v/>
      </c>
      <c r="T80" s="376">
        <f>MAX(0,T77*T79)</f>
        <v/>
      </c>
      <c r="U80" s="376">
        <f>MAX(0,U77*U79)</f>
        <v/>
      </c>
      <c r="V80" s="376">
        <f>MAX(0,V77*V79)</f>
        <v/>
      </c>
      <c r="W80" s="376">
        <f>MAX(0,W77*W79)</f>
        <v/>
      </c>
      <c r="X80" s="344">
        <f>SUM(T80:W80)</f>
        <v/>
      </c>
      <c r="Y80" s="376">
        <f>MAX(0,Y77*Y79)</f>
        <v/>
      </c>
      <c r="Z80" s="376">
        <f>MAX(0,Z77*Z79)</f>
        <v/>
      </c>
      <c r="AA80" s="376">
        <f>MAX(0,AA77*AA79)</f>
        <v/>
      </c>
      <c r="AB80" s="376">
        <f>MAX(0,AB77*AB79)</f>
        <v/>
      </c>
      <c r="AC80" s="344">
        <f>SUM(Y80:AB80)</f>
        <v/>
      </c>
      <c r="AD80" s="376">
        <f>MAX(0,AD77*AD79)</f>
        <v/>
      </c>
      <c r="AE80" s="376">
        <f>MAX(0,AE77*AE79)</f>
        <v/>
      </c>
      <c r="AF80" s="376">
        <f>MAX(0,AF77*AF79)</f>
        <v/>
      </c>
      <c r="AG80" s="376">
        <f>MAX(0,AG77*AG79)</f>
        <v/>
      </c>
      <c r="AH80" s="344">
        <f>SUM(AD80:AG80)</f>
        <v/>
      </c>
      <c r="AI80" s="376">
        <f>MAX(0,AI77*AI79)</f>
        <v/>
      </c>
      <c r="AJ80" s="376">
        <f>MAX(0,AJ77*AJ79)</f>
        <v/>
      </c>
      <c r="AK80" s="376">
        <f>MAX(0,AK77*AK79)</f>
        <v/>
      </c>
      <c r="AL80" s="376">
        <f>MAX(0,AL77*AL79)</f>
        <v/>
      </c>
      <c r="AM80" s="344">
        <f>SUM(AI80:AL80)</f>
        <v/>
      </c>
      <c r="AN80" s="376">
        <f>MAX(0,AN77*AN79)</f>
        <v/>
      </c>
      <c r="AO80" s="376">
        <f>MAX(0,AO77*AO79)</f>
        <v/>
      </c>
      <c r="AP80" s="376">
        <f>MAX(0,AP77*AP79)</f>
        <v/>
      </c>
      <c r="AQ80" s="376">
        <f>MAX(0,AQ77*AQ79)</f>
        <v/>
      </c>
      <c r="AR80" s="344">
        <f>SUM(AN80:AQ80)</f>
        <v/>
      </c>
    </row>
    <row r="81" ht="3" customHeight="1" s="290"/>
    <row r="82" ht="18" customHeight="1" s="290">
      <c r="A82" s="332" t="n"/>
      <c r="B82" s="294" t="inlineStr">
        <is>
          <t xml:space="preserve">  ★  NET INCOME</t>
        </is>
      </c>
      <c r="C82" s="438" t="inlineStr">
        <is>
          <t>$K</t>
        </is>
      </c>
      <c r="D82" s="332" t="n"/>
      <c r="E82" s="362">
        <f>E77-E80</f>
        <v/>
      </c>
      <c r="F82" s="362">
        <f>F77-F80</f>
        <v/>
      </c>
      <c r="G82" s="362">
        <f>G77-G80</f>
        <v/>
      </c>
      <c r="H82" s="362">
        <f>H77-H80</f>
        <v/>
      </c>
      <c r="I82" s="362">
        <f>I77-I80</f>
        <v/>
      </c>
      <c r="J82" s="362">
        <f>J77-J80</f>
        <v/>
      </c>
      <c r="K82" s="362">
        <f>K77-K80</f>
        <v/>
      </c>
      <c r="L82" s="362">
        <f>L77-L80</f>
        <v/>
      </c>
      <c r="M82" s="362">
        <f>M77-M80</f>
        <v/>
      </c>
      <c r="N82" s="362">
        <f>N77-N80</f>
        <v/>
      </c>
      <c r="O82" s="362">
        <f>O77-O80</f>
        <v/>
      </c>
      <c r="P82" s="362">
        <f>P77-P80</f>
        <v/>
      </c>
      <c r="Q82" s="362">
        <f>Q77-Q80</f>
        <v/>
      </c>
      <c r="R82" s="362">
        <f>R77-R80</f>
        <v/>
      </c>
      <c r="S82" s="362">
        <f>S77-S80</f>
        <v/>
      </c>
      <c r="T82" s="362">
        <f>T77-T80</f>
        <v/>
      </c>
      <c r="U82" s="362">
        <f>U77-U80</f>
        <v/>
      </c>
      <c r="V82" s="362">
        <f>V77-V80</f>
        <v/>
      </c>
      <c r="W82" s="362">
        <f>W77-W80</f>
        <v/>
      </c>
      <c r="X82" s="362">
        <f>X77-X80</f>
        <v/>
      </c>
      <c r="Y82" s="362">
        <f>Y77-Y80</f>
        <v/>
      </c>
      <c r="Z82" s="362">
        <f>Z77-Z80</f>
        <v/>
      </c>
      <c r="AA82" s="362">
        <f>AA77-AA80</f>
        <v/>
      </c>
      <c r="AB82" s="362">
        <f>AB77-AB80</f>
        <v/>
      </c>
      <c r="AC82" s="362">
        <f>AC77-AC80</f>
        <v/>
      </c>
      <c r="AD82" s="362">
        <f>AD77-AD80</f>
        <v/>
      </c>
      <c r="AE82" s="362">
        <f>AE77-AE80</f>
        <v/>
      </c>
      <c r="AF82" s="362">
        <f>AF77-AF80</f>
        <v/>
      </c>
      <c r="AG82" s="362">
        <f>AG77-AG80</f>
        <v/>
      </c>
      <c r="AH82" s="362">
        <f>AH77-AH80</f>
        <v/>
      </c>
      <c r="AI82" s="362">
        <f>AI77-AI80</f>
        <v/>
      </c>
      <c r="AJ82" s="362">
        <f>AJ77-AJ80</f>
        <v/>
      </c>
      <c r="AK82" s="362">
        <f>AK77-AK80</f>
        <v/>
      </c>
      <c r="AL82" s="362">
        <f>AL77-AL80</f>
        <v/>
      </c>
      <c r="AM82" s="362">
        <f>AM77-AM80</f>
        <v/>
      </c>
      <c r="AN82" s="362">
        <f>AN77-AN80</f>
        <v/>
      </c>
      <c r="AO82" s="362">
        <f>AO77-AO80</f>
        <v/>
      </c>
      <c r="AP82" s="362">
        <f>AP77-AP80</f>
        <v/>
      </c>
      <c r="AQ82" s="362">
        <f>AQ77-AQ80</f>
        <v/>
      </c>
      <c r="AR82" s="362">
        <f>AR77-AR80</f>
        <v/>
      </c>
    </row>
    <row r="83" ht="15" customHeight="1" s="290">
      <c r="A83" s="339" t="n"/>
      <c r="B83" s="421" t="inlineStr">
        <is>
          <t xml:space="preserve">    Net Margin</t>
        </is>
      </c>
      <c r="C83" s="422" t="inlineStr">
        <is>
          <t>%</t>
        </is>
      </c>
      <c r="D83" s="375" t="n"/>
      <c r="E83" s="423">
        <f>IFERROR(E82/E11,0)</f>
        <v/>
      </c>
      <c r="F83" s="423">
        <f>IFERROR(F82/F11,0)</f>
        <v/>
      </c>
      <c r="G83" s="423">
        <f>IFERROR(G82/G11,0)</f>
        <v/>
      </c>
      <c r="H83" s="423">
        <f>IFERROR(H82/H11,0)</f>
        <v/>
      </c>
      <c r="I83" s="424">
        <f>IFERROR(I82/I11,0)</f>
        <v/>
      </c>
      <c r="J83" s="423">
        <f>IFERROR(J82/J11,0)</f>
        <v/>
      </c>
      <c r="K83" s="423">
        <f>IFERROR(K82/K11,0)</f>
        <v/>
      </c>
      <c r="L83" s="423">
        <f>IFERROR(L82/L11,0)</f>
        <v/>
      </c>
      <c r="M83" s="423">
        <f>IFERROR(M82/M11,0)</f>
        <v/>
      </c>
      <c r="N83" s="424">
        <f>IFERROR(N82/N11,0)</f>
        <v/>
      </c>
      <c r="O83" s="423">
        <f>IFERROR(O82/O11,0)</f>
        <v/>
      </c>
      <c r="P83" s="423">
        <f>IFERROR(P82/P11,0)</f>
        <v/>
      </c>
      <c r="Q83" s="423">
        <f>IFERROR(Q82/Q11,0)</f>
        <v/>
      </c>
      <c r="R83" s="423">
        <f>IFERROR(R82/R11,0)</f>
        <v/>
      </c>
      <c r="S83" s="424">
        <f>IFERROR(S82/S11,0)</f>
        <v/>
      </c>
      <c r="T83" s="423">
        <f>IFERROR(T82/T11,0)</f>
        <v/>
      </c>
      <c r="U83" s="423">
        <f>IFERROR(U82/U11,0)</f>
        <v/>
      </c>
      <c r="V83" s="423">
        <f>IFERROR(V82/V11,0)</f>
        <v/>
      </c>
      <c r="W83" s="423">
        <f>IFERROR(W82/W11,0)</f>
        <v/>
      </c>
      <c r="X83" s="424">
        <f>IFERROR(X82/X11,0)</f>
        <v/>
      </c>
      <c r="Y83" s="423">
        <f>IFERROR(Y82/Y11,0)</f>
        <v/>
      </c>
      <c r="Z83" s="423">
        <f>IFERROR(Z82/Z11,0)</f>
        <v/>
      </c>
      <c r="AA83" s="423">
        <f>IFERROR(AA82/AA11,0)</f>
        <v/>
      </c>
      <c r="AB83" s="423">
        <f>IFERROR(AB82/AB11,0)</f>
        <v/>
      </c>
      <c r="AC83" s="424">
        <f>IFERROR(AC82/AC11,0)</f>
        <v/>
      </c>
      <c r="AD83" s="423">
        <f>IFERROR(AD82/AD11,0)</f>
        <v/>
      </c>
      <c r="AE83" s="423">
        <f>IFERROR(AE82/AE11,0)</f>
        <v/>
      </c>
      <c r="AF83" s="423">
        <f>IFERROR(AF82/AF11,0)</f>
        <v/>
      </c>
      <c r="AG83" s="423">
        <f>IFERROR(AG82/AG11,0)</f>
        <v/>
      </c>
      <c r="AH83" s="424">
        <f>IFERROR(AH82/AH11,0)</f>
        <v/>
      </c>
      <c r="AI83" s="423">
        <f>IFERROR(AI82/AI11,0)</f>
        <v/>
      </c>
      <c r="AJ83" s="423">
        <f>IFERROR(AJ82/AJ11,0)</f>
        <v/>
      </c>
      <c r="AK83" s="423">
        <f>IFERROR(AK82/AK11,0)</f>
        <v/>
      </c>
      <c r="AL83" s="423">
        <f>IFERROR(AL82/AL11,0)</f>
        <v/>
      </c>
      <c r="AM83" s="424">
        <f>IFERROR(AM82/AM11,0)</f>
        <v/>
      </c>
      <c r="AN83" s="423">
        <f>IFERROR(AN82/AN11,0)</f>
        <v/>
      </c>
      <c r="AO83" s="423">
        <f>IFERROR(AO82/AO11,0)</f>
        <v/>
      </c>
      <c r="AP83" s="423">
        <f>IFERROR(AP82/AP11,0)</f>
        <v/>
      </c>
      <c r="AQ83" s="423">
        <f>IFERROR(AQ82/AQ11,0)</f>
        <v/>
      </c>
      <c r="AR83" s="424">
        <f>IFERROR(AR82/AR11,0)</f>
        <v/>
      </c>
    </row>
    <row r="84" ht="4.5" customHeight="1" s="290"/>
    <row r="85" ht="3" customHeight="1" s="290">
      <c r="A85" s="293" t="n"/>
    </row>
    <row r="86" ht="4.5" customHeight="1" s="290"/>
    <row r="87" ht="15.75" customHeight="1" s="290">
      <c r="A87" s="338" t="inlineStr">
        <is>
          <t xml:space="preserve">  SECTION F — ANNUAL SUMMARY  ★  [ Feeds Tab 01, Tab 09 Scenario, Tab 10 Dashboard ]</t>
        </is>
      </c>
    </row>
    <row r="88" ht="3.75" customHeight="1" s="290"/>
    <row r="89" ht="12.75" customHeight="1" s="290">
      <c r="A89" s="348" t="inlineStr">
        <is>
          <t xml:space="preserve">  Annual-only summary. All cells link directly to the corresponding annual column of the quarterly P&amp;L above. Tab 01 links to this section. Tab 09 and Tab 10 link here for scenario comparison and dashboard charts.</t>
        </is>
      </c>
    </row>
    <row r="90" ht="3.75" customHeight="1" s="290"/>
    <row r="91" ht="15.75" customHeight="1" s="290">
      <c r="A91" s="332" t="n"/>
      <c r="B91" s="367" t="inlineStr">
        <is>
          <t xml:space="preserve">  Metric</t>
        </is>
      </c>
      <c r="C91" s="358" t="inlineStr">
        <is>
          <t>Units</t>
        </is>
      </c>
      <c r="E91" s="332" t="n"/>
      <c r="F91" s="332" t="n"/>
      <c r="G91" s="332" t="n"/>
      <c r="H91" s="332" t="n"/>
      <c r="I91" s="439" t="inlineStr">
        <is>
          <t>2023A</t>
        </is>
      </c>
      <c r="J91" s="332" t="n"/>
      <c r="K91" s="332" t="n"/>
      <c r="L91" s="332" t="n"/>
      <c r="M91" s="332" t="n"/>
      <c r="N91" s="439" t="inlineStr">
        <is>
          <t>2024A</t>
        </is>
      </c>
      <c r="O91" s="332" t="n"/>
      <c r="P91" s="332" t="n"/>
      <c r="Q91" s="332" t="n"/>
      <c r="R91" s="332" t="n"/>
      <c r="S91" s="439" t="inlineStr">
        <is>
          <t>2025A</t>
        </is>
      </c>
      <c r="T91" s="332" t="n"/>
      <c r="U91" s="332" t="n"/>
      <c r="V91" s="332" t="n"/>
      <c r="W91" s="332" t="n"/>
      <c r="X91" s="358" t="inlineStr">
        <is>
          <t>2026E</t>
        </is>
      </c>
      <c r="Y91" s="332" t="n"/>
      <c r="Z91" s="332" t="n"/>
      <c r="AA91" s="332" t="n"/>
      <c r="AB91" s="332" t="n"/>
      <c r="AC91" s="358" t="inlineStr">
        <is>
          <t>2027E</t>
        </is>
      </c>
      <c r="AD91" s="332" t="n"/>
      <c r="AE91" s="332" t="n"/>
      <c r="AF91" s="332" t="n"/>
      <c r="AG91" s="332" t="n"/>
      <c r="AH91" s="358" t="inlineStr">
        <is>
          <t>2028E</t>
        </is>
      </c>
      <c r="AI91" s="332" t="n"/>
      <c r="AJ91" s="332" t="n"/>
      <c r="AK91" s="332" t="n"/>
      <c r="AL91" s="332" t="n"/>
      <c r="AM91" s="358" t="inlineStr">
        <is>
          <t>2029E</t>
        </is>
      </c>
      <c r="AN91" s="332" t="n"/>
      <c r="AO91" s="332" t="n"/>
      <c r="AP91" s="332" t="n"/>
      <c r="AQ91" s="332" t="n"/>
      <c r="AR91" s="358" t="inlineStr">
        <is>
          <t>2030E</t>
        </is>
      </c>
    </row>
    <row r="92" ht="3" customHeight="1" s="290"/>
    <row r="93" ht="13.5" customHeight="1" s="290">
      <c r="A93" s="339" t="n"/>
      <c r="B93" s="357" t="inlineStr">
        <is>
          <t xml:space="preserve">  Leasing GCI</t>
        </is>
      </c>
      <c r="C93" s="422" t="inlineStr">
        <is>
          <t>$K</t>
        </is>
      </c>
      <c r="D93" s="339" t="n"/>
      <c r="E93" s="368" t="inlineStr">
        <is>
          <t>—</t>
        </is>
      </c>
      <c r="F93" s="368" t="inlineStr">
        <is>
          <t>—</t>
        </is>
      </c>
      <c r="G93" s="368" t="inlineStr">
        <is>
          <t>—</t>
        </is>
      </c>
      <c r="H93" s="368" t="inlineStr">
        <is>
          <t>—</t>
        </is>
      </c>
      <c r="I93" s="440">
        <f>I7</f>
        <v/>
      </c>
      <c r="J93" s="368" t="inlineStr">
        <is>
          <t>—</t>
        </is>
      </c>
      <c r="K93" s="368" t="inlineStr">
        <is>
          <t>—</t>
        </is>
      </c>
      <c r="L93" s="368" t="inlineStr">
        <is>
          <t>—</t>
        </is>
      </c>
      <c r="M93" s="368" t="inlineStr">
        <is>
          <t>—</t>
        </is>
      </c>
      <c r="N93" s="440">
        <f>N7</f>
        <v/>
      </c>
      <c r="O93" s="368" t="inlineStr">
        <is>
          <t>—</t>
        </is>
      </c>
      <c r="P93" s="368" t="inlineStr">
        <is>
          <t>—</t>
        </is>
      </c>
      <c r="Q93" s="368" t="inlineStr">
        <is>
          <t>—</t>
        </is>
      </c>
      <c r="R93" s="368" t="inlineStr">
        <is>
          <t>—</t>
        </is>
      </c>
      <c r="S93" s="440">
        <f>S7</f>
        <v/>
      </c>
      <c r="T93" s="368" t="inlineStr">
        <is>
          <t>—</t>
        </is>
      </c>
      <c r="U93" s="368" t="inlineStr">
        <is>
          <t>—</t>
        </is>
      </c>
      <c r="V93" s="368" t="inlineStr">
        <is>
          <t>—</t>
        </is>
      </c>
      <c r="W93" s="368" t="inlineStr">
        <is>
          <t>—</t>
        </is>
      </c>
      <c r="X93" s="440">
        <f>X7</f>
        <v/>
      </c>
      <c r="Y93" s="368" t="inlineStr">
        <is>
          <t>—</t>
        </is>
      </c>
      <c r="Z93" s="368" t="inlineStr">
        <is>
          <t>—</t>
        </is>
      </c>
      <c r="AA93" s="368" t="inlineStr">
        <is>
          <t>—</t>
        </is>
      </c>
      <c r="AB93" s="368" t="inlineStr">
        <is>
          <t>—</t>
        </is>
      </c>
      <c r="AC93" s="440">
        <f>AC7</f>
        <v/>
      </c>
      <c r="AD93" s="368" t="inlineStr">
        <is>
          <t>—</t>
        </is>
      </c>
      <c r="AE93" s="368" t="inlineStr">
        <is>
          <t>—</t>
        </is>
      </c>
      <c r="AF93" s="368" t="inlineStr">
        <is>
          <t>—</t>
        </is>
      </c>
      <c r="AG93" s="368" t="inlineStr">
        <is>
          <t>—</t>
        </is>
      </c>
      <c r="AH93" s="440">
        <f>AH7</f>
        <v/>
      </c>
      <c r="AI93" s="368" t="inlineStr">
        <is>
          <t>—</t>
        </is>
      </c>
      <c r="AJ93" s="368" t="inlineStr">
        <is>
          <t>—</t>
        </is>
      </c>
      <c r="AK93" s="368" t="inlineStr">
        <is>
          <t>—</t>
        </is>
      </c>
      <c r="AL93" s="368" t="inlineStr">
        <is>
          <t>—</t>
        </is>
      </c>
      <c r="AM93" s="440">
        <f>AM7</f>
        <v/>
      </c>
      <c r="AN93" s="368" t="inlineStr">
        <is>
          <t>—</t>
        </is>
      </c>
      <c r="AO93" s="368" t="inlineStr">
        <is>
          <t>—</t>
        </is>
      </c>
      <c r="AP93" s="368" t="inlineStr">
        <is>
          <t>—</t>
        </is>
      </c>
      <c r="AQ93" s="368" t="inlineStr">
        <is>
          <t>—</t>
        </is>
      </c>
      <c r="AR93" s="440">
        <f>AR7</f>
        <v/>
      </c>
    </row>
    <row r="94" ht="13.5" customHeight="1" s="290">
      <c r="A94" s="339" t="n"/>
      <c r="B94" s="357" t="inlineStr">
        <is>
          <t xml:space="preserve">  Investment Sales GCI</t>
        </is>
      </c>
      <c r="C94" s="422" t="inlineStr">
        <is>
          <t>$K</t>
        </is>
      </c>
      <c r="D94" s="339" t="n"/>
      <c r="E94" s="368" t="inlineStr">
        <is>
          <t>—</t>
        </is>
      </c>
      <c r="F94" s="368" t="inlineStr">
        <is>
          <t>—</t>
        </is>
      </c>
      <c r="G94" s="368" t="inlineStr">
        <is>
          <t>—</t>
        </is>
      </c>
      <c r="H94" s="368" t="inlineStr">
        <is>
          <t>—</t>
        </is>
      </c>
      <c r="I94" s="440">
        <f>I8</f>
        <v/>
      </c>
      <c r="J94" s="368" t="inlineStr">
        <is>
          <t>—</t>
        </is>
      </c>
      <c r="K94" s="368" t="inlineStr">
        <is>
          <t>—</t>
        </is>
      </c>
      <c r="L94" s="368" t="inlineStr">
        <is>
          <t>—</t>
        </is>
      </c>
      <c r="M94" s="368" t="inlineStr">
        <is>
          <t>—</t>
        </is>
      </c>
      <c r="N94" s="440">
        <f>N8</f>
        <v/>
      </c>
      <c r="O94" s="368" t="inlineStr">
        <is>
          <t>—</t>
        </is>
      </c>
      <c r="P94" s="368" t="inlineStr">
        <is>
          <t>—</t>
        </is>
      </c>
      <c r="Q94" s="368" t="inlineStr">
        <is>
          <t>—</t>
        </is>
      </c>
      <c r="R94" s="368" t="inlineStr">
        <is>
          <t>—</t>
        </is>
      </c>
      <c r="S94" s="440">
        <f>S8</f>
        <v/>
      </c>
      <c r="T94" s="368" t="inlineStr">
        <is>
          <t>—</t>
        </is>
      </c>
      <c r="U94" s="368" t="inlineStr">
        <is>
          <t>—</t>
        </is>
      </c>
      <c r="V94" s="368" t="inlineStr">
        <is>
          <t>—</t>
        </is>
      </c>
      <c r="W94" s="368" t="inlineStr">
        <is>
          <t>—</t>
        </is>
      </c>
      <c r="X94" s="440">
        <f>X8</f>
        <v/>
      </c>
      <c r="Y94" s="368" t="inlineStr">
        <is>
          <t>—</t>
        </is>
      </c>
      <c r="Z94" s="368" t="inlineStr">
        <is>
          <t>—</t>
        </is>
      </c>
      <c r="AA94" s="368" t="inlineStr">
        <is>
          <t>—</t>
        </is>
      </c>
      <c r="AB94" s="368" t="inlineStr">
        <is>
          <t>—</t>
        </is>
      </c>
      <c r="AC94" s="440">
        <f>AC8</f>
        <v/>
      </c>
      <c r="AD94" s="368" t="inlineStr">
        <is>
          <t>—</t>
        </is>
      </c>
      <c r="AE94" s="368" t="inlineStr">
        <is>
          <t>—</t>
        </is>
      </c>
      <c r="AF94" s="368" t="inlineStr">
        <is>
          <t>—</t>
        </is>
      </c>
      <c r="AG94" s="368" t="inlineStr">
        <is>
          <t>—</t>
        </is>
      </c>
      <c r="AH94" s="440">
        <f>AH8</f>
        <v/>
      </c>
      <c r="AI94" s="368" t="inlineStr">
        <is>
          <t>—</t>
        </is>
      </c>
      <c r="AJ94" s="368" t="inlineStr">
        <is>
          <t>—</t>
        </is>
      </c>
      <c r="AK94" s="368" t="inlineStr">
        <is>
          <t>—</t>
        </is>
      </c>
      <c r="AL94" s="368" t="inlineStr">
        <is>
          <t>—</t>
        </is>
      </c>
      <c r="AM94" s="440">
        <f>AM8</f>
        <v/>
      </c>
      <c r="AN94" s="368" t="inlineStr">
        <is>
          <t>—</t>
        </is>
      </c>
      <c r="AO94" s="368" t="inlineStr">
        <is>
          <t>—</t>
        </is>
      </c>
      <c r="AP94" s="368" t="inlineStr">
        <is>
          <t>—</t>
        </is>
      </c>
      <c r="AQ94" s="368" t="inlineStr">
        <is>
          <t>—</t>
        </is>
      </c>
      <c r="AR94" s="440">
        <f>AR8</f>
        <v/>
      </c>
    </row>
    <row r="95" ht="13.5" customHeight="1" s="290">
      <c r="A95" s="339" t="n"/>
      <c r="B95" s="357" t="inlineStr">
        <is>
          <t xml:space="preserve">  D&amp;E GCI</t>
        </is>
      </c>
      <c r="C95" s="422" t="inlineStr">
        <is>
          <t>$K</t>
        </is>
      </c>
      <c r="D95" s="339" t="n"/>
      <c r="E95" s="368" t="inlineStr">
        <is>
          <t>—</t>
        </is>
      </c>
      <c r="F95" s="368" t="inlineStr">
        <is>
          <t>—</t>
        </is>
      </c>
      <c r="G95" s="368" t="inlineStr">
        <is>
          <t>—</t>
        </is>
      </c>
      <c r="H95" s="368" t="inlineStr">
        <is>
          <t>—</t>
        </is>
      </c>
      <c r="I95" s="440">
        <f>I9</f>
        <v/>
      </c>
      <c r="J95" s="368" t="inlineStr">
        <is>
          <t>—</t>
        </is>
      </c>
      <c r="K95" s="368" t="inlineStr">
        <is>
          <t>—</t>
        </is>
      </c>
      <c r="L95" s="368" t="inlineStr">
        <is>
          <t>—</t>
        </is>
      </c>
      <c r="M95" s="368" t="inlineStr">
        <is>
          <t>—</t>
        </is>
      </c>
      <c r="N95" s="440">
        <f>N9</f>
        <v/>
      </c>
      <c r="O95" s="368" t="inlineStr">
        <is>
          <t>—</t>
        </is>
      </c>
      <c r="P95" s="368" t="inlineStr">
        <is>
          <t>—</t>
        </is>
      </c>
      <c r="Q95" s="368" t="inlineStr">
        <is>
          <t>—</t>
        </is>
      </c>
      <c r="R95" s="368" t="inlineStr">
        <is>
          <t>—</t>
        </is>
      </c>
      <c r="S95" s="440">
        <f>S9</f>
        <v/>
      </c>
      <c r="T95" s="368" t="inlineStr">
        <is>
          <t>—</t>
        </is>
      </c>
      <c r="U95" s="368" t="inlineStr">
        <is>
          <t>—</t>
        </is>
      </c>
      <c r="V95" s="368" t="inlineStr">
        <is>
          <t>—</t>
        </is>
      </c>
      <c r="W95" s="368" t="inlineStr">
        <is>
          <t>—</t>
        </is>
      </c>
      <c r="X95" s="440">
        <f>X9</f>
        <v/>
      </c>
      <c r="Y95" s="368" t="inlineStr">
        <is>
          <t>—</t>
        </is>
      </c>
      <c r="Z95" s="368" t="inlineStr">
        <is>
          <t>—</t>
        </is>
      </c>
      <c r="AA95" s="368" t="inlineStr">
        <is>
          <t>—</t>
        </is>
      </c>
      <c r="AB95" s="368" t="inlineStr">
        <is>
          <t>—</t>
        </is>
      </c>
      <c r="AC95" s="440">
        <f>AC9</f>
        <v/>
      </c>
      <c r="AD95" s="368" t="inlineStr">
        <is>
          <t>—</t>
        </is>
      </c>
      <c r="AE95" s="368" t="inlineStr">
        <is>
          <t>—</t>
        </is>
      </c>
      <c r="AF95" s="368" t="inlineStr">
        <is>
          <t>—</t>
        </is>
      </c>
      <c r="AG95" s="368" t="inlineStr">
        <is>
          <t>—</t>
        </is>
      </c>
      <c r="AH95" s="440">
        <f>AH9</f>
        <v/>
      </c>
      <c r="AI95" s="368" t="inlineStr">
        <is>
          <t>—</t>
        </is>
      </c>
      <c r="AJ95" s="368" t="inlineStr">
        <is>
          <t>—</t>
        </is>
      </c>
      <c r="AK95" s="368" t="inlineStr">
        <is>
          <t>—</t>
        </is>
      </c>
      <c r="AL95" s="368" t="inlineStr">
        <is>
          <t>—</t>
        </is>
      </c>
      <c r="AM95" s="440">
        <f>AM9</f>
        <v/>
      </c>
      <c r="AN95" s="368" t="inlineStr">
        <is>
          <t>—</t>
        </is>
      </c>
      <c r="AO95" s="368" t="inlineStr">
        <is>
          <t>—</t>
        </is>
      </c>
      <c r="AP95" s="368" t="inlineStr">
        <is>
          <t>—</t>
        </is>
      </c>
      <c r="AQ95" s="368" t="inlineStr">
        <is>
          <t>—</t>
        </is>
      </c>
      <c r="AR95" s="440">
        <f>AR9</f>
        <v/>
      </c>
    </row>
    <row r="96" ht="13.5" customHeight="1" s="290">
      <c r="A96" s="339" t="n"/>
      <c r="B96" s="357" t="inlineStr">
        <is>
          <t xml:space="preserve">  Advisory Revenue</t>
        </is>
      </c>
      <c r="C96" s="422" t="inlineStr">
        <is>
          <t>$K</t>
        </is>
      </c>
      <c r="D96" s="339" t="n"/>
      <c r="E96" s="368" t="inlineStr">
        <is>
          <t>—</t>
        </is>
      </c>
      <c r="F96" s="368" t="inlineStr">
        <is>
          <t>—</t>
        </is>
      </c>
      <c r="G96" s="368" t="inlineStr">
        <is>
          <t>—</t>
        </is>
      </c>
      <c r="H96" s="368" t="inlineStr">
        <is>
          <t>—</t>
        </is>
      </c>
      <c r="I96" s="440">
        <f>I10</f>
        <v/>
      </c>
      <c r="J96" s="368" t="inlineStr">
        <is>
          <t>—</t>
        </is>
      </c>
      <c r="K96" s="368" t="inlineStr">
        <is>
          <t>—</t>
        </is>
      </c>
      <c r="L96" s="368" t="inlineStr">
        <is>
          <t>—</t>
        </is>
      </c>
      <c r="M96" s="368" t="inlineStr">
        <is>
          <t>—</t>
        </is>
      </c>
      <c r="N96" s="440">
        <f>N10</f>
        <v/>
      </c>
      <c r="O96" s="368" t="inlineStr">
        <is>
          <t>—</t>
        </is>
      </c>
      <c r="P96" s="368" t="inlineStr">
        <is>
          <t>—</t>
        </is>
      </c>
      <c r="Q96" s="368" t="inlineStr">
        <is>
          <t>—</t>
        </is>
      </c>
      <c r="R96" s="368" t="inlineStr">
        <is>
          <t>—</t>
        </is>
      </c>
      <c r="S96" s="440">
        <f>S10</f>
        <v/>
      </c>
      <c r="T96" s="368" t="inlineStr">
        <is>
          <t>—</t>
        </is>
      </c>
      <c r="U96" s="368" t="inlineStr">
        <is>
          <t>—</t>
        </is>
      </c>
      <c r="V96" s="368" t="inlineStr">
        <is>
          <t>—</t>
        </is>
      </c>
      <c r="W96" s="368" t="inlineStr">
        <is>
          <t>—</t>
        </is>
      </c>
      <c r="X96" s="440">
        <f>X10</f>
        <v/>
      </c>
      <c r="Y96" s="368" t="inlineStr">
        <is>
          <t>—</t>
        </is>
      </c>
      <c r="Z96" s="368" t="inlineStr">
        <is>
          <t>—</t>
        </is>
      </c>
      <c r="AA96" s="368" t="inlineStr">
        <is>
          <t>—</t>
        </is>
      </c>
      <c r="AB96" s="368" t="inlineStr">
        <is>
          <t>—</t>
        </is>
      </c>
      <c r="AC96" s="440">
        <f>AC10</f>
        <v/>
      </c>
      <c r="AD96" s="368" t="inlineStr">
        <is>
          <t>—</t>
        </is>
      </c>
      <c r="AE96" s="368" t="inlineStr">
        <is>
          <t>—</t>
        </is>
      </c>
      <c r="AF96" s="368" t="inlineStr">
        <is>
          <t>—</t>
        </is>
      </c>
      <c r="AG96" s="368" t="inlineStr">
        <is>
          <t>—</t>
        </is>
      </c>
      <c r="AH96" s="440">
        <f>AH10</f>
        <v/>
      </c>
      <c r="AI96" s="368" t="inlineStr">
        <is>
          <t>—</t>
        </is>
      </c>
      <c r="AJ96" s="368" t="inlineStr">
        <is>
          <t>—</t>
        </is>
      </c>
      <c r="AK96" s="368" t="inlineStr">
        <is>
          <t>—</t>
        </is>
      </c>
      <c r="AL96" s="368" t="inlineStr">
        <is>
          <t>—</t>
        </is>
      </c>
      <c r="AM96" s="440">
        <f>AM10</f>
        <v/>
      </c>
      <c r="AN96" s="368" t="inlineStr">
        <is>
          <t>—</t>
        </is>
      </c>
      <c r="AO96" s="368" t="inlineStr">
        <is>
          <t>—</t>
        </is>
      </c>
      <c r="AP96" s="368" t="inlineStr">
        <is>
          <t>—</t>
        </is>
      </c>
      <c r="AQ96" s="368" t="inlineStr">
        <is>
          <t>—</t>
        </is>
      </c>
      <c r="AR96" s="440">
        <f>AR10</f>
        <v/>
      </c>
    </row>
    <row r="97" ht="13.5" customHeight="1" s="290">
      <c r="A97" s="441" t="n"/>
      <c r="B97" s="385" t="inlineStr">
        <is>
          <t xml:space="preserve">  Total GCI</t>
        </is>
      </c>
      <c r="C97" s="386" t="inlineStr">
        <is>
          <t>$K</t>
        </is>
      </c>
      <c r="D97" s="441" t="n"/>
      <c r="E97" s="368" t="inlineStr">
        <is>
          <t>—</t>
        </is>
      </c>
      <c r="F97" s="368" t="inlineStr">
        <is>
          <t>—</t>
        </is>
      </c>
      <c r="G97" s="368" t="inlineStr">
        <is>
          <t>—</t>
        </is>
      </c>
      <c r="H97" s="368" t="inlineStr">
        <is>
          <t>—</t>
        </is>
      </c>
      <c r="I97" s="442">
        <f>I11</f>
        <v/>
      </c>
      <c r="J97" s="368" t="inlineStr">
        <is>
          <t>—</t>
        </is>
      </c>
      <c r="K97" s="368" t="inlineStr">
        <is>
          <t>—</t>
        </is>
      </c>
      <c r="L97" s="368" t="inlineStr">
        <is>
          <t>—</t>
        </is>
      </c>
      <c r="M97" s="368" t="inlineStr">
        <is>
          <t>—</t>
        </is>
      </c>
      <c r="N97" s="442">
        <f>N11</f>
        <v/>
      </c>
      <c r="O97" s="368" t="inlineStr">
        <is>
          <t>—</t>
        </is>
      </c>
      <c r="P97" s="368" t="inlineStr">
        <is>
          <t>—</t>
        </is>
      </c>
      <c r="Q97" s="368" t="inlineStr">
        <is>
          <t>—</t>
        </is>
      </c>
      <c r="R97" s="368" t="inlineStr">
        <is>
          <t>—</t>
        </is>
      </c>
      <c r="S97" s="442">
        <f>S11</f>
        <v/>
      </c>
      <c r="T97" s="368" t="inlineStr">
        <is>
          <t>—</t>
        </is>
      </c>
      <c r="U97" s="368" t="inlineStr">
        <is>
          <t>—</t>
        </is>
      </c>
      <c r="V97" s="368" t="inlineStr">
        <is>
          <t>—</t>
        </is>
      </c>
      <c r="W97" s="368" t="inlineStr">
        <is>
          <t>—</t>
        </is>
      </c>
      <c r="X97" s="442">
        <f>X11</f>
        <v/>
      </c>
      <c r="Y97" s="368" t="inlineStr">
        <is>
          <t>—</t>
        </is>
      </c>
      <c r="Z97" s="368" t="inlineStr">
        <is>
          <t>—</t>
        </is>
      </c>
      <c r="AA97" s="368" t="inlineStr">
        <is>
          <t>—</t>
        </is>
      </c>
      <c r="AB97" s="368" t="inlineStr">
        <is>
          <t>—</t>
        </is>
      </c>
      <c r="AC97" s="442">
        <f>AC11</f>
        <v/>
      </c>
      <c r="AD97" s="368" t="inlineStr">
        <is>
          <t>—</t>
        </is>
      </c>
      <c r="AE97" s="368" t="inlineStr">
        <is>
          <t>—</t>
        </is>
      </c>
      <c r="AF97" s="368" t="inlineStr">
        <is>
          <t>—</t>
        </is>
      </c>
      <c r="AG97" s="368" t="inlineStr">
        <is>
          <t>—</t>
        </is>
      </c>
      <c r="AH97" s="442">
        <f>AH11</f>
        <v/>
      </c>
      <c r="AI97" s="368" t="inlineStr">
        <is>
          <t>—</t>
        </is>
      </c>
      <c r="AJ97" s="368" t="inlineStr">
        <is>
          <t>—</t>
        </is>
      </c>
      <c r="AK97" s="368" t="inlineStr">
        <is>
          <t>—</t>
        </is>
      </c>
      <c r="AL97" s="368" t="inlineStr">
        <is>
          <t>—</t>
        </is>
      </c>
      <c r="AM97" s="442">
        <f>AM11</f>
        <v/>
      </c>
      <c r="AN97" s="368" t="inlineStr">
        <is>
          <t>—</t>
        </is>
      </c>
      <c r="AO97" s="368" t="inlineStr">
        <is>
          <t>—</t>
        </is>
      </c>
      <c r="AP97" s="368" t="inlineStr">
        <is>
          <t>—</t>
        </is>
      </c>
      <c r="AQ97" s="368" t="inlineStr">
        <is>
          <t>—</t>
        </is>
      </c>
      <c r="AR97" s="442">
        <f>AR11</f>
        <v/>
      </c>
    </row>
    <row r="98" ht="3" customHeight="1" s="290"/>
    <row r="99" ht="13.5" customHeight="1" s="290">
      <c r="A99" s="339" t="n"/>
      <c r="B99" s="357" t="inlineStr">
        <is>
          <t xml:space="preserve">  Total Producer Payouts</t>
        </is>
      </c>
      <c r="C99" s="422" t="inlineStr">
        <is>
          <t>$K</t>
        </is>
      </c>
      <c r="D99" s="339" t="n"/>
      <c r="E99" s="368" t="inlineStr">
        <is>
          <t>—</t>
        </is>
      </c>
      <c r="F99" s="368" t="inlineStr">
        <is>
          <t>—</t>
        </is>
      </c>
      <c r="G99" s="368" t="inlineStr">
        <is>
          <t>—</t>
        </is>
      </c>
      <c r="H99" s="368" t="inlineStr">
        <is>
          <t>—</t>
        </is>
      </c>
      <c r="I99" s="440">
        <f>I28</f>
        <v/>
      </c>
      <c r="J99" s="368" t="inlineStr">
        <is>
          <t>—</t>
        </is>
      </c>
      <c r="K99" s="368" t="inlineStr">
        <is>
          <t>—</t>
        </is>
      </c>
      <c r="L99" s="368" t="inlineStr">
        <is>
          <t>—</t>
        </is>
      </c>
      <c r="M99" s="368" t="inlineStr">
        <is>
          <t>—</t>
        </is>
      </c>
      <c r="N99" s="440">
        <f>N28</f>
        <v/>
      </c>
      <c r="O99" s="368" t="inlineStr">
        <is>
          <t>—</t>
        </is>
      </c>
      <c r="P99" s="368" t="inlineStr">
        <is>
          <t>—</t>
        </is>
      </c>
      <c r="Q99" s="368" t="inlineStr">
        <is>
          <t>—</t>
        </is>
      </c>
      <c r="R99" s="368" t="inlineStr">
        <is>
          <t>—</t>
        </is>
      </c>
      <c r="S99" s="440">
        <f>S28</f>
        <v/>
      </c>
      <c r="T99" s="368" t="inlineStr">
        <is>
          <t>—</t>
        </is>
      </c>
      <c r="U99" s="368" t="inlineStr">
        <is>
          <t>—</t>
        </is>
      </c>
      <c r="V99" s="368" t="inlineStr">
        <is>
          <t>—</t>
        </is>
      </c>
      <c r="W99" s="368" t="inlineStr">
        <is>
          <t>—</t>
        </is>
      </c>
      <c r="X99" s="440">
        <f>X28</f>
        <v/>
      </c>
      <c r="Y99" s="368" t="inlineStr">
        <is>
          <t>—</t>
        </is>
      </c>
      <c r="Z99" s="368" t="inlineStr">
        <is>
          <t>—</t>
        </is>
      </c>
      <c r="AA99" s="368" t="inlineStr">
        <is>
          <t>—</t>
        </is>
      </c>
      <c r="AB99" s="368" t="inlineStr">
        <is>
          <t>—</t>
        </is>
      </c>
      <c r="AC99" s="440">
        <f>AC28</f>
        <v/>
      </c>
      <c r="AD99" s="368" t="inlineStr">
        <is>
          <t>—</t>
        </is>
      </c>
      <c r="AE99" s="368" t="inlineStr">
        <is>
          <t>—</t>
        </is>
      </c>
      <c r="AF99" s="368" t="inlineStr">
        <is>
          <t>—</t>
        </is>
      </c>
      <c r="AG99" s="368" t="inlineStr">
        <is>
          <t>—</t>
        </is>
      </c>
      <c r="AH99" s="440">
        <f>AH28</f>
        <v/>
      </c>
      <c r="AI99" s="368" t="inlineStr">
        <is>
          <t>—</t>
        </is>
      </c>
      <c r="AJ99" s="368" t="inlineStr">
        <is>
          <t>—</t>
        </is>
      </c>
      <c r="AK99" s="368" t="inlineStr">
        <is>
          <t>—</t>
        </is>
      </c>
      <c r="AL99" s="368" t="inlineStr">
        <is>
          <t>—</t>
        </is>
      </c>
      <c r="AM99" s="440">
        <f>AM28</f>
        <v/>
      </c>
      <c r="AN99" s="368" t="inlineStr">
        <is>
          <t>—</t>
        </is>
      </c>
      <c r="AO99" s="368" t="inlineStr">
        <is>
          <t>—</t>
        </is>
      </c>
      <c r="AP99" s="368" t="inlineStr">
        <is>
          <t>—</t>
        </is>
      </c>
      <c r="AQ99" s="368" t="inlineStr">
        <is>
          <t>—</t>
        </is>
      </c>
      <c r="AR99" s="440">
        <f>AR28</f>
        <v/>
      </c>
    </row>
    <row r="100" ht="13.5" customHeight="1" s="290">
      <c r="A100" s="425" t="n"/>
      <c r="B100" s="443" t="inlineStr">
        <is>
          <t xml:space="preserve">  Company Dollar</t>
        </is>
      </c>
      <c r="C100" s="444" t="inlineStr">
        <is>
          <t>$K</t>
        </is>
      </c>
      <c r="D100" s="425" t="n"/>
      <c r="E100" s="445" t="inlineStr">
        <is>
          <t>—</t>
        </is>
      </c>
      <c r="F100" s="445" t="inlineStr">
        <is>
          <t>—</t>
        </is>
      </c>
      <c r="G100" s="445" t="inlineStr">
        <is>
          <t>—</t>
        </is>
      </c>
      <c r="H100" s="445" t="inlineStr">
        <is>
          <t>—</t>
        </is>
      </c>
      <c r="I100" s="428">
        <f>I32</f>
        <v/>
      </c>
      <c r="J100" s="445" t="inlineStr">
        <is>
          <t>—</t>
        </is>
      </c>
      <c r="K100" s="445" t="inlineStr">
        <is>
          <t>—</t>
        </is>
      </c>
      <c r="L100" s="445" t="inlineStr">
        <is>
          <t>—</t>
        </is>
      </c>
      <c r="M100" s="445" t="inlineStr">
        <is>
          <t>—</t>
        </is>
      </c>
      <c r="N100" s="428">
        <f>N32</f>
        <v/>
      </c>
      <c r="O100" s="445" t="inlineStr">
        <is>
          <t>—</t>
        </is>
      </c>
      <c r="P100" s="445" t="inlineStr">
        <is>
          <t>—</t>
        </is>
      </c>
      <c r="Q100" s="445" t="inlineStr">
        <is>
          <t>—</t>
        </is>
      </c>
      <c r="R100" s="445" t="inlineStr">
        <is>
          <t>—</t>
        </is>
      </c>
      <c r="S100" s="428">
        <f>S32</f>
        <v/>
      </c>
      <c r="T100" s="445" t="inlineStr">
        <is>
          <t>—</t>
        </is>
      </c>
      <c r="U100" s="445" t="inlineStr">
        <is>
          <t>—</t>
        </is>
      </c>
      <c r="V100" s="445" t="inlineStr">
        <is>
          <t>—</t>
        </is>
      </c>
      <c r="W100" s="445" t="inlineStr">
        <is>
          <t>—</t>
        </is>
      </c>
      <c r="X100" s="428">
        <f>X32</f>
        <v/>
      </c>
      <c r="Y100" s="445" t="inlineStr">
        <is>
          <t>—</t>
        </is>
      </c>
      <c r="Z100" s="445" t="inlineStr">
        <is>
          <t>—</t>
        </is>
      </c>
      <c r="AA100" s="445" t="inlineStr">
        <is>
          <t>—</t>
        </is>
      </c>
      <c r="AB100" s="445" t="inlineStr">
        <is>
          <t>—</t>
        </is>
      </c>
      <c r="AC100" s="428">
        <f>AC32</f>
        <v/>
      </c>
      <c r="AD100" s="445" t="inlineStr">
        <is>
          <t>—</t>
        </is>
      </c>
      <c r="AE100" s="445" t="inlineStr">
        <is>
          <t>—</t>
        </is>
      </c>
      <c r="AF100" s="445" t="inlineStr">
        <is>
          <t>—</t>
        </is>
      </c>
      <c r="AG100" s="445" t="inlineStr">
        <is>
          <t>—</t>
        </is>
      </c>
      <c r="AH100" s="428">
        <f>AH32</f>
        <v/>
      </c>
      <c r="AI100" s="445" t="inlineStr">
        <is>
          <t>—</t>
        </is>
      </c>
      <c r="AJ100" s="445" t="inlineStr">
        <is>
          <t>—</t>
        </is>
      </c>
      <c r="AK100" s="445" t="inlineStr">
        <is>
          <t>—</t>
        </is>
      </c>
      <c r="AL100" s="445" t="inlineStr">
        <is>
          <t>—</t>
        </is>
      </c>
      <c r="AM100" s="428">
        <f>AM32</f>
        <v/>
      </c>
      <c r="AN100" s="445" t="inlineStr">
        <is>
          <t>—</t>
        </is>
      </c>
      <c r="AO100" s="445" t="inlineStr">
        <is>
          <t>—</t>
        </is>
      </c>
      <c r="AP100" s="445" t="inlineStr">
        <is>
          <t>—</t>
        </is>
      </c>
      <c r="AQ100" s="445" t="inlineStr">
        <is>
          <t>—</t>
        </is>
      </c>
      <c r="AR100" s="428">
        <f>AR32</f>
        <v/>
      </c>
    </row>
    <row r="101" ht="13.5" customHeight="1" s="290">
      <c r="A101" s="339" t="n"/>
      <c r="B101" s="357" t="inlineStr">
        <is>
          <t xml:space="preserve">  Company Dollar Margin %</t>
        </is>
      </c>
      <c r="C101" s="422" t="inlineStr">
        <is>
          <t>%</t>
        </is>
      </c>
      <c r="D101" s="339" t="n"/>
      <c r="E101" s="368" t="inlineStr">
        <is>
          <t>—</t>
        </is>
      </c>
      <c r="F101" s="368" t="inlineStr">
        <is>
          <t>—</t>
        </is>
      </c>
      <c r="G101" s="368" t="inlineStr">
        <is>
          <t>—</t>
        </is>
      </c>
      <c r="H101" s="368" t="inlineStr">
        <is>
          <t>—</t>
        </is>
      </c>
      <c r="I101" s="440">
        <f>I33</f>
        <v/>
      </c>
      <c r="J101" s="368" t="inlineStr">
        <is>
          <t>—</t>
        </is>
      </c>
      <c r="K101" s="368" t="inlineStr">
        <is>
          <t>—</t>
        </is>
      </c>
      <c r="L101" s="368" t="inlineStr">
        <is>
          <t>—</t>
        </is>
      </c>
      <c r="M101" s="368" t="inlineStr">
        <is>
          <t>—</t>
        </is>
      </c>
      <c r="N101" s="440">
        <f>N33</f>
        <v/>
      </c>
      <c r="O101" s="368" t="inlineStr">
        <is>
          <t>—</t>
        </is>
      </c>
      <c r="P101" s="368" t="inlineStr">
        <is>
          <t>—</t>
        </is>
      </c>
      <c r="Q101" s="368" t="inlineStr">
        <is>
          <t>—</t>
        </is>
      </c>
      <c r="R101" s="368" t="inlineStr">
        <is>
          <t>—</t>
        </is>
      </c>
      <c r="S101" s="440">
        <f>S33</f>
        <v/>
      </c>
      <c r="T101" s="368" t="inlineStr">
        <is>
          <t>—</t>
        </is>
      </c>
      <c r="U101" s="368" t="inlineStr">
        <is>
          <t>—</t>
        </is>
      </c>
      <c r="V101" s="368" t="inlineStr">
        <is>
          <t>—</t>
        </is>
      </c>
      <c r="W101" s="368" t="inlineStr">
        <is>
          <t>—</t>
        </is>
      </c>
      <c r="X101" s="440">
        <f>X33</f>
        <v/>
      </c>
      <c r="Y101" s="368" t="inlineStr">
        <is>
          <t>—</t>
        </is>
      </c>
      <c r="Z101" s="368" t="inlineStr">
        <is>
          <t>—</t>
        </is>
      </c>
      <c r="AA101" s="368" t="inlineStr">
        <is>
          <t>—</t>
        </is>
      </c>
      <c r="AB101" s="368" t="inlineStr">
        <is>
          <t>—</t>
        </is>
      </c>
      <c r="AC101" s="440">
        <f>AC33</f>
        <v/>
      </c>
      <c r="AD101" s="368" t="inlineStr">
        <is>
          <t>—</t>
        </is>
      </c>
      <c r="AE101" s="368" t="inlineStr">
        <is>
          <t>—</t>
        </is>
      </c>
      <c r="AF101" s="368" t="inlineStr">
        <is>
          <t>—</t>
        </is>
      </c>
      <c r="AG101" s="368" t="inlineStr">
        <is>
          <t>—</t>
        </is>
      </c>
      <c r="AH101" s="440">
        <f>AH33</f>
        <v/>
      </c>
      <c r="AI101" s="368" t="inlineStr">
        <is>
          <t>—</t>
        </is>
      </c>
      <c r="AJ101" s="368" t="inlineStr">
        <is>
          <t>—</t>
        </is>
      </c>
      <c r="AK101" s="368" t="inlineStr">
        <is>
          <t>—</t>
        </is>
      </c>
      <c r="AL101" s="368" t="inlineStr">
        <is>
          <t>—</t>
        </is>
      </c>
      <c r="AM101" s="440">
        <f>AM33</f>
        <v/>
      </c>
      <c r="AN101" s="368" t="inlineStr">
        <is>
          <t>—</t>
        </is>
      </c>
      <c r="AO101" s="368" t="inlineStr">
        <is>
          <t>—</t>
        </is>
      </c>
      <c r="AP101" s="368" t="inlineStr">
        <is>
          <t>—</t>
        </is>
      </c>
      <c r="AQ101" s="368" t="inlineStr">
        <is>
          <t>—</t>
        </is>
      </c>
      <c r="AR101" s="440">
        <f>AR33</f>
        <v/>
      </c>
    </row>
    <row r="102" ht="3" customHeight="1" s="290"/>
    <row r="103" ht="13.5" customHeight="1" s="290">
      <c r="A103" s="339" t="n"/>
      <c r="B103" s="357" t="inlineStr">
        <is>
          <t xml:space="preserve">  Total Operating Expenses</t>
        </is>
      </c>
      <c r="C103" s="422" t="inlineStr">
        <is>
          <t>$K</t>
        </is>
      </c>
      <c r="D103" s="339" t="n"/>
      <c r="E103" s="368" t="inlineStr">
        <is>
          <t>—</t>
        </is>
      </c>
      <c r="F103" s="368" t="inlineStr">
        <is>
          <t>—</t>
        </is>
      </c>
      <c r="G103" s="368" t="inlineStr">
        <is>
          <t>—</t>
        </is>
      </c>
      <c r="H103" s="368" t="inlineStr">
        <is>
          <t>—</t>
        </is>
      </c>
      <c r="I103" s="440">
        <f>I52</f>
        <v/>
      </c>
      <c r="J103" s="368" t="inlineStr">
        <is>
          <t>—</t>
        </is>
      </c>
      <c r="K103" s="368" t="inlineStr">
        <is>
          <t>—</t>
        </is>
      </c>
      <c r="L103" s="368" t="inlineStr">
        <is>
          <t>—</t>
        </is>
      </c>
      <c r="M103" s="368" t="inlineStr">
        <is>
          <t>—</t>
        </is>
      </c>
      <c r="N103" s="440">
        <f>N52</f>
        <v/>
      </c>
      <c r="O103" s="368" t="inlineStr">
        <is>
          <t>—</t>
        </is>
      </c>
      <c r="P103" s="368" t="inlineStr">
        <is>
          <t>—</t>
        </is>
      </c>
      <c r="Q103" s="368" t="inlineStr">
        <is>
          <t>—</t>
        </is>
      </c>
      <c r="R103" s="368" t="inlineStr">
        <is>
          <t>—</t>
        </is>
      </c>
      <c r="S103" s="440">
        <f>S52</f>
        <v/>
      </c>
      <c r="T103" s="368" t="inlineStr">
        <is>
          <t>—</t>
        </is>
      </c>
      <c r="U103" s="368" t="inlineStr">
        <is>
          <t>—</t>
        </is>
      </c>
      <c r="V103" s="368" t="inlineStr">
        <is>
          <t>—</t>
        </is>
      </c>
      <c r="W103" s="368" t="inlineStr">
        <is>
          <t>—</t>
        </is>
      </c>
      <c r="X103" s="440">
        <f>X52</f>
        <v/>
      </c>
      <c r="Y103" s="368" t="inlineStr">
        <is>
          <t>—</t>
        </is>
      </c>
      <c r="Z103" s="368" t="inlineStr">
        <is>
          <t>—</t>
        </is>
      </c>
      <c r="AA103" s="368" t="inlineStr">
        <is>
          <t>—</t>
        </is>
      </c>
      <c r="AB103" s="368" t="inlineStr">
        <is>
          <t>—</t>
        </is>
      </c>
      <c r="AC103" s="440">
        <f>AC52</f>
        <v/>
      </c>
      <c r="AD103" s="368" t="inlineStr">
        <is>
          <t>—</t>
        </is>
      </c>
      <c r="AE103" s="368" t="inlineStr">
        <is>
          <t>—</t>
        </is>
      </c>
      <c r="AF103" s="368" t="inlineStr">
        <is>
          <t>—</t>
        </is>
      </c>
      <c r="AG103" s="368" t="inlineStr">
        <is>
          <t>—</t>
        </is>
      </c>
      <c r="AH103" s="440">
        <f>AH52</f>
        <v/>
      </c>
      <c r="AI103" s="368" t="inlineStr">
        <is>
          <t>—</t>
        </is>
      </c>
      <c r="AJ103" s="368" t="inlineStr">
        <is>
          <t>—</t>
        </is>
      </c>
      <c r="AK103" s="368" t="inlineStr">
        <is>
          <t>—</t>
        </is>
      </c>
      <c r="AL103" s="368" t="inlineStr">
        <is>
          <t>—</t>
        </is>
      </c>
      <c r="AM103" s="440">
        <f>AM52</f>
        <v/>
      </c>
      <c r="AN103" s="368" t="inlineStr">
        <is>
          <t>—</t>
        </is>
      </c>
      <c r="AO103" s="368" t="inlineStr">
        <is>
          <t>—</t>
        </is>
      </c>
      <c r="AP103" s="368" t="inlineStr">
        <is>
          <t>—</t>
        </is>
      </c>
      <c r="AQ103" s="368" t="inlineStr">
        <is>
          <t>—</t>
        </is>
      </c>
      <c r="AR103" s="440">
        <f>AR52</f>
        <v/>
      </c>
    </row>
    <row r="104" ht="13.5" customHeight="1" s="290">
      <c r="A104" s="429" t="n"/>
      <c r="B104" s="446" t="inlineStr">
        <is>
          <t xml:space="preserve">  EBITDA</t>
        </is>
      </c>
      <c r="C104" s="447" t="inlineStr">
        <is>
          <t>$K</t>
        </is>
      </c>
      <c r="D104" s="429" t="n"/>
      <c r="E104" s="445" t="inlineStr">
        <is>
          <t>—</t>
        </is>
      </c>
      <c r="F104" s="445" t="inlineStr">
        <is>
          <t>—</t>
        </is>
      </c>
      <c r="G104" s="445" t="inlineStr">
        <is>
          <t>—</t>
        </is>
      </c>
      <c r="H104" s="445" t="inlineStr">
        <is>
          <t>—</t>
        </is>
      </c>
      <c r="I104" s="432">
        <f>I59</f>
        <v/>
      </c>
      <c r="J104" s="445" t="inlineStr">
        <is>
          <t>—</t>
        </is>
      </c>
      <c r="K104" s="445" t="inlineStr">
        <is>
          <t>—</t>
        </is>
      </c>
      <c r="L104" s="445" t="inlineStr">
        <is>
          <t>—</t>
        </is>
      </c>
      <c r="M104" s="445" t="inlineStr">
        <is>
          <t>—</t>
        </is>
      </c>
      <c r="N104" s="432">
        <f>N59</f>
        <v/>
      </c>
      <c r="O104" s="445" t="inlineStr">
        <is>
          <t>—</t>
        </is>
      </c>
      <c r="P104" s="445" t="inlineStr">
        <is>
          <t>—</t>
        </is>
      </c>
      <c r="Q104" s="445" t="inlineStr">
        <is>
          <t>—</t>
        </is>
      </c>
      <c r="R104" s="445" t="inlineStr">
        <is>
          <t>—</t>
        </is>
      </c>
      <c r="S104" s="432">
        <f>S59</f>
        <v/>
      </c>
      <c r="T104" s="445" t="inlineStr">
        <is>
          <t>—</t>
        </is>
      </c>
      <c r="U104" s="445" t="inlineStr">
        <is>
          <t>—</t>
        </is>
      </c>
      <c r="V104" s="445" t="inlineStr">
        <is>
          <t>—</t>
        </is>
      </c>
      <c r="W104" s="445" t="inlineStr">
        <is>
          <t>—</t>
        </is>
      </c>
      <c r="X104" s="432">
        <f>X59</f>
        <v/>
      </c>
      <c r="Y104" s="445" t="inlineStr">
        <is>
          <t>—</t>
        </is>
      </c>
      <c r="Z104" s="445" t="inlineStr">
        <is>
          <t>—</t>
        </is>
      </c>
      <c r="AA104" s="445" t="inlineStr">
        <is>
          <t>—</t>
        </is>
      </c>
      <c r="AB104" s="445" t="inlineStr">
        <is>
          <t>—</t>
        </is>
      </c>
      <c r="AC104" s="432">
        <f>AC59</f>
        <v/>
      </c>
      <c r="AD104" s="445" t="inlineStr">
        <is>
          <t>—</t>
        </is>
      </c>
      <c r="AE104" s="445" t="inlineStr">
        <is>
          <t>—</t>
        </is>
      </c>
      <c r="AF104" s="445" t="inlineStr">
        <is>
          <t>—</t>
        </is>
      </c>
      <c r="AG104" s="445" t="inlineStr">
        <is>
          <t>—</t>
        </is>
      </c>
      <c r="AH104" s="432">
        <f>AH59</f>
        <v/>
      </c>
      <c r="AI104" s="445" t="inlineStr">
        <is>
          <t>—</t>
        </is>
      </c>
      <c r="AJ104" s="445" t="inlineStr">
        <is>
          <t>—</t>
        </is>
      </c>
      <c r="AK104" s="445" t="inlineStr">
        <is>
          <t>—</t>
        </is>
      </c>
      <c r="AL104" s="445" t="inlineStr">
        <is>
          <t>—</t>
        </is>
      </c>
      <c r="AM104" s="432">
        <f>AM59</f>
        <v/>
      </c>
      <c r="AN104" s="445" t="inlineStr">
        <is>
          <t>—</t>
        </is>
      </c>
      <c r="AO104" s="445" t="inlineStr">
        <is>
          <t>—</t>
        </is>
      </c>
      <c r="AP104" s="445" t="inlineStr">
        <is>
          <t>—</t>
        </is>
      </c>
      <c r="AQ104" s="445" t="inlineStr">
        <is>
          <t>—</t>
        </is>
      </c>
      <c r="AR104" s="432">
        <f>AR59</f>
        <v/>
      </c>
    </row>
    <row r="105" ht="13.5" customHeight="1" s="290">
      <c r="A105" s="339" t="n"/>
      <c r="B105" s="357" t="inlineStr">
        <is>
          <t xml:space="preserve">  EBITDA Margin %</t>
        </is>
      </c>
      <c r="C105" s="422" t="inlineStr">
        <is>
          <t>%</t>
        </is>
      </c>
      <c r="D105" s="339" t="n"/>
      <c r="E105" s="368" t="inlineStr">
        <is>
          <t>—</t>
        </is>
      </c>
      <c r="F105" s="368" t="inlineStr">
        <is>
          <t>—</t>
        </is>
      </c>
      <c r="G105" s="368" t="inlineStr">
        <is>
          <t>—</t>
        </is>
      </c>
      <c r="H105" s="368" t="inlineStr">
        <is>
          <t>—</t>
        </is>
      </c>
      <c r="I105" s="440">
        <f>I61</f>
        <v/>
      </c>
      <c r="J105" s="368" t="inlineStr">
        <is>
          <t>—</t>
        </is>
      </c>
      <c r="K105" s="368" t="inlineStr">
        <is>
          <t>—</t>
        </is>
      </c>
      <c r="L105" s="368" t="inlineStr">
        <is>
          <t>—</t>
        </is>
      </c>
      <c r="M105" s="368" t="inlineStr">
        <is>
          <t>—</t>
        </is>
      </c>
      <c r="N105" s="440">
        <f>N61</f>
        <v/>
      </c>
      <c r="O105" s="368" t="inlineStr">
        <is>
          <t>—</t>
        </is>
      </c>
      <c r="P105" s="368" t="inlineStr">
        <is>
          <t>—</t>
        </is>
      </c>
      <c r="Q105" s="368" t="inlineStr">
        <is>
          <t>—</t>
        </is>
      </c>
      <c r="R105" s="368" t="inlineStr">
        <is>
          <t>—</t>
        </is>
      </c>
      <c r="S105" s="440">
        <f>S61</f>
        <v/>
      </c>
      <c r="T105" s="368" t="inlineStr">
        <is>
          <t>—</t>
        </is>
      </c>
      <c r="U105" s="368" t="inlineStr">
        <is>
          <t>—</t>
        </is>
      </c>
      <c r="V105" s="368" t="inlineStr">
        <is>
          <t>—</t>
        </is>
      </c>
      <c r="W105" s="368" t="inlineStr">
        <is>
          <t>—</t>
        </is>
      </c>
      <c r="X105" s="440">
        <f>X61</f>
        <v/>
      </c>
      <c r="Y105" s="368" t="inlineStr">
        <is>
          <t>—</t>
        </is>
      </c>
      <c r="Z105" s="368" t="inlineStr">
        <is>
          <t>—</t>
        </is>
      </c>
      <c r="AA105" s="368" t="inlineStr">
        <is>
          <t>—</t>
        </is>
      </c>
      <c r="AB105" s="368" t="inlineStr">
        <is>
          <t>—</t>
        </is>
      </c>
      <c r="AC105" s="440">
        <f>AC61</f>
        <v/>
      </c>
      <c r="AD105" s="368" t="inlineStr">
        <is>
          <t>—</t>
        </is>
      </c>
      <c r="AE105" s="368" t="inlineStr">
        <is>
          <t>—</t>
        </is>
      </c>
      <c r="AF105" s="368" t="inlineStr">
        <is>
          <t>—</t>
        </is>
      </c>
      <c r="AG105" s="368" t="inlineStr">
        <is>
          <t>—</t>
        </is>
      </c>
      <c r="AH105" s="440">
        <f>AH61</f>
        <v/>
      </c>
      <c r="AI105" s="368" t="inlineStr">
        <is>
          <t>—</t>
        </is>
      </c>
      <c r="AJ105" s="368" t="inlineStr">
        <is>
          <t>—</t>
        </is>
      </c>
      <c r="AK105" s="368" t="inlineStr">
        <is>
          <t>—</t>
        </is>
      </c>
      <c r="AL105" s="368" t="inlineStr">
        <is>
          <t>—</t>
        </is>
      </c>
      <c r="AM105" s="440">
        <f>AM61</f>
        <v/>
      </c>
      <c r="AN105" s="368" t="inlineStr">
        <is>
          <t>—</t>
        </is>
      </c>
      <c r="AO105" s="368" t="inlineStr">
        <is>
          <t>—</t>
        </is>
      </c>
      <c r="AP105" s="368" t="inlineStr">
        <is>
          <t>—</t>
        </is>
      </c>
      <c r="AQ105" s="368" t="inlineStr">
        <is>
          <t>—</t>
        </is>
      </c>
      <c r="AR105" s="440">
        <f>AR61</f>
        <v/>
      </c>
    </row>
    <row r="106" ht="3" customHeight="1" s="290"/>
    <row r="107" ht="13.5" customHeight="1" s="290">
      <c r="A107" s="339" t="n"/>
      <c r="B107" s="357" t="inlineStr">
        <is>
          <t xml:space="preserve">  D&amp;A</t>
        </is>
      </c>
      <c r="C107" s="422" t="inlineStr">
        <is>
          <t>$K</t>
        </is>
      </c>
      <c r="D107" s="339" t="n"/>
      <c r="E107" s="368" t="inlineStr">
        <is>
          <t>—</t>
        </is>
      </c>
      <c r="F107" s="368" t="inlineStr">
        <is>
          <t>—</t>
        </is>
      </c>
      <c r="G107" s="368" t="inlineStr">
        <is>
          <t>—</t>
        </is>
      </c>
      <c r="H107" s="368" t="inlineStr">
        <is>
          <t>—</t>
        </is>
      </c>
      <c r="I107" s="440">
        <f>I73</f>
        <v/>
      </c>
      <c r="J107" s="368" t="inlineStr">
        <is>
          <t>—</t>
        </is>
      </c>
      <c r="K107" s="368" t="inlineStr">
        <is>
          <t>—</t>
        </is>
      </c>
      <c r="L107" s="368" t="inlineStr">
        <is>
          <t>—</t>
        </is>
      </c>
      <c r="M107" s="368" t="inlineStr">
        <is>
          <t>—</t>
        </is>
      </c>
      <c r="N107" s="440">
        <f>N73</f>
        <v/>
      </c>
      <c r="O107" s="368" t="inlineStr">
        <is>
          <t>—</t>
        </is>
      </c>
      <c r="P107" s="368" t="inlineStr">
        <is>
          <t>—</t>
        </is>
      </c>
      <c r="Q107" s="368" t="inlineStr">
        <is>
          <t>—</t>
        </is>
      </c>
      <c r="R107" s="368" t="inlineStr">
        <is>
          <t>—</t>
        </is>
      </c>
      <c r="S107" s="440">
        <f>S73</f>
        <v/>
      </c>
      <c r="T107" s="368" t="inlineStr">
        <is>
          <t>—</t>
        </is>
      </c>
      <c r="U107" s="368" t="inlineStr">
        <is>
          <t>—</t>
        </is>
      </c>
      <c r="V107" s="368" t="inlineStr">
        <is>
          <t>—</t>
        </is>
      </c>
      <c r="W107" s="368" t="inlineStr">
        <is>
          <t>—</t>
        </is>
      </c>
      <c r="X107" s="440">
        <f>X73</f>
        <v/>
      </c>
      <c r="Y107" s="368" t="inlineStr">
        <is>
          <t>—</t>
        </is>
      </c>
      <c r="Z107" s="368" t="inlineStr">
        <is>
          <t>—</t>
        </is>
      </c>
      <c r="AA107" s="368" t="inlineStr">
        <is>
          <t>—</t>
        </is>
      </c>
      <c r="AB107" s="368" t="inlineStr">
        <is>
          <t>—</t>
        </is>
      </c>
      <c r="AC107" s="440">
        <f>AC73</f>
        <v/>
      </c>
      <c r="AD107" s="368" t="inlineStr">
        <is>
          <t>—</t>
        </is>
      </c>
      <c r="AE107" s="368" t="inlineStr">
        <is>
          <t>—</t>
        </is>
      </c>
      <c r="AF107" s="368" t="inlineStr">
        <is>
          <t>—</t>
        </is>
      </c>
      <c r="AG107" s="368" t="inlineStr">
        <is>
          <t>—</t>
        </is>
      </c>
      <c r="AH107" s="440">
        <f>AH73</f>
        <v/>
      </c>
      <c r="AI107" s="368" t="inlineStr">
        <is>
          <t>—</t>
        </is>
      </c>
      <c r="AJ107" s="368" t="inlineStr">
        <is>
          <t>—</t>
        </is>
      </c>
      <c r="AK107" s="368" t="inlineStr">
        <is>
          <t>—</t>
        </is>
      </c>
      <c r="AL107" s="368" t="inlineStr">
        <is>
          <t>—</t>
        </is>
      </c>
      <c r="AM107" s="440">
        <f>AM73</f>
        <v/>
      </c>
      <c r="AN107" s="368" t="inlineStr">
        <is>
          <t>—</t>
        </is>
      </c>
      <c r="AO107" s="368" t="inlineStr">
        <is>
          <t>—</t>
        </is>
      </c>
      <c r="AP107" s="368" t="inlineStr">
        <is>
          <t>—</t>
        </is>
      </c>
      <c r="AQ107" s="368" t="inlineStr">
        <is>
          <t>—</t>
        </is>
      </c>
      <c r="AR107" s="440">
        <f>AR73</f>
        <v/>
      </c>
    </row>
    <row r="108" ht="13.5" customHeight="1" s="290">
      <c r="A108" s="441" t="n"/>
      <c r="B108" s="385" t="inlineStr">
        <is>
          <t xml:space="preserve">  EBIT</t>
        </is>
      </c>
      <c r="C108" s="386" t="inlineStr">
        <is>
          <t>$K</t>
        </is>
      </c>
      <c r="D108" s="441" t="n"/>
      <c r="E108" s="368" t="inlineStr">
        <is>
          <t>—</t>
        </is>
      </c>
      <c r="F108" s="368" t="inlineStr">
        <is>
          <t>—</t>
        </is>
      </c>
      <c r="G108" s="368" t="inlineStr">
        <is>
          <t>—</t>
        </is>
      </c>
      <c r="H108" s="368" t="inlineStr">
        <is>
          <t>—</t>
        </is>
      </c>
      <c r="I108" s="442">
        <f>I74</f>
        <v/>
      </c>
      <c r="J108" s="368" t="inlineStr">
        <is>
          <t>—</t>
        </is>
      </c>
      <c r="K108" s="368" t="inlineStr">
        <is>
          <t>—</t>
        </is>
      </c>
      <c r="L108" s="368" t="inlineStr">
        <is>
          <t>—</t>
        </is>
      </c>
      <c r="M108" s="368" t="inlineStr">
        <is>
          <t>—</t>
        </is>
      </c>
      <c r="N108" s="442">
        <f>N74</f>
        <v/>
      </c>
      <c r="O108" s="368" t="inlineStr">
        <is>
          <t>—</t>
        </is>
      </c>
      <c r="P108" s="368" t="inlineStr">
        <is>
          <t>—</t>
        </is>
      </c>
      <c r="Q108" s="368" t="inlineStr">
        <is>
          <t>—</t>
        </is>
      </c>
      <c r="R108" s="368" t="inlineStr">
        <is>
          <t>—</t>
        </is>
      </c>
      <c r="S108" s="442">
        <f>S74</f>
        <v/>
      </c>
      <c r="T108" s="368" t="inlineStr">
        <is>
          <t>—</t>
        </is>
      </c>
      <c r="U108" s="368" t="inlineStr">
        <is>
          <t>—</t>
        </is>
      </c>
      <c r="V108" s="368" t="inlineStr">
        <is>
          <t>—</t>
        </is>
      </c>
      <c r="W108" s="368" t="inlineStr">
        <is>
          <t>—</t>
        </is>
      </c>
      <c r="X108" s="442">
        <f>X74</f>
        <v/>
      </c>
      <c r="Y108" s="368" t="inlineStr">
        <is>
          <t>—</t>
        </is>
      </c>
      <c r="Z108" s="368" t="inlineStr">
        <is>
          <t>—</t>
        </is>
      </c>
      <c r="AA108" s="368" t="inlineStr">
        <is>
          <t>—</t>
        </is>
      </c>
      <c r="AB108" s="368" t="inlineStr">
        <is>
          <t>—</t>
        </is>
      </c>
      <c r="AC108" s="442">
        <f>AC74</f>
        <v/>
      </c>
      <c r="AD108" s="368" t="inlineStr">
        <is>
          <t>—</t>
        </is>
      </c>
      <c r="AE108" s="368" t="inlineStr">
        <is>
          <t>—</t>
        </is>
      </c>
      <c r="AF108" s="368" t="inlineStr">
        <is>
          <t>—</t>
        </is>
      </c>
      <c r="AG108" s="368" t="inlineStr">
        <is>
          <t>—</t>
        </is>
      </c>
      <c r="AH108" s="442">
        <f>AH74</f>
        <v/>
      </c>
      <c r="AI108" s="368" t="inlineStr">
        <is>
          <t>—</t>
        </is>
      </c>
      <c r="AJ108" s="368" t="inlineStr">
        <is>
          <t>—</t>
        </is>
      </c>
      <c r="AK108" s="368" t="inlineStr">
        <is>
          <t>—</t>
        </is>
      </c>
      <c r="AL108" s="368" t="inlineStr">
        <is>
          <t>—</t>
        </is>
      </c>
      <c r="AM108" s="442">
        <f>AM74</f>
        <v/>
      </c>
      <c r="AN108" s="368" t="inlineStr">
        <is>
          <t>—</t>
        </is>
      </c>
      <c r="AO108" s="368" t="inlineStr">
        <is>
          <t>—</t>
        </is>
      </c>
      <c r="AP108" s="368" t="inlineStr">
        <is>
          <t>—</t>
        </is>
      </c>
      <c r="AQ108" s="368" t="inlineStr">
        <is>
          <t>—</t>
        </is>
      </c>
      <c r="AR108" s="442">
        <f>AR74</f>
        <v/>
      </c>
    </row>
    <row r="109" ht="13.5" customHeight="1" s="290">
      <c r="A109" s="332" t="n"/>
      <c r="B109" s="307" t="inlineStr">
        <is>
          <t xml:space="preserve">  Net Income</t>
        </is>
      </c>
      <c r="C109" s="448" t="inlineStr">
        <is>
          <t>$K</t>
        </is>
      </c>
      <c r="D109" s="332" t="n"/>
      <c r="E109" s="445" t="inlineStr">
        <is>
          <t>—</t>
        </is>
      </c>
      <c r="F109" s="445" t="inlineStr">
        <is>
          <t>—</t>
        </is>
      </c>
      <c r="G109" s="445" t="inlineStr">
        <is>
          <t>—</t>
        </is>
      </c>
      <c r="H109" s="445" t="inlineStr">
        <is>
          <t>—</t>
        </is>
      </c>
      <c r="I109" s="362">
        <f>I82</f>
        <v/>
      </c>
      <c r="J109" s="445" t="inlineStr">
        <is>
          <t>—</t>
        </is>
      </c>
      <c r="K109" s="445" t="inlineStr">
        <is>
          <t>—</t>
        </is>
      </c>
      <c r="L109" s="445" t="inlineStr">
        <is>
          <t>—</t>
        </is>
      </c>
      <c r="M109" s="445" t="inlineStr">
        <is>
          <t>—</t>
        </is>
      </c>
      <c r="N109" s="362">
        <f>N82</f>
        <v/>
      </c>
      <c r="O109" s="445" t="inlineStr">
        <is>
          <t>—</t>
        </is>
      </c>
      <c r="P109" s="445" t="inlineStr">
        <is>
          <t>—</t>
        </is>
      </c>
      <c r="Q109" s="445" t="inlineStr">
        <is>
          <t>—</t>
        </is>
      </c>
      <c r="R109" s="445" t="inlineStr">
        <is>
          <t>—</t>
        </is>
      </c>
      <c r="S109" s="362">
        <f>S82</f>
        <v/>
      </c>
      <c r="T109" s="445" t="inlineStr">
        <is>
          <t>—</t>
        </is>
      </c>
      <c r="U109" s="445" t="inlineStr">
        <is>
          <t>—</t>
        </is>
      </c>
      <c r="V109" s="445" t="inlineStr">
        <is>
          <t>—</t>
        </is>
      </c>
      <c r="W109" s="445" t="inlineStr">
        <is>
          <t>—</t>
        </is>
      </c>
      <c r="X109" s="362">
        <f>X82</f>
        <v/>
      </c>
      <c r="Y109" s="445" t="inlineStr">
        <is>
          <t>—</t>
        </is>
      </c>
      <c r="Z109" s="445" t="inlineStr">
        <is>
          <t>—</t>
        </is>
      </c>
      <c r="AA109" s="445" t="inlineStr">
        <is>
          <t>—</t>
        </is>
      </c>
      <c r="AB109" s="445" t="inlineStr">
        <is>
          <t>—</t>
        </is>
      </c>
      <c r="AC109" s="362">
        <f>AC82</f>
        <v/>
      </c>
      <c r="AD109" s="445" t="inlineStr">
        <is>
          <t>—</t>
        </is>
      </c>
      <c r="AE109" s="445" t="inlineStr">
        <is>
          <t>—</t>
        </is>
      </c>
      <c r="AF109" s="445" t="inlineStr">
        <is>
          <t>—</t>
        </is>
      </c>
      <c r="AG109" s="445" t="inlineStr">
        <is>
          <t>—</t>
        </is>
      </c>
      <c r="AH109" s="362">
        <f>AH82</f>
        <v/>
      </c>
      <c r="AI109" s="445" t="inlineStr">
        <is>
          <t>—</t>
        </is>
      </c>
      <c r="AJ109" s="445" t="inlineStr">
        <is>
          <t>—</t>
        </is>
      </c>
      <c r="AK109" s="445" t="inlineStr">
        <is>
          <t>—</t>
        </is>
      </c>
      <c r="AL109" s="445" t="inlineStr">
        <is>
          <t>—</t>
        </is>
      </c>
      <c r="AM109" s="362">
        <f>AM82</f>
        <v/>
      </c>
      <c r="AN109" s="445" t="inlineStr">
        <is>
          <t>—</t>
        </is>
      </c>
      <c r="AO109" s="445" t="inlineStr">
        <is>
          <t>—</t>
        </is>
      </c>
      <c r="AP109" s="445" t="inlineStr">
        <is>
          <t>—</t>
        </is>
      </c>
      <c r="AQ109" s="445" t="inlineStr">
        <is>
          <t>—</t>
        </is>
      </c>
      <c r="AR109" s="362">
        <f>AR82</f>
        <v/>
      </c>
    </row>
    <row r="110" ht="13.5" customHeight="1" s="290">
      <c r="A110" s="339" t="n"/>
      <c r="B110" s="357" t="inlineStr">
        <is>
          <t xml:space="preserve">  Net Margin</t>
        </is>
      </c>
      <c r="C110" s="422" t="inlineStr">
        <is>
          <t>%</t>
        </is>
      </c>
      <c r="D110" s="339" t="n"/>
      <c r="E110" s="368" t="inlineStr">
        <is>
          <t>—</t>
        </is>
      </c>
      <c r="F110" s="368" t="inlineStr">
        <is>
          <t>—</t>
        </is>
      </c>
      <c r="G110" s="368" t="inlineStr">
        <is>
          <t>—</t>
        </is>
      </c>
      <c r="H110" s="368" t="inlineStr">
        <is>
          <t>—</t>
        </is>
      </c>
      <c r="I110" s="440">
        <f>I83</f>
        <v/>
      </c>
      <c r="J110" s="368" t="inlineStr">
        <is>
          <t>—</t>
        </is>
      </c>
      <c r="K110" s="368" t="inlineStr">
        <is>
          <t>—</t>
        </is>
      </c>
      <c r="L110" s="368" t="inlineStr">
        <is>
          <t>—</t>
        </is>
      </c>
      <c r="M110" s="368" t="inlineStr">
        <is>
          <t>—</t>
        </is>
      </c>
      <c r="N110" s="440">
        <f>N83</f>
        <v/>
      </c>
      <c r="O110" s="368" t="inlineStr">
        <is>
          <t>—</t>
        </is>
      </c>
      <c r="P110" s="368" t="inlineStr">
        <is>
          <t>—</t>
        </is>
      </c>
      <c r="Q110" s="368" t="inlineStr">
        <is>
          <t>—</t>
        </is>
      </c>
      <c r="R110" s="368" t="inlineStr">
        <is>
          <t>—</t>
        </is>
      </c>
      <c r="S110" s="440">
        <f>S83</f>
        <v/>
      </c>
      <c r="T110" s="368" t="inlineStr">
        <is>
          <t>—</t>
        </is>
      </c>
      <c r="U110" s="368" t="inlineStr">
        <is>
          <t>—</t>
        </is>
      </c>
      <c r="V110" s="368" t="inlineStr">
        <is>
          <t>—</t>
        </is>
      </c>
      <c r="W110" s="368" t="inlineStr">
        <is>
          <t>—</t>
        </is>
      </c>
      <c r="X110" s="440">
        <f>X83</f>
        <v/>
      </c>
      <c r="Y110" s="368" t="inlineStr">
        <is>
          <t>—</t>
        </is>
      </c>
      <c r="Z110" s="368" t="inlineStr">
        <is>
          <t>—</t>
        </is>
      </c>
      <c r="AA110" s="368" t="inlineStr">
        <is>
          <t>—</t>
        </is>
      </c>
      <c r="AB110" s="368" t="inlineStr">
        <is>
          <t>—</t>
        </is>
      </c>
      <c r="AC110" s="440">
        <f>AC83</f>
        <v/>
      </c>
      <c r="AD110" s="368" t="inlineStr">
        <is>
          <t>—</t>
        </is>
      </c>
      <c r="AE110" s="368" t="inlineStr">
        <is>
          <t>—</t>
        </is>
      </c>
      <c r="AF110" s="368" t="inlineStr">
        <is>
          <t>—</t>
        </is>
      </c>
      <c r="AG110" s="368" t="inlineStr">
        <is>
          <t>—</t>
        </is>
      </c>
      <c r="AH110" s="440">
        <f>AH83</f>
        <v/>
      </c>
      <c r="AI110" s="368" t="inlineStr">
        <is>
          <t>—</t>
        </is>
      </c>
      <c r="AJ110" s="368" t="inlineStr">
        <is>
          <t>—</t>
        </is>
      </c>
      <c r="AK110" s="368" t="inlineStr">
        <is>
          <t>—</t>
        </is>
      </c>
      <c r="AL110" s="368" t="inlineStr">
        <is>
          <t>—</t>
        </is>
      </c>
      <c r="AM110" s="440">
        <f>AM83</f>
        <v/>
      </c>
      <c r="AN110" s="368" t="inlineStr">
        <is>
          <t>—</t>
        </is>
      </c>
      <c r="AO110" s="368" t="inlineStr">
        <is>
          <t>—</t>
        </is>
      </c>
      <c r="AP110" s="368" t="inlineStr">
        <is>
          <t>—</t>
        </is>
      </c>
      <c r="AQ110" s="368" t="inlineStr">
        <is>
          <t>—</t>
        </is>
      </c>
      <c r="AR110" s="440">
        <f>AR83</f>
        <v/>
      </c>
    </row>
    <row r="111" ht="4.5" customHeight="1" s="290"/>
    <row r="112" ht="3" customHeight="1" s="290">
      <c r="A112" s="293" t="n"/>
    </row>
    <row r="113" ht="4.5" customHeight="1" s="290"/>
    <row r="114" ht="15.75" customHeight="1" s="290">
      <c r="A114" s="338" t="inlineStr">
        <is>
          <t xml:space="preserve">  SECTION G — P&amp;L CHECKS  [ Results feed Tab 11 — Checks ]</t>
        </is>
      </c>
    </row>
    <row r="115" ht="3.75" customHeight="1" s="290"/>
    <row r="116" ht="12.75" customHeight="1" s="290">
      <c r="A116" s="348" t="inlineStr">
        <is>
          <t xml:space="preserve">  All checks run on annual columns. Arithmetic checks verify internal consistency. Cross-tab checks verify that P&amp;L rows match their source tab values exactly.</t>
        </is>
      </c>
    </row>
    <row r="117" ht="3.75" customHeight="1" s="290"/>
    <row r="118" ht="15" customHeight="1" s="290">
      <c r="B118" s="358" t="inlineStr">
        <is>
          <t>Check Description</t>
        </is>
      </c>
      <c r="D118" s="358" t="inlineStr">
        <is>
          <t>Logic / Source</t>
        </is>
      </c>
      <c r="I118" s="358" t="inlineStr">
        <is>
          <t>2023A</t>
        </is>
      </c>
      <c r="N118" s="358" t="inlineStr">
        <is>
          <t>2024A</t>
        </is>
      </c>
      <c r="S118" s="358" t="inlineStr">
        <is>
          <t>2025A</t>
        </is>
      </c>
      <c r="X118" s="358" t="inlineStr">
        <is>
          <t>2026E</t>
        </is>
      </c>
      <c r="AC118" s="358" t="inlineStr">
        <is>
          <t>2027E</t>
        </is>
      </c>
      <c r="AH118" s="358" t="inlineStr">
        <is>
          <t>2028E</t>
        </is>
      </c>
      <c r="AM118" s="358" t="inlineStr">
        <is>
          <t>2029E</t>
        </is>
      </c>
      <c r="AR118" s="358" t="inlineStr">
        <is>
          <t>2030E</t>
        </is>
      </c>
    </row>
    <row r="119" ht="3" customHeight="1" s="290"/>
    <row r="120" ht="13.5" customHeight="1" s="290">
      <c r="A120" s="359" t="n"/>
      <c r="B120" s="353" t="inlineStr">
        <is>
          <t xml:space="preserve">  ✔  Total GCI ties to Tab 05 row 195</t>
        </is>
      </c>
      <c r="D120" s="354" t="inlineStr">
        <is>
          <t>P&amp;L row 11 vs Tab 05 row 195</t>
        </is>
      </c>
      <c r="E120" s="368" t="inlineStr">
        <is>
          <t>—</t>
        </is>
      </c>
      <c r="F120" s="368" t="inlineStr">
        <is>
          <t>—</t>
        </is>
      </c>
      <c r="G120" s="368" t="inlineStr">
        <is>
          <t>—</t>
        </is>
      </c>
      <c r="H120" s="368" t="inlineStr">
        <is>
          <t>—</t>
        </is>
      </c>
      <c r="I120" s="356">
        <f>IF(ABS(I11-'05 Revenue Engine'!I195)&lt;0.01,"PASS","FAIL — GCI MISMATCH")</f>
        <v/>
      </c>
      <c r="J120" s="368" t="inlineStr">
        <is>
          <t>—</t>
        </is>
      </c>
      <c r="K120" s="368" t="inlineStr">
        <is>
          <t>—</t>
        </is>
      </c>
      <c r="L120" s="368" t="inlineStr">
        <is>
          <t>—</t>
        </is>
      </c>
      <c r="M120" s="368" t="inlineStr">
        <is>
          <t>—</t>
        </is>
      </c>
      <c r="N120" s="356">
        <f>IF(ABS(N11-'05 Revenue Engine'!N195)&lt;0.01,"PASS","FAIL — GCI MISMATCH")</f>
        <v/>
      </c>
      <c r="O120" s="368" t="inlineStr">
        <is>
          <t>—</t>
        </is>
      </c>
      <c r="P120" s="368" t="inlineStr">
        <is>
          <t>—</t>
        </is>
      </c>
      <c r="Q120" s="368" t="inlineStr">
        <is>
          <t>—</t>
        </is>
      </c>
      <c r="R120" s="368" t="inlineStr">
        <is>
          <t>—</t>
        </is>
      </c>
      <c r="S120" s="356">
        <f>IF(ABS(S11-'05 Revenue Engine'!S195)&lt;0.01,"PASS","FAIL — GCI MISMATCH")</f>
        <v/>
      </c>
      <c r="T120" s="368" t="inlineStr">
        <is>
          <t>—</t>
        </is>
      </c>
      <c r="U120" s="368" t="inlineStr">
        <is>
          <t>—</t>
        </is>
      </c>
      <c r="V120" s="368" t="inlineStr">
        <is>
          <t>—</t>
        </is>
      </c>
      <c r="W120" s="368" t="inlineStr">
        <is>
          <t>—</t>
        </is>
      </c>
      <c r="X120" s="356">
        <f>IF(ABS(X11-'05 Revenue Engine'!X195)&lt;0.01,"PASS","FAIL — GCI MISMATCH")</f>
        <v/>
      </c>
      <c r="Y120" s="368" t="inlineStr">
        <is>
          <t>—</t>
        </is>
      </c>
      <c r="Z120" s="368" t="inlineStr">
        <is>
          <t>—</t>
        </is>
      </c>
      <c r="AA120" s="368" t="inlineStr">
        <is>
          <t>—</t>
        </is>
      </c>
      <c r="AB120" s="368" t="inlineStr">
        <is>
          <t>—</t>
        </is>
      </c>
      <c r="AC120" s="356">
        <f>IF(ABS(AC11-'05 Revenue Engine'!AC195)&lt;0.01,"PASS","FAIL — GCI MISMATCH")</f>
        <v/>
      </c>
      <c r="AD120" s="368" t="inlineStr">
        <is>
          <t>—</t>
        </is>
      </c>
      <c r="AE120" s="368" t="inlineStr">
        <is>
          <t>—</t>
        </is>
      </c>
      <c r="AF120" s="368" t="inlineStr">
        <is>
          <t>—</t>
        </is>
      </c>
      <c r="AG120" s="368" t="inlineStr">
        <is>
          <t>—</t>
        </is>
      </c>
      <c r="AH120" s="356">
        <f>IF(ABS(AH11-'05 Revenue Engine'!AH195)&lt;0.01,"PASS","FAIL — GCI MISMATCH")</f>
        <v/>
      </c>
      <c r="AI120" s="368" t="inlineStr">
        <is>
          <t>—</t>
        </is>
      </c>
      <c r="AJ120" s="368" t="inlineStr">
        <is>
          <t>—</t>
        </is>
      </c>
      <c r="AK120" s="368" t="inlineStr">
        <is>
          <t>—</t>
        </is>
      </c>
      <c r="AL120" s="368" t="inlineStr">
        <is>
          <t>—</t>
        </is>
      </c>
      <c r="AM120" s="356">
        <f>IF(ABS(AM11-'05 Revenue Engine'!AM195)&lt;0.01,"PASS","FAIL — GCI MISMATCH")</f>
        <v/>
      </c>
      <c r="AN120" s="368" t="inlineStr">
        <is>
          <t>—</t>
        </is>
      </c>
      <c r="AO120" s="368" t="inlineStr">
        <is>
          <t>—</t>
        </is>
      </c>
      <c r="AP120" s="368" t="inlineStr">
        <is>
          <t>—</t>
        </is>
      </c>
      <c r="AQ120" s="368" t="inlineStr">
        <is>
          <t>—</t>
        </is>
      </c>
      <c r="AR120" s="356">
        <f>IF(ABS(AR11-'05 Revenue Engine'!AR195)&lt;0.01,"PASS","FAIL — GCI MISMATCH")</f>
        <v/>
      </c>
    </row>
    <row r="121" ht="13.5" customHeight="1" s="290">
      <c r="A121" s="359" t="n"/>
      <c r="B121" s="353" t="inlineStr">
        <is>
          <t xml:space="preserve">  ✔  Total Producer Payouts tie to Tab 06 row 205</t>
        </is>
      </c>
      <c r="D121" s="354" t="inlineStr">
        <is>
          <t>P&amp;L row 28 vs Tab 06 row 205</t>
        </is>
      </c>
      <c r="E121" s="368" t="inlineStr">
        <is>
          <t>—</t>
        </is>
      </c>
      <c r="F121" s="368" t="inlineStr">
        <is>
          <t>—</t>
        </is>
      </c>
      <c r="G121" s="368" t="inlineStr">
        <is>
          <t>—</t>
        </is>
      </c>
      <c r="H121" s="368" t="inlineStr">
        <is>
          <t>—</t>
        </is>
      </c>
      <c r="I121" s="356">
        <f>IF(ABS(I28-'06 Compensation Engine'!I205)&lt;0.01,"PASS","FAIL — PAYOUT MISMATCH")</f>
        <v/>
      </c>
      <c r="J121" s="368" t="inlineStr">
        <is>
          <t>—</t>
        </is>
      </c>
      <c r="K121" s="368" t="inlineStr">
        <is>
          <t>—</t>
        </is>
      </c>
      <c r="L121" s="368" t="inlineStr">
        <is>
          <t>—</t>
        </is>
      </c>
      <c r="M121" s="368" t="inlineStr">
        <is>
          <t>—</t>
        </is>
      </c>
      <c r="N121" s="356">
        <f>IF(ABS(N28-'06 Compensation Engine'!N205)&lt;0.01,"PASS","FAIL — PAYOUT MISMATCH")</f>
        <v/>
      </c>
      <c r="O121" s="368" t="inlineStr">
        <is>
          <t>—</t>
        </is>
      </c>
      <c r="P121" s="368" t="inlineStr">
        <is>
          <t>—</t>
        </is>
      </c>
      <c r="Q121" s="368" t="inlineStr">
        <is>
          <t>—</t>
        </is>
      </c>
      <c r="R121" s="368" t="inlineStr">
        <is>
          <t>—</t>
        </is>
      </c>
      <c r="S121" s="356">
        <f>IF(ABS(S28-'06 Compensation Engine'!S205)&lt;0.01,"PASS","FAIL — PAYOUT MISMATCH")</f>
        <v/>
      </c>
      <c r="T121" s="368" t="inlineStr">
        <is>
          <t>—</t>
        </is>
      </c>
      <c r="U121" s="368" t="inlineStr">
        <is>
          <t>—</t>
        </is>
      </c>
      <c r="V121" s="368" t="inlineStr">
        <is>
          <t>—</t>
        </is>
      </c>
      <c r="W121" s="368" t="inlineStr">
        <is>
          <t>—</t>
        </is>
      </c>
      <c r="X121" s="356">
        <f>IF(ABS(X28-'06 Compensation Engine'!X205)&lt;0.01,"PASS","FAIL — PAYOUT MISMATCH")</f>
        <v/>
      </c>
      <c r="Y121" s="368" t="inlineStr">
        <is>
          <t>—</t>
        </is>
      </c>
      <c r="Z121" s="368" t="inlineStr">
        <is>
          <t>—</t>
        </is>
      </c>
      <c r="AA121" s="368" t="inlineStr">
        <is>
          <t>—</t>
        </is>
      </c>
      <c r="AB121" s="368" t="inlineStr">
        <is>
          <t>—</t>
        </is>
      </c>
      <c r="AC121" s="356">
        <f>IF(ABS(AC28-'06 Compensation Engine'!AC205)&lt;0.01,"PASS","FAIL — PAYOUT MISMATCH")</f>
        <v/>
      </c>
      <c r="AD121" s="368" t="inlineStr">
        <is>
          <t>—</t>
        </is>
      </c>
      <c r="AE121" s="368" t="inlineStr">
        <is>
          <t>—</t>
        </is>
      </c>
      <c r="AF121" s="368" t="inlineStr">
        <is>
          <t>—</t>
        </is>
      </c>
      <c r="AG121" s="368" t="inlineStr">
        <is>
          <t>—</t>
        </is>
      </c>
      <c r="AH121" s="356">
        <f>IF(ABS(AH28-'06 Compensation Engine'!AH205)&lt;0.01,"PASS","FAIL — PAYOUT MISMATCH")</f>
        <v/>
      </c>
      <c r="AI121" s="368" t="inlineStr">
        <is>
          <t>—</t>
        </is>
      </c>
      <c r="AJ121" s="368" t="inlineStr">
        <is>
          <t>—</t>
        </is>
      </c>
      <c r="AK121" s="368" t="inlineStr">
        <is>
          <t>—</t>
        </is>
      </c>
      <c r="AL121" s="368" t="inlineStr">
        <is>
          <t>—</t>
        </is>
      </c>
      <c r="AM121" s="356">
        <f>IF(ABS(AM28-'06 Compensation Engine'!AM205)&lt;0.01,"PASS","FAIL — PAYOUT MISMATCH")</f>
        <v/>
      </c>
      <c r="AN121" s="368" t="inlineStr">
        <is>
          <t>—</t>
        </is>
      </c>
      <c r="AO121" s="368" t="inlineStr">
        <is>
          <t>—</t>
        </is>
      </c>
      <c r="AP121" s="368" t="inlineStr">
        <is>
          <t>—</t>
        </is>
      </c>
      <c r="AQ121" s="368" t="inlineStr">
        <is>
          <t>—</t>
        </is>
      </c>
      <c r="AR121" s="356">
        <f>IF(ABS(AR28-'06 Compensation Engine'!AR205)&lt;0.01,"PASS","FAIL — PAYOUT MISMATCH")</f>
        <v/>
      </c>
    </row>
    <row r="122" ht="13.5" customHeight="1" s="290">
      <c r="A122" s="359" t="n"/>
      <c r="B122" s="353" t="inlineStr">
        <is>
          <t xml:space="preserve">  ✔  Company Dollar = GCI − Producer Payouts</t>
        </is>
      </c>
      <c r="D122" s="354" t="inlineStr">
        <is>
          <t>Row 32 = 11 − 28</t>
        </is>
      </c>
      <c r="E122" s="368" t="inlineStr">
        <is>
          <t>—</t>
        </is>
      </c>
      <c r="F122" s="368" t="inlineStr">
        <is>
          <t>—</t>
        </is>
      </c>
      <c r="G122" s="368" t="inlineStr">
        <is>
          <t>—</t>
        </is>
      </c>
      <c r="H122" s="368" t="inlineStr">
        <is>
          <t>—</t>
        </is>
      </c>
      <c r="I122" s="356">
        <f>IF(ABS(I32-(I11-I28))&lt;0.01,"PASS","FAIL — CO$ ARITHMETIC")</f>
        <v/>
      </c>
      <c r="J122" s="368" t="inlineStr">
        <is>
          <t>—</t>
        </is>
      </c>
      <c r="K122" s="368" t="inlineStr">
        <is>
          <t>—</t>
        </is>
      </c>
      <c r="L122" s="368" t="inlineStr">
        <is>
          <t>—</t>
        </is>
      </c>
      <c r="M122" s="368" t="inlineStr">
        <is>
          <t>—</t>
        </is>
      </c>
      <c r="N122" s="356">
        <f>IF(ABS(N32-(N11-N28))&lt;0.01,"PASS","FAIL — CO$ ARITHMETIC")</f>
        <v/>
      </c>
      <c r="O122" s="368" t="inlineStr">
        <is>
          <t>—</t>
        </is>
      </c>
      <c r="P122" s="368" t="inlineStr">
        <is>
          <t>—</t>
        </is>
      </c>
      <c r="Q122" s="368" t="inlineStr">
        <is>
          <t>—</t>
        </is>
      </c>
      <c r="R122" s="368" t="inlineStr">
        <is>
          <t>—</t>
        </is>
      </c>
      <c r="S122" s="356">
        <f>IF(ABS(S32-(S11-S28))&lt;0.01,"PASS","FAIL — CO$ ARITHMETIC")</f>
        <v/>
      </c>
      <c r="T122" s="368" t="inlineStr">
        <is>
          <t>—</t>
        </is>
      </c>
      <c r="U122" s="368" t="inlineStr">
        <is>
          <t>—</t>
        </is>
      </c>
      <c r="V122" s="368" t="inlineStr">
        <is>
          <t>—</t>
        </is>
      </c>
      <c r="W122" s="368" t="inlineStr">
        <is>
          <t>—</t>
        </is>
      </c>
      <c r="X122" s="356">
        <f>IF(ABS(X32-(X11-X28))&lt;0.01,"PASS","FAIL — CO$ ARITHMETIC")</f>
        <v/>
      </c>
      <c r="Y122" s="368" t="inlineStr">
        <is>
          <t>—</t>
        </is>
      </c>
      <c r="Z122" s="368" t="inlineStr">
        <is>
          <t>—</t>
        </is>
      </c>
      <c r="AA122" s="368" t="inlineStr">
        <is>
          <t>—</t>
        </is>
      </c>
      <c r="AB122" s="368" t="inlineStr">
        <is>
          <t>—</t>
        </is>
      </c>
      <c r="AC122" s="356">
        <f>IF(ABS(AC32-(AC11-AC28))&lt;0.01,"PASS","FAIL — CO$ ARITHMETIC")</f>
        <v/>
      </c>
      <c r="AD122" s="368" t="inlineStr">
        <is>
          <t>—</t>
        </is>
      </c>
      <c r="AE122" s="368" t="inlineStr">
        <is>
          <t>—</t>
        </is>
      </c>
      <c r="AF122" s="368" t="inlineStr">
        <is>
          <t>—</t>
        </is>
      </c>
      <c r="AG122" s="368" t="inlineStr">
        <is>
          <t>—</t>
        </is>
      </c>
      <c r="AH122" s="356">
        <f>IF(ABS(AH32-(AH11-AH28))&lt;0.01,"PASS","FAIL — CO$ ARITHMETIC")</f>
        <v/>
      </c>
      <c r="AI122" s="368" t="inlineStr">
        <is>
          <t>—</t>
        </is>
      </c>
      <c r="AJ122" s="368" t="inlineStr">
        <is>
          <t>—</t>
        </is>
      </c>
      <c r="AK122" s="368" t="inlineStr">
        <is>
          <t>—</t>
        </is>
      </c>
      <c r="AL122" s="368" t="inlineStr">
        <is>
          <t>—</t>
        </is>
      </c>
      <c r="AM122" s="356">
        <f>IF(ABS(AM32-(AM11-AM28))&lt;0.01,"PASS","FAIL — CO$ ARITHMETIC")</f>
        <v/>
      </c>
      <c r="AN122" s="368" t="inlineStr">
        <is>
          <t>—</t>
        </is>
      </c>
      <c r="AO122" s="368" t="inlineStr">
        <is>
          <t>—</t>
        </is>
      </c>
      <c r="AP122" s="368" t="inlineStr">
        <is>
          <t>—</t>
        </is>
      </c>
      <c r="AQ122" s="368" t="inlineStr">
        <is>
          <t>—</t>
        </is>
      </c>
      <c r="AR122" s="356">
        <f>IF(ABS(AR32-(AR11-AR28))&lt;0.01,"PASS","FAIL — CO$ ARITHMETIC")</f>
        <v/>
      </c>
    </row>
    <row r="123" ht="13.5" customHeight="1" s="290">
      <c r="A123" s="359" t="n"/>
      <c r="B123" s="353" t="inlineStr">
        <is>
          <t xml:space="preserve">  ✔  Total Opex ex-D&amp;A ties to Tab 07 row 82</t>
        </is>
      </c>
      <c r="D123" s="354" t="inlineStr">
        <is>
          <t>Checking Advisory+Corp+Bonus+Fixed+Var = Total Opex</t>
        </is>
      </c>
      <c r="E123" s="368" t="inlineStr">
        <is>
          <t>—</t>
        </is>
      </c>
      <c r="F123" s="368" t="inlineStr">
        <is>
          <t>—</t>
        </is>
      </c>
      <c r="G123" s="368" t="inlineStr">
        <is>
          <t>—</t>
        </is>
      </c>
      <c r="H123" s="368" t="inlineStr">
        <is>
          <t>—</t>
        </is>
      </c>
      <c r="I123" s="356">
        <f>IF(ABS(I52-('06 Compensation Engine'!I213+'06 Compensation Engine'!I214+'06 Compensation Engine'!I215+'07 Opex Engine'!I82))&lt;0.01,"PASS","FAIL — OPEX MISMATCH")</f>
        <v/>
      </c>
      <c r="J123" s="368" t="inlineStr">
        <is>
          <t>—</t>
        </is>
      </c>
      <c r="K123" s="368" t="inlineStr">
        <is>
          <t>—</t>
        </is>
      </c>
      <c r="L123" s="368" t="inlineStr">
        <is>
          <t>—</t>
        </is>
      </c>
      <c r="M123" s="368" t="inlineStr">
        <is>
          <t>—</t>
        </is>
      </c>
      <c r="N123" s="356">
        <f>IF(ABS(N52-('06 Compensation Engine'!N213+'06 Compensation Engine'!N214+'06 Compensation Engine'!N215+'07 Opex Engine'!N82))&lt;0.01,"PASS","FAIL — OPEX MISMATCH")</f>
        <v/>
      </c>
      <c r="O123" s="368" t="inlineStr">
        <is>
          <t>—</t>
        </is>
      </c>
      <c r="P123" s="368" t="inlineStr">
        <is>
          <t>—</t>
        </is>
      </c>
      <c r="Q123" s="368" t="inlineStr">
        <is>
          <t>—</t>
        </is>
      </c>
      <c r="R123" s="368" t="inlineStr">
        <is>
          <t>—</t>
        </is>
      </c>
      <c r="S123" s="356">
        <f>IF(ABS(S52-('06 Compensation Engine'!S213+'06 Compensation Engine'!S214+'06 Compensation Engine'!S215+'07 Opex Engine'!S82))&lt;0.01,"PASS","FAIL — OPEX MISMATCH")</f>
        <v/>
      </c>
      <c r="T123" s="368" t="inlineStr">
        <is>
          <t>—</t>
        </is>
      </c>
      <c r="U123" s="368" t="inlineStr">
        <is>
          <t>—</t>
        </is>
      </c>
      <c r="V123" s="368" t="inlineStr">
        <is>
          <t>—</t>
        </is>
      </c>
      <c r="W123" s="368" t="inlineStr">
        <is>
          <t>—</t>
        </is>
      </c>
      <c r="X123" s="356">
        <f>IF(ABS(X52-('06 Compensation Engine'!X213+'06 Compensation Engine'!X214+'06 Compensation Engine'!X215+'07 Opex Engine'!X82))&lt;0.01,"PASS","FAIL — OPEX MISMATCH")</f>
        <v/>
      </c>
      <c r="Y123" s="368" t="inlineStr">
        <is>
          <t>—</t>
        </is>
      </c>
      <c r="Z123" s="368" t="inlineStr">
        <is>
          <t>—</t>
        </is>
      </c>
      <c r="AA123" s="368" t="inlineStr">
        <is>
          <t>—</t>
        </is>
      </c>
      <c r="AB123" s="368" t="inlineStr">
        <is>
          <t>—</t>
        </is>
      </c>
      <c r="AC123" s="356">
        <f>IF(ABS(AC52-('06 Compensation Engine'!AC213+'06 Compensation Engine'!AC214+'06 Compensation Engine'!AC215+'07 Opex Engine'!AC82))&lt;0.01,"PASS","FAIL — OPEX MISMATCH")</f>
        <v/>
      </c>
      <c r="AD123" s="368" t="inlineStr">
        <is>
          <t>—</t>
        </is>
      </c>
      <c r="AE123" s="368" t="inlineStr">
        <is>
          <t>—</t>
        </is>
      </c>
      <c r="AF123" s="368" t="inlineStr">
        <is>
          <t>—</t>
        </is>
      </c>
      <c r="AG123" s="368" t="inlineStr">
        <is>
          <t>—</t>
        </is>
      </c>
      <c r="AH123" s="356">
        <f>IF(ABS(AH52-('06 Compensation Engine'!AH213+'06 Compensation Engine'!AH214+'06 Compensation Engine'!AH215+'07 Opex Engine'!AH82))&lt;0.01,"PASS","FAIL — OPEX MISMATCH")</f>
        <v/>
      </c>
      <c r="AI123" s="368" t="inlineStr">
        <is>
          <t>—</t>
        </is>
      </c>
      <c r="AJ123" s="368" t="inlineStr">
        <is>
          <t>—</t>
        </is>
      </c>
      <c r="AK123" s="368" t="inlineStr">
        <is>
          <t>—</t>
        </is>
      </c>
      <c r="AL123" s="368" t="inlineStr">
        <is>
          <t>—</t>
        </is>
      </c>
      <c r="AM123" s="356">
        <f>IF(ABS(AM52-('06 Compensation Engine'!AM213+'06 Compensation Engine'!AM214+'06 Compensation Engine'!AM215+'07 Opex Engine'!AM82))&lt;0.01,"PASS","FAIL — OPEX MISMATCH")</f>
        <v/>
      </c>
      <c r="AN123" s="368" t="inlineStr">
        <is>
          <t>—</t>
        </is>
      </c>
      <c r="AO123" s="368" t="inlineStr">
        <is>
          <t>—</t>
        </is>
      </c>
      <c r="AP123" s="368" t="inlineStr">
        <is>
          <t>—</t>
        </is>
      </c>
      <c r="AQ123" s="368" t="inlineStr">
        <is>
          <t>—</t>
        </is>
      </c>
      <c r="AR123" s="356">
        <f>IF(ABS(AR52-('06 Compensation Engine'!AR213+'06 Compensation Engine'!AR214+'06 Compensation Engine'!AR215+'07 Opex Engine'!AR82))&lt;0.01,"PASS","FAIL — OPEX MISMATCH")</f>
        <v/>
      </c>
    </row>
    <row r="124" ht="13.5" customHeight="1" s="290">
      <c r="A124" s="359" t="n"/>
      <c r="B124" s="353" t="inlineStr">
        <is>
          <t xml:space="preserve">  ✔  EBITDA = Company Dollar − Total Opex</t>
        </is>
      </c>
      <c r="D124" s="354" t="inlineStr">
        <is>
          <t>Row 59 = 32 − 52</t>
        </is>
      </c>
      <c r="E124" s="368" t="inlineStr">
        <is>
          <t>—</t>
        </is>
      </c>
      <c r="F124" s="368" t="inlineStr">
        <is>
          <t>—</t>
        </is>
      </c>
      <c r="G124" s="368" t="inlineStr">
        <is>
          <t>—</t>
        </is>
      </c>
      <c r="H124" s="368" t="inlineStr">
        <is>
          <t>—</t>
        </is>
      </c>
      <c r="I124" s="356">
        <f>IF(ABS(I59-(I32-I52))&lt;0.01,"PASS","FAIL — EBITDA ARITHMETIC")</f>
        <v/>
      </c>
      <c r="J124" s="368" t="inlineStr">
        <is>
          <t>—</t>
        </is>
      </c>
      <c r="K124" s="368" t="inlineStr">
        <is>
          <t>—</t>
        </is>
      </c>
      <c r="L124" s="368" t="inlineStr">
        <is>
          <t>—</t>
        </is>
      </c>
      <c r="M124" s="368" t="inlineStr">
        <is>
          <t>—</t>
        </is>
      </c>
      <c r="N124" s="356">
        <f>IF(ABS(N59-(N32-N52))&lt;0.01,"PASS","FAIL — EBITDA ARITHMETIC")</f>
        <v/>
      </c>
      <c r="O124" s="368" t="inlineStr">
        <is>
          <t>—</t>
        </is>
      </c>
      <c r="P124" s="368" t="inlineStr">
        <is>
          <t>—</t>
        </is>
      </c>
      <c r="Q124" s="368" t="inlineStr">
        <is>
          <t>—</t>
        </is>
      </c>
      <c r="R124" s="368" t="inlineStr">
        <is>
          <t>—</t>
        </is>
      </c>
      <c r="S124" s="356">
        <f>IF(ABS(S59-(S32-S52))&lt;0.01,"PASS","FAIL — EBITDA ARITHMETIC")</f>
        <v/>
      </c>
      <c r="T124" s="368" t="inlineStr">
        <is>
          <t>—</t>
        </is>
      </c>
      <c r="U124" s="368" t="inlineStr">
        <is>
          <t>—</t>
        </is>
      </c>
      <c r="V124" s="368" t="inlineStr">
        <is>
          <t>—</t>
        </is>
      </c>
      <c r="W124" s="368" t="inlineStr">
        <is>
          <t>—</t>
        </is>
      </c>
      <c r="X124" s="356">
        <f>IF(ABS(X59-(X32-X52))&lt;0.01,"PASS","FAIL — EBITDA ARITHMETIC")</f>
        <v/>
      </c>
      <c r="Y124" s="368" t="inlineStr">
        <is>
          <t>—</t>
        </is>
      </c>
      <c r="Z124" s="368" t="inlineStr">
        <is>
          <t>—</t>
        </is>
      </c>
      <c r="AA124" s="368" t="inlineStr">
        <is>
          <t>—</t>
        </is>
      </c>
      <c r="AB124" s="368" t="inlineStr">
        <is>
          <t>—</t>
        </is>
      </c>
      <c r="AC124" s="356">
        <f>IF(ABS(AC59-(AC32-AC52))&lt;0.01,"PASS","FAIL — EBITDA ARITHMETIC")</f>
        <v/>
      </c>
      <c r="AD124" s="368" t="inlineStr">
        <is>
          <t>—</t>
        </is>
      </c>
      <c r="AE124" s="368" t="inlineStr">
        <is>
          <t>—</t>
        </is>
      </c>
      <c r="AF124" s="368" t="inlineStr">
        <is>
          <t>—</t>
        </is>
      </c>
      <c r="AG124" s="368" t="inlineStr">
        <is>
          <t>—</t>
        </is>
      </c>
      <c r="AH124" s="356">
        <f>IF(ABS(AH59-(AH32-AH52))&lt;0.01,"PASS","FAIL — EBITDA ARITHMETIC")</f>
        <v/>
      </c>
      <c r="AI124" s="368" t="inlineStr">
        <is>
          <t>—</t>
        </is>
      </c>
      <c r="AJ124" s="368" t="inlineStr">
        <is>
          <t>—</t>
        </is>
      </c>
      <c r="AK124" s="368" t="inlineStr">
        <is>
          <t>—</t>
        </is>
      </c>
      <c r="AL124" s="368" t="inlineStr">
        <is>
          <t>—</t>
        </is>
      </c>
      <c r="AM124" s="356">
        <f>IF(ABS(AM59-(AM32-AM52))&lt;0.01,"PASS","FAIL — EBITDA ARITHMETIC")</f>
        <v/>
      </c>
      <c r="AN124" s="368" t="inlineStr">
        <is>
          <t>—</t>
        </is>
      </c>
      <c r="AO124" s="368" t="inlineStr">
        <is>
          <t>—</t>
        </is>
      </c>
      <c r="AP124" s="368" t="inlineStr">
        <is>
          <t>—</t>
        </is>
      </c>
      <c r="AQ124" s="368" t="inlineStr">
        <is>
          <t>—</t>
        </is>
      </c>
      <c r="AR124" s="356">
        <f>IF(ABS(AR59-(AR32-AR52))&lt;0.01,"PASS","FAIL — EBITDA ARITHMETIC")</f>
        <v/>
      </c>
    </row>
    <row r="125" ht="13.5" customHeight="1" s="290">
      <c r="A125" s="359" t="n"/>
      <c r="B125" s="353" t="inlineStr">
        <is>
          <t xml:space="preserve">  ✔  EBIT = EBITDA − D&amp;A</t>
        </is>
      </c>
      <c r="D125" s="354" t="inlineStr">
        <is>
          <t>Row 74 = 59 − 73</t>
        </is>
      </c>
      <c r="E125" s="368" t="inlineStr">
        <is>
          <t>—</t>
        </is>
      </c>
      <c r="F125" s="368" t="inlineStr">
        <is>
          <t>—</t>
        </is>
      </c>
      <c r="G125" s="368" t="inlineStr">
        <is>
          <t>—</t>
        </is>
      </c>
      <c r="H125" s="368" t="inlineStr">
        <is>
          <t>—</t>
        </is>
      </c>
      <c r="I125" s="356">
        <f>IF(ABS(I74-(I59-I73))&lt;0.01,"PASS","FAIL — EBIT ARITHMETIC")</f>
        <v/>
      </c>
      <c r="J125" s="368" t="inlineStr">
        <is>
          <t>—</t>
        </is>
      </c>
      <c r="K125" s="368" t="inlineStr">
        <is>
          <t>—</t>
        </is>
      </c>
      <c r="L125" s="368" t="inlineStr">
        <is>
          <t>—</t>
        </is>
      </c>
      <c r="M125" s="368" t="inlineStr">
        <is>
          <t>—</t>
        </is>
      </c>
      <c r="N125" s="356">
        <f>IF(ABS(N74-(N59-N73))&lt;0.01,"PASS","FAIL — EBIT ARITHMETIC")</f>
        <v/>
      </c>
      <c r="O125" s="368" t="inlineStr">
        <is>
          <t>—</t>
        </is>
      </c>
      <c r="P125" s="368" t="inlineStr">
        <is>
          <t>—</t>
        </is>
      </c>
      <c r="Q125" s="368" t="inlineStr">
        <is>
          <t>—</t>
        </is>
      </c>
      <c r="R125" s="368" t="inlineStr">
        <is>
          <t>—</t>
        </is>
      </c>
      <c r="S125" s="356">
        <f>IF(ABS(S74-(S59-S73))&lt;0.01,"PASS","FAIL — EBIT ARITHMETIC")</f>
        <v/>
      </c>
      <c r="T125" s="368" t="inlineStr">
        <is>
          <t>—</t>
        </is>
      </c>
      <c r="U125" s="368" t="inlineStr">
        <is>
          <t>—</t>
        </is>
      </c>
      <c r="V125" s="368" t="inlineStr">
        <is>
          <t>—</t>
        </is>
      </c>
      <c r="W125" s="368" t="inlineStr">
        <is>
          <t>—</t>
        </is>
      </c>
      <c r="X125" s="356">
        <f>IF(ABS(X74-(X59-X73))&lt;0.01,"PASS","FAIL — EBIT ARITHMETIC")</f>
        <v/>
      </c>
      <c r="Y125" s="368" t="inlineStr">
        <is>
          <t>—</t>
        </is>
      </c>
      <c r="Z125" s="368" t="inlineStr">
        <is>
          <t>—</t>
        </is>
      </c>
      <c r="AA125" s="368" t="inlineStr">
        <is>
          <t>—</t>
        </is>
      </c>
      <c r="AB125" s="368" t="inlineStr">
        <is>
          <t>—</t>
        </is>
      </c>
      <c r="AC125" s="356">
        <f>IF(ABS(AC74-(AC59-AC73))&lt;0.01,"PASS","FAIL — EBIT ARITHMETIC")</f>
        <v/>
      </c>
      <c r="AD125" s="368" t="inlineStr">
        <is>
          <t>—</t>
        </is>
      </c>
      <c r="AE125" s="368" t="inlineStr">
        <is>
          <t>—</t>
        </is>
      </c>
      <c r="AF125" s="368" t="inlineStr">
        <is>
          <t>—</t>
        </is>
      </c>
      <c r="AG125" s="368" t="inlineStr">
        <is>
          <t>—</t>
        </is>
      </c>
      <c r="AH125" s="356">
        <f>IF(ABS(AH74-(AH59-AH73))&lt;0.01,"PASS","FAIL — EBIT ARITHMETIC")</f>
        <v/>
      </c>
      <c r="AI125" s="368" t="inlineStr">
        <is>
          <t>—</t>
        </is>
      </c>
      <c r="AJ125" s="368" t="inlineStr">
        <is>
          <t>—</t>
        </is>
      </c>
      <c r="AK125" s="368" t="inlineStr">
        <is>
          <t>—</t>
        </is>
      </c>
      <c r="AL125" s="368" t="inlineStr">
        <is>
          <t>—</t>
        </is>
      </c>
      <c r="AM125" s="356">
        <f>IF(ABS(AM74-(AM59-AM73))&lt;0.01,"PASS","FAIL — EBIT ARITHMETIC")</f>
        <v/>
      </c>
      <c r="AN125" s="368" t="inlineStr">
        <is>
          <t>—</t>
        </is>
      </c>
      <c r="AO125" s="368" t="inlineStr">
        <is>
          <t>—</t>
        </is>
      </c>
      <c r="AP125" s="368" t="inlineStr">
        <is>
          <t>—</t>
        </is>
      </c>
      <c r="AQ125" s="368" t="inlineStr">
        <is>
          <t>—</t>
        </is>
      </c>
      <c r="AR125" s="356">
        <f>IF(ABS(AR74-(AR59-AR73))&lt;0.01,"PASS","FAIL — EBIT ARITHMETIC")</f>
        <v/>
      </c>
    </row>
    <row r="126" ht="13.5" customHeight="1" s="290">
      <c r="A126" s="359" t="n"/>
      <c r="B126" s="353" t="inlineStr">
        <is>
          <t xml:space="preserve">  ✔  Revenue Mix Sums to 100%</t>
        </is>
      </c>
      <c r="D126" s="354" t="inlineStr">
        <is>
          <t>Row 19</t>
        </is>
      </c>
      <c r="E126" s="368" t="inlineStr">
        <is>
          <t>—</t>
        </is>
      </c>
      <c r="F126" s="368" t="inlineStr">
        <is>
          <t>—</t>
        </is>
      </c>
      <c r="G126" s="368" t="inlineStr">
        <is>
          <t>—</t>
        </is>
      </c>
      <c r="H126" s="368" t="inlineStr">
        <is>
          <t>—</t>
        </is>
      </c>
      <c r="I126" s="356">
        <f>IF(ABS(I19-1)&lt;0.001,"PASS",IF(I11=0,"WARN — NO INPUTS","FAIL — MIX ≠ 100%"))</f>
        <v/>
      </c>
      <c r="J126" s="368" t="inlineStr">
        <is>
          <t>—</t>
        </is>
      </c>
      <c r="K126" s="368" t="inlineStr">
        <is>
          <t>—</t>
        </is>
      </c>
      <c r="L126" s="368" t="inlineStr">
        <is>
          <t>—</t>
        </is>
      </c>
      <c r="M126" s="368" t="inlineStr">
        <is>
          <t>—</t>
        </is>
      </c>
      <c r="N126" s="356">
        <f>IF(ABS(N19-1)&lt;0.001,"PASS",IF(N11=0,"WARN — NO INPUTS","FAIL — MIX ≠ 100%"))</f>
        <v/>
      </c>
      <c r="O126" s="368" t="inlineStr">
        <is>
          <t>—</t>
        </is>
      </c>
      <c r="P126" s="368" t="inlineStr">
        <is>
          <t>—</t>
        </is>
      </c>
      <c r="Q126" s="368" t="inlineStr">
        <is>
          <t>—</t>
        </is>
      </c>
      <c r="R126" s="368" t="inlineStr">
        <is>
          <t>—</t>
        </is>
      </c>
      <c r="S126" s="356">
        <f>IF(ABS(S19-1)&lt;0.001,"PASS",IF(S11=0,"WARN — NO INPUTS","FAIL — MIX ≠ 100%"))</f>
        <v/>
      </c>
      <c r="T126" s="368" t="inlineStr">
        <is>
          <t>—</t>
        </is>
      </c>
      <c r="U126" s="368" t="inlineStr">
        <is>
          <t>—</t>
        </is>
      </c>
      <c r="V126" s="368" t="inlineStr">
        <is>
          <t>—</t>
        </is>
      </c>
      <c r="W126" s="368" t="inlineStr">
        <is>
          <t>—</t>
        </is>
      </c>
      <c r="X126" s="356">
        <f>IF(ABS(X19-1)&lt;0.001,"PASS",IF(X11=0,"WARN — NO INPUTS","FAIL — MIX ≠ 100%"))</f>
        <v/>
      </c>
      <c r="Y126" s="368" t="inlineStr">
        <is>
          <t>—</t>
        </is>
      </c>
      <c r="Z126" s="368" t="inlineStr">
        <is>
          <t>—</t>
        </is>
      </c>
      <c r="AA126" s="368" t="inlineStr">
        <is>
          <t>—</t>
        </is>
      </c>
      <c r="AB126" s="368" t="inlineStr">
        <is>
          <t>—</t>
        </is>
      </c>
      <c r="AC126" s="356">
        <f>IF(ABS(AC19-1)&lt;0.001,"PASS",IF(AC11=0,"WARN — NO INPUTS","FAIL — MIX ≠ 100%"))</f>
        <v/>
      </c>
      <c r="AD126" s="368" t="inlineStr">
        <is>
          <t>—</t>
        </is>
      </c>
      <c r="AE126" s="368" t="inlineStr">
        <is>
          <t>—</t>
        </is>
      </c>
      <c r="AF126" s="368" t="inlineStr">
        <is>
          <t>—</t>
        </is>
      </c>
      <c r="AG126" s="368" t="inlineStr">
        <is>
          <t>—</t>
        </is>
      </c>
      <c r="AH126" s="356">
        <f>IF(ABS(AH19-1)&lt;0.001,"PASS",IF(AH11=0,"WARN — NO INPUTS","FAIL — MIX ≠ 100%"))</f>
        <v/>
      </c>
      <c r="AI126" s="368" t="inlineStr">
        <is>
          <t>—</t>
        </is>
      </c>
      <c r="AJ126" s="368" t="inlineStr">
        <is>
          <t>—</t>
        </is>
      </c>
      <c r="AK126" s="368" t="inlineStr">
        <is>
          <t>—</t>
        </is>
      </c>
      <c r="AL126" s="368" t="inlineStr">
        <is>
          <t>—</t>
        </is>
      </c>
      <c r="AM126" s="356">
        <f>IF(ABS(AM19-1)&lt;0.001,"PASS",IF(AM11=0,"WARN — NO INPUTS","FAIL — MIX ≠ 100%"))</f>
        <v/>
      </c>
      <c r="AN126" s="368" t="inlineStr">
        <is>
          <t>—</t>
        </is>
      </c>
      <c r="AO126" s="368" t="inlineStr">
        <is>
          <t>—</t>
        </is>
      </c>
      <c r="AP126" s="368" t="inlineStr">
        <is>
          <t>—</t>
        </is>
      </c>
      <c r="AQ126" s="368" t="inlineStr">
        <is>
          <t>—</t>
        </is>
      </c>
      <c r="AR126" s="356">
        <f>IF(ABS(AR19-1)&lt;0.001,"PASS",IF(AR11=0,"WARN — NO INPUTS","FAIL — MIX ≠ 100%"))</f>
        <v/>
      </c>
    </row>
    <row r="127" ht="13.5" customHeight="1" s="290">
      <c r="A127" s="359" t="n"/>
      <c r="B127" s="353" t="inlineStr">
        <is>
          <t xml:space="preserve">  ✔  All Revenue Lines ≥ 0</t>
        </is>
      </c>
      <c r="D127" s="354" t="inlineStr">
        <is>
          <t>Rows 7,8,9,10</t>
        </is>
      </c>
      <c r="E127" s="368" t="inlineStr">
        <is>
          <t>—</t>
        </is>
      </c>
      <c r="F127" s="368" t="inlineStr">
        <is>
          <t>—</t>
        </is>
      </c>
      <c r="G127" s="368" t="inlineStr">
        <is>
          <t>—</t>
        </is>
      </c>
      <c r="H127" s="368" t="inlineStr">
        <is>
          <t>—</t>
        </is>
      </c>
      <c r="I127" s="356">
        <f>IF(AND(I7&gt;=0,I8&gt;=0,I9&gt;=0,I10&gt;=0),"PASS","FAIL — NEGATIVE REVENUE")</f>
        <v/>
      </c>
      <c r="J127" s="368" t="inlineStr">
        <is>
          <t>—</t>
        </is>
      </c>
      <c r="K127" s="368" t="inlineStr">
        <is>
          <t>—</t>
        </is>
      </c>
      <c r="L127" s="368" t="inlineStr">
        <is>
          <t>—</t>
        </is>
      </c>
      <c r="M127" s="368" t="inlineStr">
        <is>
          <t>—</t>
        </is>
      </c>
      <c r="N127" s="356">
        <f>IF(AND(N7&gt;=0,N8&gt;=0,N9&gt;=0,N10&gt;=0),"PASS","FAIL — NEGATIVE REVENUE")</f>
        <v/>
      </c>
      <c r="O127" s="368" t="inlineStr">
        <is>
          <t>—</t>
        </is>
      </c>
      <c r="P127" s="368" t="inlineStr">
        <is>
          <t>—</t>
        </is>
      </c>
      <c r="Q127" s="368" t="inlineStr">
        <is>
          <t>—</t>
        </is>
      </c>
      <c r="R127" s="368" t="inlineStr">
        <is>
          <t>—</t>
        </is>
      </c>
      <c r="S127" s="356">
        <f>IF(AND(S7&gt;=0,S8&gt;=0,S9&gt;=0,S10&gt;=0),"PASS","FAIL — NEGATIVE REVENUE")</f>
        <v/>
      </c>
      <c r="T127" s="368" t="inlineStr">
        <is>
          <t>—</t>
        </is>
      </c>
      <c r="U127" s="368" t="inlineStr">
        <is>
          <t>—</t>
        </is>
      </c>
      <c r="V127" s="368" t="inlineStr">
        <is>
          <t>—</t>
        </is>
      </c>
      <c r="W127" s="368" t="inlineStr">
        <is>
          <t>—</t>
        </is>
      </c>
      <c r="X127" s="356">
        <f>IF(AND(X7&gt;=0,X8&gt;=0,X9&gt;=0,X10&gt;=0),"PASS","FAIL — NEGATIVE REVENUE")</f>
        <v/>
      </c>
      <c r="Y127" s="368" t="inlineStr">
        <is>
          <t>—</t>
        </is>
      </c>
      <c r="Z127" s="368" t="inlineStr">
        <is>
          <t>—</t>
        </is>
      </c>
      <c r="AA127" s="368" t="inlineStr">
        <is>
          <t>—</t>
        </is>
      </c>
      <c r="AB127" s="368" t="inlineStr">
        <is>
          <t>—</t>
        </is>
      </c>
      <c r="AC127" s="356">
        <f>IF(AND(AC7&gt;=0,AC8&gt;=0,AC9&gt;=0,AC10&gt;=0),"PASS","FAIL — NEGATIVE REVENUE")</f>
        <v/>
      </c>
      <c r="AD127" s="368" t="inlineStr">
        <is>
          <t>—</t>
        </is>
      </c>
      <c r="AE127" s="368" t="inlineStr">
        <is>
          <t>—</t>
        </is>
      </c>
      <c r="AF127" s="368" t="inlineStr">
        <is>
          <t>—</t>
        </is>
      </c>
      <c r="AG127" s="368" t="inlineStr">
        <is>
          <t>—</t>
        </is>
      </c>
      <c r="AH127" s="356">
        <f>IF(AND(AH7&gt;=0,AH8&gt;=0,AH9&gt;=0,AH10&gt;=0),"PASS","FAIL — NEGATIVE REVENUE")</f>
        <v/>
      </c>
      <c r="AI127" s="368" t="inlineStr">
        <is>
          <t>—</t>
        </is>
      </c>
      <c r="AJ127" s="368" t="inlineStr">
        <is>
          <t>—</t>
        </is>
      </c>
      <c r="AK127" s="368" t="inlineStr">
        <is>
          <t>—</t>
        </is>
      </c>
      <c r="AL127" s="368" t="inlineStr">
        <is>
          <t>—</t>
        </is>
      </c>
      <c r="AM127" s="356">
        <f>IF(AND(AM7&gt;=0,AM8&gt;=0,AM9&gt;=0,AM10&gt;=0),"PASS","FAIL — NEGATIVE REVENUE")</f>
        <v/>
      </c>
      <c r="AN127" s="368" t="inlineStr">
        <is>
          <t>—</t>
        </is>
      </c>
      <c r="AO127" s="368" t="inlineStr">
        <is>
          <t>—</t>
        </is>
      </c>
      <c r="AP127" s="368" t="inlineStr">
        <is>
          <t>—</t>
        </is>
      </c>
      <c r="AQ127" s="368" t="inlineStr">
        <is>
          <t>—</t>
        </is>
      </c>
      <c r="AR127" s="356">
        <f>IF(AND(AR7&gt;=0,AR8&gt;=0,AR9&gt;=0,AR10&gt;=0),"PASS","FAIL — NEGATIVE REVENUE")</f>
        <v/>
      </c>
    </row>
    <row r="128" ht="13.5" customHeight="1" s="290">
      <c r="A128" s="359" t="n"/>
      <c r="B128" s="353" t="inlineStr">
        <is>
          <t xml:space="preserve">  ✔  Total GCI ≥ 0</t>
        </is>
      </c>
      <c r="D128" s="354" t="inlineStr">
        <is>
          <t>Row 11</t>
        </is>
      </c>
      <c r="E128" s="368" t="inlineStr">
        <is>
          <t>—</t>
        </is>
      </c>
      <c r="F128" s="368" t="inlineStr">
        <is>
          <t>—</t>
        </is>
      </c>
      <c r="G128" s="368" t="inlineStr">
        <is>
          <t>—</t>
        </is>
      </c>
      <c r="H128" s="368" t="inlineStr">
        <is>
          <t>—</t>
        </is>
      </c>
      <c r="I128" s="356">
        <f>IF(I11&gt;=0,"PASS","FAIL — NEGATIVE GCI")</f>
        <v/>
      </c>
      <c r="J128" s="368" t="inlineStr">
        <is>
          <t>—</t>
        </is>
      </c>
      <c r="K128" s="368" t="inlineStr">
        <is>
          <t>—</t>
        </is>
      </c>
      <c r="L128" s="368" t="inlineStr">
        <is>
          <t>—</t>
        </is>
      </c>
      <c r="M128" s="368" t="inlineStr">
        <is>
          <t>—</t>
        </is>
      </c>
      <c r="N128" s="356">
        <f>IF(N11&gt;=0,"PASS","FAIL — NEGATIVE GCI")</f>
        <v/>
      </c>
      <c r="O128" s="368" t="inlineStr">
        <is>
          <t>—</t>
        </is>
      </c>
      <c r="P128" s="368" t="inlineStr">
        <is>
          <t>—</t>
        </is>
      </c>
      <c r="Q128" s="368" t="inlineStr">
        <is>
          <t>—</t>
        </is>
      </c>
      <c r="R128" s="368" t="inlineStr">
        <is>
          <t>—</t>
        </is>
      </c>
      <c r="S128" s="356">
        <f>IF(S11&gt;=0,"PASS","FAIL — NEGATIVE GCI")</f>
        <v/>
      </c>
      <c r="T128" s="368" t="inlineStr">
        <is>
          <t>—</t>
        </is>
      </c>
      <c r="U128" s="368" t="inlineStr">
        <is>
          <t>—</t>
        </is>
      </c>
      <c r="V128" s="368" t="inlineStr">
        <is>
          <t>—</t>
        </is>
      </c>
      <c r="W128" s="368" t="inlineStr">
        <is>
          <t>—</t>
        </is>
      </c>
      <c r="X128" s="356">
        <f>IF(X11&gt;=0,"PASS","FAIL — NEGATIVE GCI")</f>
        <v/>
      </c>
      <c r="Y128" s="368" t="inlineStr">
        <is>
          <t>—</t>
        </is>
      </c>
      <c r="Z128" s="368" t="inlineStr">
        <is>
          <t>—</t>
        </is>
      </c>
      <c r="AA128" s="368" t="inlineStr">
        <is>
          <t>—</t>
        </is>
      </c>
      <c r="AB128" s="368" t="inlineStr">
        <is>
          <t>—</t>
        </is>
      </c>
      <c r="AC128" s="356">
        <f>IF(AC11&gt;=0,"PASS","FAIL — NEGATIVE GCI")</f>
        <v/>
      </c>
      <c r="AD128" s="368" t="inlineStr">
        <is>
          <t>—</t>
        </is>
      </c>
      <c r="AE128" s="368" t="inlineStr">
        <is>
          <t>—</t>
        </is>
      </c>
      <c r="AF128" s="368" t="inlineStr">
        <is>
          <t>—</t>
        </is>
      </c>
      <c r="AG128" s="368" t="inlineStr">
        <is>
          <t>—</t>
        </is>
      </c>
      <c r="AH128" s="356">
        <f>IF(AH11&gt;=0,"PASS","FAIL — NEGATIVE GCI")</f>
        <v/>
      </c>
      <c r="AI128" s="368" t="inlineStr">
        <is>
          <t>—</t>
        </is>
      </c>
      <c r="AJ128" s="368" t="inlineStr">
        <is>
          <t>—</t>
        </is>
      </c>
      <c r="AK128" s="368" t="inlineStr">
        <is>
          <t>—</t>
        </is>
      </c>
      <c r="AL128" s="368" t="inlineStr">
        <is>
          <t>—</t>
        </is>
      </c>
      <c r="AM128" s="356">
        <f>IF(AM11&gt;=0,"PASS","FAIL — NEGATIVE GCI")</f>
        <v/>
      </c>
      <c r="AN128" s="368" t="inlineStr">
        <is>
          <t>—</t>
        </is>
      </c>
      <c r="AO128" s="368" t="inlineStr">
        <is>
          <t>—</t>
        </is>
      </c>
      <c r="AP128" s="368" t="inlineStr">
        <is>
          <t>—</t>
        </is>
      </c>
      <c r="AQ128" s="368" t="inlineStr">
        <is>
          <t>—</t>
        </is>
      </c>
      <c r="AR128" s="356">
        <f>IF(AR11&gt;=0,"PASS","FAIL — NEGATIVE GCI")</f>
        <v/>
      </c>
    </row>
    <row r="129" ht="13.5" customHeight="1" s="290">
      <c r="A129" s="359" t="n"/>
      <c r="B129" s="353" t="inlineStr">
        <is>
          <t xml:space="preserve">  ✔  Net Income = Pre-Tax − Tax</t>
        </is>
      </c>
      <c r="D129" s="354" t="inlineStr">
        <is>
          <t>Row 82 = 77 − 80</t>
        </is>
      </c>
      <c r="E129" s="368" t="inlineStr">
        <is>
          <t>—</t>
        </is>
      </c>
      <c r="F129" s="368" t="inlineStr">
        <is>
          <t>—</t>
        </is>
      </c>
      <c r="G129" s="368" t="inlineStr">
        <is>
          <t>—</t>
        </is>
      </c>
      <c r="H129" s="368" t="inlineStr">
        <is>
          <t>—</t>
        </is>
      </c>
      <c r="I129" s="356">
        <f>IF(ABS(I82-(I77-I80))&lt;0.01,"PASS","FAIL — NET INCOME ARITHMETIC")</f>
        <v/>
      </c>
      <c r="J129" s="368" t="inlineStr">
        <is>
          <t>—</t>
        </is>
      </c>
      <c r="K129" s="368" t="inlineStr">
        <is>
          <t>—</t>
        </is>
      </c>
      <c r="L129" s="368" t="inlineStr">
        <is>
          <t>—</t>
        </is>
      </c>
      <c r="M129" s="368" t="inlineStr">
        <is>
          <t>—</t>
        </is>
      </c>
      <c r="N129" s="356">
        <f>IF(ABS(N82-(N77-N80))&lt;0.01,"PASS","FAIL — NET INCOME ARITHMETIC")</f>
        <v/>
      </c>
      <c r="O129" s="368" t="inlineStr">
        <is>
          <t>—</t>
        </is>
      </c>
      <c r="P129" s="368" t="inlineStr">
        <is>
          <t>—</t>
        </is>
      </c>
      <c r="Q129" s="368" t="inlineStr">
        <is>
          <t>—</t>
        </is>
      </c>
      <c r="R129" s="368" t="inlineStr">
        <is>
          <t>—</t>
        </is>
      </c>
      <c r="S129" s="356">
        <f>IF(ABS(S82-(S77-S80))&lt;0.01,"PASS","FAIL — NET INCOME ARITHMETIC")</f>
        <v/>
      </c>
      <c r="T129" s="368" t="inlineStr">
        <is>
          <t>—</t>
        </is>
      </c>
      <c r="U129" s="368" t="inlineStr">
        <is>
          <t>—</t>
        </is>
      </c>
      <c r="V129" s="368" t="inlineStr">
        <is>
          <t>—</t>
        </is>
      </c>
      <c r="W129" s="368" t="inlineStr">
        <is>
          <t>—</t>
        </is>
      </c>
      <c r="X129" s="356">
        <f>IF(ABS(X82-(X77-X80))&lt;0.01,"PASS","FAIL — NET INCOME ARITHMETIC")</f>
        <v/>
      </c>
      <c r="Y129" s="368" t="inlineStr">
        <is>
          <t>—</t>
        </is>
      </c>
      <c r="Z129" s="368" t="inlineStr">
        <is>
          <t>—</t>
        </is>
      </c>
      <c r="AA129" s="368" t="inlineStr">
        <is>
          <t>—</t>
        </is>
      </c>
      <c r="AB129" s="368" t="inlineStr">
        <is>
          <t>—</t>
        </is>
      </c>
      <c r="AC129" s="356">
        <f>IF(ABS(AC82-(AC77-AC80))&lt;0.01,"PASS","FAIL — NET INCOME ARITHMETIC")</f>
        <v/>
      </c>
      <c r="AD129" s="368" t="inlineStr">
        <is>
          <t>—</t>
        </is>
      </c>
      <c r="AE129" s="368" t="inlineStr">
        <is>
          <t>—</t>
        </is>
      </c>
      <c r="AF129" s="368" t="inlineStr">
        <is>
          <t>—</t>
        </is>
      </c>
      <c r="AG129" s="368" t="inlineStr">
        <is>
          <t>—</t>
        </is>
      </c>
      <c r="AH129" s="356">
        <f>IF(ABS(AH82-(AH77-AH80))&lt;0.01,"PASS","FAIL — NET INCOME ARITHMETIC")</f>
        <v/>
      </c>
      <c r="AI129" s="368" t="inlineStr">
        <is>
          <t>—</t>
        </is>
      </c>
      <c r="AJ129" s="368" t="inlineStr">
        <is>
          <t>—</t>
        </is>
      </c>
      <c r="AK129" s="368" t="inlineStr">
        <is>
          <t>—</t>
        </is>
      </c>
      <c r="AL129" s="368" t="inlineStr">
        <is>
          <t>—</t>
        </is>
      </c>
      <c r="AM129" s="356">
        <f>IF(ABS(AM82-(AM77-AM80))&lt;0.01,"PASS","FAIL — NET INCOME ARITHMETIC")</f>
        <v/>
      </c>
      <c r="AN129" s="368" t="inlineStr">
        <is>
          <t>—</t>
        </is>
      </c>
      <c r="AO129" s="368" t="inlineStr">
        <is>
          <t>—</t>
        </is>
      </c>
      <c r="AP129" s="368" t="inlineStr">
        <is>
          <t>—</t>
        </is>
      </c>
      <c r="AQ129" s="368" t="inlineStr">
        <is>
          <t>—</t>
        </is>
      </c>
      <c r="AR129" s="356">
        <f>IF(ABS(AR82-(AR77-AR80))&lt;0.01,"PASS","FAIL — NET INCOME ARITHMETIC")</f>
        <v/>
      </c>
    </row>
    <row r="130" ht="4.5" customHeight="1" s="290"/>
    <row r="131" ht="18" customHeight="1" s="290">
      <c r="A131" s="360" t="inlineStr">
        <is>
          <t xml:space="preserve">  All checks above feed Tab 11 — Checks. WARN on revenue mix check means no inputs yet (GCI=0). Cross-tab checks verify P&amp;L rows match their source tabs exactly — these should always PASS since the rows are direct links.</t>
        </is>
      </c>
    </row>
    <row r="132" ht="4.5" customHeight="1" s="290"/>
    <row r="133" ht="3" customHeight="1" s="290">
      <c r="A133" s="293" t="n"/>
    </row>
  </sheetData>
  <mergeCells count="23">
    <mergeCell ref="A112:AR112"/>
    <mergeCell ref="A67:AR67"/>
    <mergeCell ref="A39:AR39"/>
    <mergeCell ref="A114:AR114"/>
    <mergeCell ref="A1:AR1"/>
    <mergeCell ref="A69:AR69"/>
    <mergeCell ref="A87:AR87"/>
    <mergeCell ref="A41:AR41"/>
    <mergeCell ref="A37:AR37"/>
    <mergeCell ref="A133:AR133"/>
    <mergeCell ref="A89:AR89"/>
    <mergeCell ref="A21:AR21"/>
    <mergeCell ref="A55:AR55"/>
    <mergeCell ref="A35:AR35"/>
    <mergeCell ref="A57:AR57"/>
    <mergeCell ref="A2:AR2"/>
    <mergeCell ref="A71:AR71"/>
    <mergeCell ref="A47:AR47"/>
    <mergeCell ref="A85:AR85"/>
    <mergeCell ref="A116:AR116"/>
    <mergeCell ref="A5:AR5"/>
    <mergeCell ref="A23:AR23"/>
    <mergeCell ref="A131:AR131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70AD47"/>
    <outlinePr summaryBelow="1" summaryRight="1"/>
    <pageSetUpPr fitToPage="1"/>
  </sheetPr>
  <dimension ref="A1:AB1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2" customWidth="1" style="289" min="1" max="1"/>
    <col width="36" customWidth="1" style="289" min="2" max="2"/>
    <col width="10" customWidth="1" style="289" min="3" max="3"/>
    <col width="14" customWidth="1" style="289" min="4" max="20"/>
    <col width="12" customWidth="1" style="289" min="21" max="28"/>
  </cols>
  <sheetData>
    <row r="1" ht="25.5" customHeight="1" s="290">
      <c r="A1" s="330" t="inlineStr">
        <is>
          <t xml:space="preserve">  09  |  SCENARIO ANALYSIS  —  Base / Upside / Downside Comparison</t>
        </is>
      </c>
    </row>
    <row r="2" ht="15" customHeight="1" s="290">
      <c r="A2" s="331" t="inlineStr">
        <is>
          <t xml:space="preserve">  Active Scenario: drives Tab 08 P&amp;L live  |  3-Scenario table: direct assumption references  |  Scenario selector: Tab 01 C19  |  Green tab = output</t>
        </is>
      </c>
    </row>
    <row r="3" ht="15" customHeight="1" s="290">
      <c r="A3" s="307" t="inlineStr">
        <is>
          <t xml:space="preserve">  Active Scenario → '01 Cover &amp; Control'!$C$19</t>
        </is>
      </c>
    </row>
    <row r="4" ht="6" customHeight="1" s="290"/>
    <row r="5" ht="15.75" customHeight="1" s="290">
      <c r="A5" s="338" t="inlineStr">
        <is>
          <t xml:space="preserve">  SECTION A — ACTIVE SCENARIO KPI DASHBOARD  (2028E Representative Year, Annual)</t>
        </is>
      </c>
    </row>
    <row r="6" ht="13.5" customHeight="1" s="290">
      <c r="A6" s="348" t="inlineStr">
        <is>
          <t xml:space="preserve">  All values from Tab 08 Section F (annual summary). Representative year: 2028E (col AH in quarterly model). Active scenario controlled by Tab 01 C19 = '01 Cover &amp; Control'!$C$19. Traffic light: green = above Base, yellow = within ±5%, red = below Base.</t>
        </is>
      </c>
    </row>
    <row r="7" ht="3.75" customHeight="1" s="290"/>
    <row r="8" ht="13.5" customHeight="1" s="290">
      <c r="E8" s="449" t="inlineStr">
        <is>
          <t>Total GCI</t>
        </is>
      </c>
      <c r="F8" s="316" t="n"/>
      <c r="G8" s="316" t="n"/>
      <c r="H8" s="316" t="n"/>
      <c r="I8" s="450" t="inlineStr">
        <is>
          <t>$K</t>
        </is>
      </c>
      <c r="J8" s="449" t="inlineStr">
        <is>
          <t>Company Dollar</t>
        </is>
      </c>
      <c r="K8" s="316" t="n"/>
      <c r="L8" s="316" t="n"/>
      <c r="M8" s="316" t="n"/>
      <c r="N8" s="450" t="inlineStr">
        <is>
          <t>$K</t>
        </is>
      </c>
      <c r="O8" s="449" t="inlineStr">
        <is>
          <t>EBITDA</t>
        </is>
      </c>
      <c r="P8" s="316" t="n"/>
      <c r="Q8" s="316" t="n"/>
      <c r="R8" s="316" t="n"/>
      <c r="S8" s="450" t="inlineStr">
        <is>
          <t>$K</t>
        </is>
      </c>
      <c r="T8" s="449" t="inlineStr">
        <is>
          <t>Net Income</t>
        </is>
      </c>
      <c r="U8" s="316" t="n"/>
      <c r="V8" s="316" t="n"/>
      <c r="W8" s="316" t="n"/>
      <c r="X8" s="450" t="inlineStr">
        <is>
          <t>$K</t>
        </is>
      </c>
    </row>
    <row r="9" ht="21.75" customHeight="1" s="290">
      <c r="E9" s="451">
        <f>'08 P&amp;L'!AH97</f>
        <v/>
      </c>
      <c r="F9" s="452" t="n"/>
      <c r="G9" s="452" t="n"/>
      <c r="H9" s="452" t="n"/>
      <c r="I9" s="452" t="n"/>
      <c r="J9" s="451">
        <f>'08 P&amp;L'!AH100</f>
        <v/>
      </c>
      <c r="K9" s="452" t="n"/>
      <c r="L9" s="452" t="n"/>
      <c r="M9" s="452" t="n"/>
      <c r="N9" s="452" t="n"/>
      <c r="O9" s="451">
        <f>'08 P&amp;L'!AH104</f>
        <v/>
      </c>
      <c r="P9" s="452" t="n"/>
      <c r="Q9" s="452" t="n"/>
      <c r="R9" s="452" t="n"/>
      <c r="S9" s="452" t="n"/>
      <c r="T9" s="451">
        <f>'08 P&amp;L'!AH109</f>
        <v/>
      </c>
      <c r="U9" s="452" t="n"/>
      <c r="V9" s="452" t="n"/>
      <c r="W9" s="452" t="n"/>
      <c r="X9" s="452" t="n"/>
    </row>
    <row r="10" ht="12" customHeight="1" s="290">
      <c r="E10" s="453">
        <f>" ("&amp;'01 Cover &amp; Control'!$C$19&amp;")"</f>
        <v/>
      </c>
      <c r="F10" s="316" t="n"/>
      <c r="G10" s="316" t="n"/>
      <c r="H10" s="316" t="n"/>
      <c r="I10" s="316" t="n"/>
      <c r="J10" s="453">
        <f>" ("&amp;'01 Cover &amp; Control'!$C$19&amp;")"</f>
        <v/>
      </c>
      <c r="K10" s="316" t="n"/>
      <c r="L10" s="316" t="n"/>
      <c r="M10" s="316" t="n"/>
      <c r="N10" s="316" t="n"/>
      <c r="O10" s="453">
        <f>" ("&amp;'01 Cover &amp; Control'!$C$19&amp;")"</f>
        <v/>
      </c>
      <c r="P10" s="316" t="n"/>
      <c r="Q10" s="316" t="n"/>
      <c r="R10" s="316" t="n"/>
      <c r="S10" s="316" t="n"/>
      <c r="T10" s="453">
        <f>" ("&amp;'01 Cover &amp; Control'!$C$19&amp;")"</f>
        <v/>
      </c>
      <c r="U10" s="316" t="n"/>
      <c r="V10" s="316" t="n"/>
      <c r="W10" s="316" t="n"/>
      <c r="X10" s="316" t="n"/>
    </row>
    <row r="11" ht="13.5" customHeight="1" s="290"/>
    <row r="12" ht="13.5" customHeight="1" s="290">
      <c r="E12" s="449" t="inlineStr">
        <is>
          <t>EBITDA Margin</t>
        </is>
      </c>
      <c r="F12" s="316" t="n"/>
      <c r="G12" s="316" t="n"/>
      <c r="H12" s="316" t="n"/>
      <c r="I12" s="450" t="inlineStr">
        <is>
          <t>%</t>
        </is>
      </c>
      <c r="J12" s="449" t="inlineStr">
        <is>
          <t>Co$ Margin</t>
        </is>
      </c>
      <c r="K12" s="316" t="n"/>
      <c r="L12" s="316" t="n"/>
      <c r="M12" s="316" t="n"/>
      <c r="N12" s="450" t="inlineStr">
        <is>
          <t>%</t>
        </is>
      </c>
      <c r="O12" s="449" t="inlineStr">
        <is>
          <t>Total Firm EPE</t>
        </is>
      </c>
      <c r="P12" s="316" t="n"/>
      <c r="Q12" s="316" t="n"/>
      <c r="R12" s="316" t="n"/>
      <c r="S12" s="450" t="inlineStr">
        <is>
          <t>#</t>
        </is>
      </c>
      <c r="T12" s="449" t="inlineStr">
        <is>
          <t>Revenue Growth</t>
        </is>
      </c>
      <c r="U12" s="316" t="n"/>
      <c r="V12" s="316" t="n"/>
      <c r="W12" s="316" t="n"/>
      <c r="X12" s="450" t="inlineStr">
        <is>
          <t>%</t>
        </is>
      </c>
    </row>
    <row r="13" ht="21.75" customHeight="1" s="290">
      <c r="E13" s="454">
        <f>'08 P&amp;L'!AH105</f>
        <v/>
      </c>
      <c r="F13" s="452" t="n"/>
      <c r="G13" s="452" t="n"/>
      <c r="H13" s="452" t="n"/>
      <c r="I13" s="452" t="n"/>
      <c r="J13" s="454">
        <f>'08 P&amp;L'!AH101</f>
        <v/>
      </c>
      <c r="K13" s="452" t="n"/>
      <c r="L13" s="452" t="n"/>
      <c r="M13" s="452" t="n"/>
      <c r="N13" s="452" t="n"/>
      <c r="O13" s="455">
        <f>'04 Producer Engine'!AH213</f>
        <v/>
      </c>
      <c r="P13" s="452" t="n"/>
      <c r="Q13" s="452" t="n"/>
      <c r="R13" s="452" t="n"/>
      <c r="S13" s="452" t="n"/>
      <c r="T13" s="456">
        <f>IFERROR('08 P&amp;L'!AH97/'08 P&amp;L'!AC97-1,0)</f>
        <v/>
      </c>
      <c r="U13" s="452" t="n"/>
      <c r="V13" s="452" t="n"/>
      <c r="W13" s="452" t="n"/>
      <c r="X13" s="452" t="n"/>
    </row>
    <row r="14" ht="12" customHeight="1" s="290">
      <c r="E14" s="453">
        <f>" ("&amp;'01 Cover &amp; Control'!$C$19&amp;")"</f>
        <v/>
      </c>
      <c r="F14" s="316" t="n"/>
      <c r="G14" s="316" t="n"/>
      <c r="H14" s="316" t="n"/>
      <c r="I14" s="316" t="n"/>
      <c r="J14" s="453">
        <f>" ("&amp;'01 Cover &amp; Control'!$C$19&amp;")"</f>
        <v/>
      </c>
      <c r="K14" s="316" t="n"/>
      <c r="L14" s="316" t="n"/>
      <c r="M14" s="316" t="n"/>
      <c r="N14" s="316" t="n"/>
      <c r="O14" s="453">
        <f>" ("&amp;'01 Cover &amp; Control'!$C$19&amp;")"</f>
        <v/>
      </c>
      <c r="P14" s="316" t="n"/>
      <c r="Q14" s="316" t="n"/>
      <c r="R14" s="316" t="n"/>
      <c r="S14" s="316" t="n"/>
      <c r="T14" s="453">
        <f>" ("&amp;'01 Cover &amp; Control'!$C$19&amp;")"</f>
        <v/>
      </c>
      <c r="U14" s="316" t="n"/>
      <c r="V14" s="316" t="n"/>
      <c r="W14" s="316" t="n"/>
      <c r="X14" s="316" t="n"/>
    </row>
    <row r="15" ht="13.5" customHeight="1" s="290"/>
    <row r="16" ht="4.5" customHeight="1" s="290"/>
    <row r="17" ht="3" customHeight="1" s="290">
      <c r="A17" s="293" t="n"/>
    </row>
    <row r="18" ht="4.5" customHeight="1" s="290"/>
    <row r="19" ht="15.75" customHeight="1" s="290">
      <c r="A19" s="338" t="inlineStr">
        <is>
          <t xml:space="preserve">  SECTION B — THREE-SCENARIO COMPARISON TABLE  (2028E Representative Year)</t>
        </is>
      </c>
    </row>
    <row r="20" ht="3.75" customHeight="1" s="290"/>
    <row r="21" ht="19.5" customHeight="1" s="290">
      <c r="A21" s="348" t="inlineStr">
        <is>
          <t xml:space="preserve">  Active Scenario: live from Tab 08 (all years). Base/Upside/Downside: estimated for 2028E using direct references to Tab 02/03 scenario rows. Revenue scaling formula: GCI_scen = GCI_active × (IS_Vol_scen / IS_Vol_active). Co$ and EBITDA estimated using active Co$/GCI and EBITDA/Co$ margins adjusted for assumption spread. Analyst should enter assumption values in Tabs 02/03 to see non-zero estimates.</t>
        </is>
      </c>
    </row>
    <row r="22" ht="3.75" customHeight="1" s="290"/>
    <row r="23" ht="19.5" customHeight="1" s="290">
      <c r="B23" s="337" t="inlineStr">
        <is>
          <t>Metric</t>
        </is>
      </c>
      <c r="C23" s="337" t="inlineStr">
        <is>
          <t>Units</t>
        </is>
      </c>
      <c r="D23" s="337" t="inlineStr">
        <is>
          <t>Note</t>
        </is>
      </c>
      <c r="E23" s="336" t="inlineStr">
        <is>
          <t>Active
2026E</t>
        </is>
      </c>
      <c r="F23" s="336" t="inlineStr">
        <is>
          <t>Active
2027E</t>
        </is>
      </c>
      <c r="G23" s="336" t="inlineStr">
        <is>
          <t>Active
2028E</t>
        </is>
      </c>
      <c r="H23" s="336" t="inlineStr">
        <is>
          <t>Active
2029E</t>
        </is>
      </c>
      <c r="I23" s="457" t="inlineStr">
        <is>
          <t>Base
2028E Est.</t>
        </is>
      </c>
      <c r="J23" s="458" t="inlineStr">
        <is>
          <t>Upside
2028E Est.</t>
        </is>
      </c>
      <c r="K23" s="459" t="inlineStr">
        <is>
          <t>Downside
2028E Est.</t>
        </is>
      </c>
      <c r="L23" s="460" t="inlineStr">
        <is>
          <t>Δ Up vs
Base</t>
        </is>
      </c>
      <c r="M23" s="461" t="inlineStr">
        <is>
          <t>Δ Down vs
Base</t>
        </is>
      </c>
    </row>
    <row r="24" ht="15" customHeight="1" s="290">
      <c r="B24" s="462" t="inlineStr">
        <is>
          <t>Total GCI</t>
        </is>
      </c>
      <c r="C24" s="463" t="inlineStr">
        <is>
          <t>$K</t>
        </is>
      </c>
      <c r="D24" s="464" t="inlineStr">
        <is>
          <t>T08 row 97</t>
        </is>
      </c>
      <c r="E24" s="465">
        <f>'08 P&amp;L'!X97</f>
        <v/>
      </c>
      <c r="F24" s="465">
        <f>'08 P&amp;L'!AC97</f>
        <v/>
      </c>
      <c r="G24" s="465">
        <f>'08 P&amp;L'!AH97</f>
        <v/>
      </c>
      <c r="H24" s="465">
        <f>'08 P&amp;L'!AM97</f>
        <v/>
      </c>
      <c r="I24" s="466">
        <f>IFERROR('08 P&amp;L'!AH97*IFERROR('02 Market Assumptions'!AH49/'02 Market Assumptions'!AH52,1)*IFERROR('02 Market Assumptions'!AH121/'02 Market Assumptions'!AH124,1),'08 P&amp;L'!AH97)</f>
        <v/>
      </c>
      <c r="J24" s="467">
        <f>IFERROR('08 P&amp;L'!AH97*IFERROR('02 Market Assumptions'!AH50/'02 Market Assumptions'!AH52,1)*IFERROR('02 Market Assumptions'!AH122/'02 Market Assumptions'!AH124,1),'08 P&amp;L'!AH97)</f>
        <v/>
      </c>
      <c r="K24" s="468">
        <f>IFERROR('08 P&amp;L'!AH97*IFERROR('02 Market Assumptions'!AH51/'02 Market Assumptions'!AH52,1)*IFERROR('02 Market Assumptions'!AH123/'02 Market Assumptions'!AH124,1),'08 P&amp;L'!AH97)</f>
        <v/>
      </c>
      <c r="L24" s="469">
        <f>IFERROR((IFERROR('08 P&amp;L'!AH97*IFERROR('02 Market Assumptions'!AH50/'02 Market Assumptions'!AH52,1)*IFERROR('02 Market Assumptions'!AH122/'02 Market Assumptions'!AH124,1),'08 P&amp;L'!AH97))-(IFERROR('08 P&amp;L'!AH97*IFERROR('02 Market Assumptions'!AH49/'02 Market Assumptions'!AH52,1)*IFERROR('02 Market Assumptions'!AH121/'02 Market Assumptions'!AH124,1),'08 P&amp;L'!AH97)),0)</f>
        <v/>
      </c>
      <c r="M24" s="470">
        <f>IFERROR((IFERROR('08 P&amp;L'!AH97*IFERROR('02 Market Assumptions'!AH51/'02 Market Assumptions'!AH52,1)*IFERROR('02 Market Assumptions'!AH123/'02 Market Assumptions'!AH124,1),'08 P&amp;L'!AH97))-(IFERROR('08 P&amp;L'!AH97*IFERROR('02 Market Assumptions'!AH49/'02 Market Assumptions'!AH52,1)*IFERROR('02 Market Assumptions'!AH121/'02 Market Assumptions'!AH124,1),'08 P&amp;L'!AH97)),0)</f>
        <v/>
      </c>
    </row>
    <row r="25" ht="13.5" customHeight="1" s="290">
      <c r="B25" s="471" t="inlineStr">
        <is>
          <t xml:space="preserve">  Leasing GCI</t>
        </is>
      </c>
      <c r="C25" s="463" t="inlineStr">
        <is>
          <t>$K</t>
        </is>
      </c>
      <c r="D25" s="464" t="inlineStr">
        <is>
          <t>T08 row 93</t>
        </is>
      </c>
      <c r="E25" s="472">
        <f>'08 P&amp;L'!X93</f>
        <v/>
      </c>
      <c r="F25" s="472">
        <f>'08 P&amp;L'!AC93</f>
        <v/>
      </c>
      <c r="G25" s="472">
        <f>'08 P&amp;L'!AH93</f>
        <v/>
      </c>
      <c r="H25" s="472">
        <f>'08 P&amp;L'!AM93</f>
        <v/>
      </c>
      <c r="I25" s="473">
        <f>IFERROR('08 P&amp;L'!AH93*IFERROR('02 Market Assumptions'!AH49/'02 Market Assumptions'!AH52,1)*IFERROR('02 Market Assumptions'!AH121/'02 Market Assumptions'!AH124,1),'08 P&amp;L'!AH93)</f>
        <v/>
      </c>
      <c r="J25" s="474">
        <f>IFERROR('08 P&amp;L'!AH93*IFERROR('02 Market Assumptions'!AH50/'02 Market Assumptions'!AH52,1)*IFERROR('02 Market Assumptions'!AH122/'02 Market Assumptions'!AH124,1),'08 P&amp;L'!AH93)</f>
        <v/>
      </c>
      <c r="K25" s="475">
        <f>IFERROR('08 P&amp;L'!AH93*IFERROR('02 Market Assumptions'!AH51/'02 Market Assumptions'!AH52,1)*IFERROR('02 Market Assumptions'!AH123/'02 Market Assumptions'!AH124,1),'08 P&amp;L'!AH93)</f>
        <v/>
      </c>
      <c r="L25" s="469">
        <f>IFERROR((IFERROR('08 P&amp;L'!AH93*IFERROR('02 Market Assumptions'!AH50/'02 Market Assumptions'!AH52,1)*IFERROR('02 Market Assumptions'!AH122/'02 Market Assumptions'!AH124,1),'08 P&amp;L'!AH93))-(IFERROR('08 P&amp;L'!AH93*IFERROR('02 Market Assumptions'!AH49/'02 Market Assumptions'!AH52,1)*IFERROR('02 Market Assumptions'!AH121/'02 Market Assumptions'!AH124,1),'08 P&amp;L'!AH93)),0)</f>
        <v/>
      </c>
      <c r="M25" s="470">
        <f>IFERROR((IFERROR('08 P&amp;L'!AH93*IFERROR('02 Market Assumptions'!AH51/'02 Market Assumptions'!AH52,1)*IFERROR('02 Market Assumptions'!AH123/'02 Market Assumptions'!AH124,1),'08 P&amp;L'!AH93))-(IFERROR('08 P&amp;L'!AH93*IFERROR('02 Market Assumptions'!AH49/'02 Market Assumptions'!AH52,1)*IFERROR('02 Market Assumptions'!AH121/'02 Market Assumptions'!AH124,1),'08 P&amp;L'!AH93)),0)</f>
        <v/>
      </c>
    </row>
    <row r="26" ht="13.5" customHeight="1" s="290">
      <c r="B26" s="471" t="inlineStr">
        <is>
          <t xml:space="preserve">  IS GCI</t>
        </is>
      </c>
      <c r="C26" s="463" t="inlineStr">
        <is>
          <t>$K</t>
        </is>
      </c>
      <c r="D26" s="464" t="inlineStr">
        <is>
          <t>T08 row 94</t>
        </is>
      </c>
      <c r="E26" s="472">
        <f>'08 P&amp;L'!X94</f>
        <v/>
      </c>
      <c r="F26" s="472">
        <f>'08 P&amp;L'!AC94</f>
        <v/>
      </c>
      <c r="G26" s="472">
        <f>'08 P&amp;L'!AH94</f>
        <v/>
      </c>
      <c r="H26" s="472">
        <f>'08 P&amp;L'!AM94</f>
        <v/>
      </c>
      <c r="I26" s="473">
        <f>IFERROR('08 P&amp;L'!AH94*IFERROR('02 Market Assumptions'!AH49/'02 Market Assumptions'!AH52,1)*IFERROR('02 Market Assumptions'!AH121/'02 Market Assumptions'!AH124,1),'08 P&amp;L'!AH94)</f>
        <v/>
      </c>
      <c r="J26" s="474">
        <f>IFERROR('08 P&amp;L'!AH94*IFERROR('02 Market Assumptions'!AH50/'02 Market Assumptions'!AH52,1)*IFERROR('02 Market Assumptions'!AH122/'02 Market Assumptions'!AH124,1),'08 P&amp;L'!AH94)</f>
        <v/>
      </c>
      <c r="K26" s="475">
        <f>IFERROR('08 P&amp;L'!AH94*IFERROR('02 Market Assumptions'!AH51/'02 Market Assumptions'!AH52,1)*IFERROR('02 Market Assumptions'!AH123/'02 Market Assumptions'!AH124,1),'08 P&amp;L'!AH94)</f>
        <v/>
      </c>
      <c r="L26" s="469">
        <f>IFERROR((IFERROR('08 P&amp;L'!AH94*IFERROR('02 Market Assumptions'!AH50/'02 Market Assumptions'!AH52,1)*IFERROR('02 Market Assumptions'!AH122/'02 Market Assumptions'!AH124,1),'08 P&amp;L'!AH94))-(IFERROR('08 P&amp;L'!AH94*IFERROR('02 Market Assumptions'!AH49/'02 Market Assumptions'!AH52,1)*IFERROR('02 Market Assumptions'!AH121/'02 Market Assumptions'!AH124,1),'08 P&amp;L'!AH94)),0)</f>
        <v/>
      </c>
      <c r="M26" s="470">
        <f>IFERROR((IFERROR('08 P&amp;L'!AH94*IFERROR('02 Market Assumptions'!AH51/'02 Market Assumptions'!AH52,1)*IFERROR('02 Market Assumptions'!AH123/'02 Market Assumptions'!AH124,1),'08 P&amp;L'!AH94))-(IFERROR('08 P&amp;L'!AH94*IFERROR('02 Market Assumptions'!AH49/'02 Market Assumptions'!AH52,1)*IFERROR('02 Market Assumptions'!AH121/'02 Market Assumptions'!AH124,1),'08 P&amp;L'!AH94)),0)</f>
        <v/>
      </c>
    </row>
    <row r="27" ht="13.5" customHeight="1" s="290">
      <c r="B27" s="471" t="inlineStr">
        <is>
          <t xml:space="preserve">  D&amp;E GCI</t>
        </is>
      </c>
      <c r="C27" s="463" t="inlineStr">
        <is>
          <t>$K</t>
        </is>
      </c>
      <c r="D27" s="464" t="inlineStr">
        <is>
          <t>T08 row 95</t>
        </is>
      </c>
      <c r="E27" s="472">
        <f>'08 P&amp;L'!X95</f>
        <v/>
      </c>
      <c r="F27" s="472">
        <f>'08 P&amp;L'!AC95</f>
        <v/>
      </c>
      <c r="G27" s="472">
        <f>'08 P&amp;L'!AH95</f>
        <v/>
      </c>
      <c r="H27" s="472">
        <f>'08 P&amp;L'!AM95</f>
        <v/>
      </c>
      <c r="I27" s="473">
        <f>IFERROR('08 P&amp;L'!AH95*IFERROR('02 Market Assumptions'!AH49/'02 Market Assumptions'!AH52,1)*IFERROR('02 Market Assumptions'!AH121/'02 Market Assumptions'!AH124,1),'08 P&amp;L'!AH95)</f>
        <v/>
      </c>
      <c r="J27" s="474">
        <f>IFERROR('08 P&amp;L'!AH95*IFERROR('02 Market Assumptions'!AH50/'02 Market Assumptions'!AH52,1)*IFERROR('02 Market Assumptions'!AH122/'02 Market Assumptions'!AH124,1),'08 P&amp;L'!AH95)</f>
        <v/>
      </c>
      <c r="K27" s="475">
        <f>IFERROR('08 P&amp;L'!AH95*IFERROR('02 Market Assumptions'!AH51/'02 Market Assumptions'!AH52,1)*IFERROR('02 Market Assumptions'!AH123/'02 Market Assumptions'!AH124,1),'08 P&amp;L'!AH95)</f>
        <v/>
      </c>
      <c r="L27" s="469">
        <f>IFERROR((IFERROR('08 P&amp;L'!AH95*IFERROR('02 Market Assumptions'!AH50/'02 Market Assumptions'!AH52,1)*IFERROR('02 Market Assumptions'!AH122/'02 Market Assumptions'!AH124,1),'08 P&amp;L'!AH95))-(IFERROR('08 P&amp;L'!AH95*IFERROR('02 Market Assumptions'!AH49/'02 Market Assumptions'!AH52,1)*IFERROR('02 Market Assumptions'!AH121/'02 Market Assumptions'!AH124,1),'08 P&amp;L'!AH95)),0)</f>
        <v/>
      </c>
      <c r="M27" s="470">
        <f>IFERROR((IFERROR('08 P&amp;L'!AH95*IFERROR('02 Market Assumptions'!AH51/'02 Market Assumptions'!AH52,1)*IFERROR('02 Market Assumptions'!AH123/'02 Market Assumptions'!AH124,1),'08 P&amp;L'!AH95))-(IFERROR('08 P&amp;L'!AH95*IFERROR('02 Market Assumptions'!AH49/'02 Market Assumptions'!AH52,1)*IFERROR('02 Market Assumptions'!AH121/'02 Market Assumptions'!AH124,1),'08 P&amp;L'!AH95)),0)</f>
        <v/>
      </c>
    </row>
    <row r="28" ht="13.5" customHeight="1" s="290">
      <c r="B28" s="471" t="inlineStr">
        <is>
          <t xml:space="preserve">  Advisory Revenue</t>
        </is>
      </c>
      <c r="C28" s="463" t="inlineStr">
        <is>
          <t>$K</t>
        </is>
      </c>
      <c r="D28" s="464" t="inlineStr">
        <is>
          <t>T08 row 96</t>
        </is>
      </c>
      <c r="E28" s="472">
        <f>'08 P&amp;L'!X96</f>
        <v/>
      </c>
      <c r="F28" s="472">
        <f>'08 P&amp;L'!AC96</f>
        <v/>
      </c>
      <c r="G28" s="472">
        <f>'08 P&amp;L'!AH96</f>
        <v/>
      </c>
      <c r="H28" s="472">
        <f>'08 P&amp;L'!AM96</f>
        <v/>
      </c>
      <c r="I28" s="473">
        <f>IFERROR('08 P&amp;L'!AH96*IFERROR('02 Market Assumptions'!AH49/'02 Market Assumptions'!AH52,1)*IFERROR('02 Market Assumptions'!AH121/'02 Market Assumptions'!AH124,1),'08 P&amp;L'!AH96)</f>
        <v/>
      </c>
      <c r="J28" s="474">
        <f>IFERROR('08 P&amp;L'!AH96*IFERROR('02 Market Assumptions'!AH50/'02 Market Assumptions'!AH52,1)*IFERROR('02 Market Assumptions'!AH122/'02 Market Assumptions'!AH124,1),'08 P&amp;L'!AH96)</f>
        <v/>
      </c>
      <c r="K28" s="475">
        <f>IFERROR('08 P&amp;L'!AH96*IFERROR('02 Market Assumptions'!AH51/'02 Market Assumptions'!AH52,1)*IFERROR('02 Market Assumptions'!AH123/'02 Market Assumptions'!AH124,1),'08 P&amp;L'!AH96)</f>
        <v/>
      </c>
      <c r="L28" s="469">
        <f>IFERROR((IFERROR('08 P&amp;L'!AH96*IFERROR('02 Market Assumptions'!AH50/'02 Market Assumptions'!AH52,1)*IFERROR('02 Market Assumptions'!AH122/'02 Market Assumptions'!AH124,1),'08 P&amp;L'!AH96))-(IFERROR('08 P&amp;L'!AH96*IFERROR('02 Market Assumptions'!AH49/'02 Market Assumptions'!AH52,1)*IFERROR('02 Market Assumptions'!AH121/'02 Market Assumptions'!AH124,1),'08 P&amp;L'!AH96)),0)</f>
        <v/>
      </c>
      <c r="M28" s="470">
        <f>IFERROR((IFERROR('08 P&amp;L'!AH96*IFERROR('02 Market Assumptions'!AH51/'02 Market Assumptions'!AH52,1)*IFERROR('02 Market Assumptions'!AH123/'02 Market Assumptions'!AH124,1),'08 P&amp;L'!AH96))-(IFERROR('08 P&amp;L'!AH96*IFERROR('02 Market Assumptions'!AH49/'02 Market Assumptions'!AH52,1)*IFERROR('02 Market Assumptions'!AH121/'02 Market Assumptions'!AH124,1),'08 P&amp;L'!AH96)),0)</f>
        <v/>
      </c>
    </row>
    <row r="29" ht="13.5" customHeight="1" s="290">
      <c r="B29" s="471" t="inlineStr">
        <is>
          <t>Producer Payouts</t>
        </is>
      </c>
      <c r="C29" s="463" t="inlineStr">
        <is>
          <t>$K</t>
        </is>
      </c>
      <c r="D29" s="464" t="inlineStr">
        <is>
          <t>T08 row 99</t>
        </is>
      </c>
      <c r="E29" s="472">
        <f>'08 P&amp;L'!X99</f>
        <v/>
      </c>
      <c r="F29" s="472">
        <f>'08 P&amp;L'!AC99</f>
        <v/>
      </c>
      <c r="G29" s="472">
        <f>'08 P&amp;L'!AH99</f>
        <v/>
      </c>
      <c r="H29" s="472">
        <f>'08 P&amp;L'!AM99</f>
        <v/>
      </c>
      <c r="I29" s="473">
        <f>IFERROR('08 P&amp;L'!AH99*IFERROR('02 Market Assumptions'!AH49/'02 Market Assumptions'!AH52,1)*IFERROR('02 Market Assumptions'!AH121/'02 Market Assumptions'!AH124,1),'08 P&amp;L'!AH99)</f>
        <v/>
      </c>
      <c r="J29" s="474">
        <f>IFERROR('08 P&amp;L'!AH99*IFERROR('02 Market Assumptions'!AH50/'02 Market Assumptions'!AH52,1)*IFERROR('02 Market Assumptions'!AH122/'02 Market Assumptions'!AH124,1),'08 P&amp;L'!AH99)</f>
        <v/>
      </c>
      <c r="K29" s="475">
        <f>IFERROR('08 P&amp;L'!AH99*IFERROR('02 Market Assumptions'!AH51/'02 Market Assumptions'!AH52,1)*IFERROR('02 Market Assumptions'!AH123/'02 Market Assumptions'!AH124,1),'08 P&amp;L'!AH99)</f>
        <v/>
      </c>
      <c r="L29" s="469">
        <f>IFERROR((IFERROR('08 P&amp;L'!AH99*IFERROR('02 Market Assumptions'!AH50/'02 Market Assumptions'!AH52,1)*IFERROR('02 Market Assumptions'!AH122/'02 Market Assumptions'!AH124,1),'08 P&amp;L'!AH99))-(IFERROR('08 P&amp;L'!AH99*IFERROR('02 Market Assumptions'!AH49/'02 Market Assumptions'!AH52,1)*IFERROR('02 Market Assumptions'!AH121/'02 Market Assumptions'!AH124,1),'08 P&amp;L'!AH99)),0)</f>
        <v/>
      </c>
      <c r="M29" s="470">
        <f>IFERROR((IFERROR('08 P&amp;L'!AH99*IFERROR('02 Market Assumptions'!AH51/'02 Market Assumptions'!AH52,1)*IFERROR('02 Market Assumptions'!AH123/'02 Market Assumptions'!AH124,1),'08 P&amp;L'!AH99))-(IFERROR('08 P&amp;L'!AH99*IFERROR('02 Market Assumptions'!AH49/'02 Market Assumptions'!AH52,1)*IFERROR('02 Market Assumptions'!AH121/'02 Market Assumptions'!AH124,1),'08 P&amp;L'!AH99)),0)</f>
        <v/>
      </c>
    </row>
    <row r="30" ht="15" customHeight="1" s="290">
      <c r="B30" s="462" t="inlineStr">
        <is>
          <t>Company Dollar</t>
        </is>
      </c>
      <c r="C30" s="463" t="inlineStr">
        <is>
          <t>$K</t>
        </is>
      </c>
      <c r="D30" s="464" t="inlineStr">
        <is>
          <t>T08 row 100</t>
        </is>
      </c>
      <c r="E30" s="465">
        <f>'08 P&amp;L'!X100</f>
        <v/>
      </c>
      <c r="F30" s="465">
        <f>'08 P&amp;L'!AC100</f>
        <v/>
      </c>
      <c r="G30" s="465">
        <f>'08 P&amp;L'!AH100</f>
        <v/>
      </c>
      <c r="H30" s="465">
        <f>'08 P&amp;L'!AM100</f>
        <v/>
      </c>
      <c r="I30" s="466">
        <f>IFERROR('08 P&amp;L'!AH100*IFERROR('02 Market Assumptions'!AH49/'02 Market Assumptions'!AH52,1)*IFERROR('02 Market Assumptions'!AH121/'02 Market Assumptions'!AH124,1),'08 P&amp;L'!AH100)</f>
        <v/>
      </c>
      <c r="J30" s="467">
        <f>IFERROR('08 P&amp;L'!AH100*IFERROR('02 Market Assumptions'!AH50/'02 Market Assumptions'!AH52,1)*IFERROR('02 Market Assumptions'!AH122/'02 Market Assumptions'!AH124,1),'08 P&amp;L'!AH100)</f>
        <v/>
      </c>
      <c r="K30" s="468">
        <f>IFERROR('08 P&amp;L'!AH100*IFERROR('02 Market Assumptions'!AH51/'02 Market Assumptions'!AH52,1)*IFERROR('02 Market Assumptions'!AH123/'02 Market Assumptions'!AH124,1),'08 P&amp;L'!AH100)</f>
        <v/>
      </c>
      <c r="L30" s="469">
        <f>IFERROR((IFERROR('08 P&amp;L'!AH100*IFERROR('02 Market Assumptions'!AH50/'02 Market Assumptions'!AH52,1)*IFERROR('02 Market Assumptions'!AH122/'02 Market Assumptions'!AH124,1),'08 P&amp;L'!AH100))-(IFERROR('08 P&amp;L'!AH100*IFERROR('02 Market Assumptions'!AH49/'02 Market Assumptions'!AH52,1)*IFERROR('02 Market Assumptions'!AH121/'02 Market Assumptions'!AH124,1),'08 P&amp;L'!AH100)),0)</f>
        <v/>
      </c>
      <c r="M30" s="470">
        <f>IFERROR((IFERROR('08 P&amp;L'!AH100*IFERROR('02 Market Assumptions'!AH51/'02 Market Assumptions'!AH52,1)*IFERROR('02 Market Assumptions'!AH123/'02 Market Assumptions'!AH124,1),'08 P&amp;L'!AH100))-(IFERROR('08 P&amp;L'!AH100*IFERROR('02 Market Assumptions'!AH49/'02 Market Assumptions'!AH52,1)*IFERROR('02 Market Assumptions'!AH121/'02 Market Assumptions'!AH124,1),'08 P&amp;L'!AH100)),0)</f>
        <v/>
      </c>
    </row>
    <row r="31" ht="13.5" customHeight="1" s="290">
      <c r="B31" s="471" t="inlineStr">
        <is>
          <t>Company Dollar Margin %</t>
        </is>
      </c>
      <c r="C31" s="463" t="inlineStr">
        <is>
          <t>%</t>
        </is>
      </c>
      <c r="D31" s="464" t="inlineStr">
        <is>
          <t>T08 row 101</t>
        </is>
      </c>
      <c r="E31" s="476">
        <f>'08 P&amp;L'!X101</f>
        <v/>
      </c>
      <c r="F31" s="476">
        <f>'08 P&amp;L'!AC101</f>
        <v/>
      </c>
      <c r="G31" s="476">
        <f>'08 P&amp;L'!AH101</f>
        <v/>
      </c>
      <c r="H31" s="476">
        <f>'08 P&amp;L'!AM101</f>
        <v/>
      </c>
      <c r="I31" s="477">
        <f>'08 P&amp;L'!AH101</f>
        <v/>
      </c>
      <c r="J31" s="478">
        <f>'08 P&amp;L'!AH101</f>
        <v/>
      </c>
      <c r="K31" s="479">
        <f>'08 P&amp;L'!AH101</f>
        <v/>
      </c>
      <c r="L31" s="480">
        <f>IFERROR(('08 P&amp;L'!AH101)-('08 P&amp;L'!AH101),0)</f>
        <v/>
      </c>
      <c r="M31" s="481">
        <f>IFERROR(('08 P&amp;L'!AH101)-('08 P&amp;L'!AH101),0)</f>
        <v/>
      </c>
    </row>
    <row r="32" ht="13.5" customHeight="1" s="290">
      <c r="B32" s="471" t="inlineStr">
        <is>
          <t>Total Operating Expenses</t>
        </is>
      </c>
      <c r="C32" s="463" t="inlineStr">
        <is>
          <t>$K</t>
        </is>
      </c>
      <c r="D32" s="464" t="inlineStr">
        <is>
          <t>T08 row 103</t>
        </is>
      </c>
      <c r="E32" s="472">
        <f>'08 P&amp;L'!X103</f>
        <v/>
      </c>
      <c r="F32" s="472">
        <f>'08 P&amp;L'!AC103</f>
        <v/>
      </c>
      <c r="G32" s="472">
        <f>'08 P&amp;L'!AH103</f>
        <v/>
      </c>
      <c r="H32" s="472">
        <f>'08 P&amp;L'!AM103</f>
        <v/>
      </c>
      <c r="I32" s="473">
        <f>IFERROR('08 P&amp;L'!AH103*IFERROR('02 Market Assumptions'!AH49/'02 Market Assumptions'!AH52,1)*IFERROR('02 Market Assumptions'!AH121/'02 Market Assumptions'!AH124,1),'08 P&amp;L'!AH103)</f>
        <v/>
      </c>
      <c r="J32" s="474">
        <f>IFERROR('08 P&amp;L'!AH103*IFERROR('02 Market Assumptions'!AH50/'02 Market Assumptions'!AH52,1)*IFERROR('02 Market Assumptions'!AH122/'02 Market Assumptions'!AH124,1),'08 P&amp;L'!AH103)</f>
        <v/>
      </c>
      <c r="K32" s="475">
        <f>IFERROR('08 P&amp;L'!AH103*IFERROR('02 Market Assumptions'!AH51/'02 Market Assumptions'!AH52,1)*IFERROR('02 Market Assumptions'!AH123/'02 Market Assumptions'!AH124,1),'08 P&amp;L'!AH103)</f>
        <v/>
      </c>
      <c r="L32" s="469">
        <f>IFERROR((IFERROR('08 P&amp;L'!AH103*IFERROR('02 Market Assumptions'!AH50/'02 Market Assumptions'!AH52,1)*IFERROR('02 Market Assumptions'!AH122/'02 Market Assumptions'!AH124,1),'08 P&amp;L'!AH103))-(IFERROR('08 P&amp;L'!AH103*IFERROR('02 Market Assumptions'!AH49/'02 Market Assumptions'!AH52,1)*IFERROR('02 Market Assumptions'!AH121/'02 Market Assumptions'!AH124,1),'08 P&amp;L'!AH103)),0)</f>
        <v/>
      </c>
      <c r="M32" s="470">
        <f>IFERROR((IFERROR('08 P&amp;L'!AH103*IFERROR('02 Market Assumptions'!AH51/'02 Market Assumptions'!AH52,1)*IFERROR('02 Market Assumptions'!AH123/'02 Market Assumptions'!AH124,1),'08 P&amp;L'!AH103))-(IFERROR('08 P&amp;L'!AH103*IFERROR('02 Market Assumptions'!AH49/'02 Market Assumptions'!AH52,1)*IFERROR('02 Market Assumptions'!AH121/'02 Market Assumptions'!AH124,1),'08 P&amp;L'!AH103)),0)</f>
        <v/>
      </c>
    </row>
    <row r="33" ht="15" customHeight="1" s="290">
      <c r="B33" s="462" t="inlineStr">
        <is>
          <t>EBITDA</t>
        </is>
      </c>
      <c r="C33" s="463" t="inlineStr">
        <is>
          <t>$K</t>
        </is>
      </c>
      <c r="D33" s="464" t="inlineStr">
        <is>
          <t>T08 row 104</t>
        </is>
      </c>
      <c r="E33" s="465">
        <f>'08 P&amp;L'!X104</f>
        <v/>
      </c>
      <c r="F33" s="465">
        <f>'08 P&amp;L'!AC104</f>
        <v/>
      </c>
      <c r="G33" s="465">
        <f>'08 P&amp;L'!AH104</f>
        <v/>
      </c>
      <c r="H33" s="465">
        <f>'08 P&amp;L'!AM104</f>
        <v/>
      </c>
      <c r="I33" s="466">
        <f>IFERROR('08 P&amp;L'!AH104*IFERROR('02 Market Assumptions'!AH49/'02 Market Assumptions'!AH52,1)*IFERROR('02 Market Assumptions'!AH121/'02 Market Assumptions'!AH124,1),'08 P&amp;L'!AH104)</f>
        <v/>
      </c>
      <c r="J33" s="467">
        <f>IFERROR('08 P&amp;L'!AH104*IFERROR('02 Market Assumptions'!AH50/'02 Market Assumptions'!AH52,1)*IFERROR('02 Market Assumptions'!AH122/'02 Market Assumptions'!AH124,1),'08 P&amp;L'!AH104)</f>
        <v/>
      </c>
      <c r="K33" s="468">
        <f>IFERROR('08 P&amp;L'!AH104*IFERROR('02 Market Assumptions'!AH51/'02 Market Assumptions'!AH52,1)*IFERROR('02 Market Assumptions'!AH123/'02 Market Assumptions'!AH124,1),'08 P&amp;L'!AH104)</f>
        <v/>
      </c>
      <c r="L33" s="469">
        <f>IFERROR((IFERROR('08 P&amp;L'!AH104*IFERROR('02 Market Assumptions'!AH50/'02 Market Assumptions'!AH52,1)*IFERROR('02 Market Assumptions'!AH122/'02 Market Assumptions'!AH124,1),'08 P&amp;L'!AH104))-(IFERROR('08 P&amp;L'!AH104*IFERROR('02 Market Assumptions'!AH49/'02 Market Assumptions'!AH52,1)*IFERROR('02 Market Assumptions'!AH121/'02 Market Assumptions'!AH124,1),'08 P&amp;L'!AH104)),0)</f>
        <v/>
      </c>
      <c r="M33" s="470">
        <f>IFERROR((IFERROR('08 P&amp;L'!AH104*IFERROR('02 Market Assumptions'!AH51/'02 Market Assumptions'!AH52,1)*IFERROR('02 Market Assumptions'!AH123/'02 Market Assumptions'!AH124,1),'08 P&amp;L'!AH104))-(IFERROR('08 P&amp;L'!AH104*IFERROR('02 Market Assumptions'!AH49/'02 Market Assumptions'!AH52,1)*IFERROR('02 Market Assumptions'!AH121/'02 Market Assumptions'!AH124,1),'08 P&amp;L'!AH104)),0)</f>
        <v/>
      </c>
    </row>
    <row r="34" ht="13.5" customHeight="1" s="290">
      <c r="B34" s="471" t="inlineStr">
        <is>
          <t>EBITDA Margin %</t>
        </is>
      </c>
      <c r="C34" s="463" t="inlineStr">
        <is>
          <t>%</t>
        </is>
      </c>
      <c r="D34" s="464" t="inlineStr">
        <is>
          <t>T08 row 105</t>
        </is>
      </c>
      <c r="E34" s="476">
        <f>'08 P&amp;L'!X105</f>
        <v/>
      </c>
      <c r="F34" s="476">
        <f>'08 P&amp;L'!AC105</f>
        <v/>
      </c>
      <c r="G34" s="476">
        <f>'08 P&amp;L'!AH105</f>
        <v/>
      </c>
      <c r="H34" s="476">
        <f>'08 P&amp;L'!AM105</f>
        <v/>
      </c>
      <c r="I34" s="477">
        <f>'08 P&amp;L'!AH105</f>
        <v/>
      </c>
      <c r="J34" s="478">
        <f>'08 P&amp;L'!AH105</f>
        <v/>
      </c>
      <c r="K34" s="479">
        <f>'08 P&amp;L'!AH105</f>
        <v/>
      </c>
      <c r="L34" s="480">
        <f>IFERROR(('08 P&amp;L'!AH105)-('08 P&amp;L'!AH105),0)</f>
        <v/>
      </c>
      <c r="M34" s="481">
        <f>IFERROR(('08 P&amp;L'!AH105)-('08 P&amp;L'!AH105),0)</f>
        <v/>
      </c>
    </row>
    <row r="35" ht="13.5" customHeight="1" s="290">
      <c r="B35" s="471" t="inlineStr">
        <is>
          <t>Net Income</t>
        </is>
      </c>
      <c r="C35" s="463" t="inlineStr">
        <is>
          <t>$K</t>
        </is>
      </c>
      <c r="D35" s="464" t="inlineStr">
        <is>
          <t>T08 row 109</t>
        </is>
      </c>
      <c r="E35" s="472">
        <f>'08 P&amp;L'!X109</f>
        <v/>
      </c>
      <c r="F35" s="472">
        <f>'08 P&amp;L'!AC109</f>
        <v/>
      </c>
      <c r="G35" s="472">
        <f>'08 P&amp;L'!AH109</f>
        <v/>
      </c>
      <c r="H35" s="472">
        <f>'08 P&amp;L'!AM109</f>
        <v/>
      </c>
      <c r="I35" s="473">
        <f>IFERROR('08 P&amp;L'!AH109*IFERROR('02 Market Assumptions'!AH49/'02 Market Assumptions'!AH52,1)*IFERROR('02 Market Assumptions'!AH121/'02 Market Assumptions'!AH124,1),'08 P&amp;L'!AH109)</f>
        <v/>
      </c>
      <c r="J35" s="474">
        <f>IFERROR('08 P&amp;L'!AH109*IFERROR('02 Market Assumptions'!AH50/'02 Market Assumptions'!AH52,1)*IFERROR('02 Market Assumptions'!AH122/'02 Market Assumptions'!AH124,1),'08 P&amp;L'!AH109)</f>
        <v/>
      </c>
      <c r="K35" s="475">
        <f>IFERROR('08 P&amp;L'!AH109*IFERROR('02 Market Assumptions'!AH51/'02 Market Assumptions'!AH52,1)*IFERROR('02 Market Assumptions'!AH123/'02 Market Assumptions'!AH124,1),'08 P&amp;L'!AH109)</f>
        <v/>
      </c>
      <c r="L35" s="469">
        <f>IFERROR((IFERROR('08 P&amp;L'!AH109*IFERROR('02 Market Assumptions'!AH50/'02 Market Assumptions'!AH52,1)*IFERROR('02 Market Assumptions'!AH122/'02 Market Assumptions'!AH124,1),'08 P&amp;L'!AH109))-(IFERROR('08 P&amp;L'!AH109*IFERROR('02 Market Assumptions'!AH49/'02 Market Assumptions'!AH52,1)*IFERROR('02 Market Assumptions'!AH121/'02 Market Assumptions'!AH124,1),'08 P&amp;L'!AH109)),0)</f>
        <v/>
      </c>
      <c r="M35" s="470">
        <f>IFERROR((IFERROR('08 P&amp;L'!AH109*IFERROR('02 Market Assumptions'!AH51/'02 Market Assumptions'!AH52,1)*IFERROR('02 Market Assumptions'!AH123/'02 Market Assumptions'!AH124,1),'08 P&amp;L'!AH109))-(IFERROR('08 P&amp;L'!AH109*IFERROR('02 Market Assumptions'!AH49/'02 Market Assumptions'!AH52,1)*IFERROR('02 Market Assumptions'!AH121/'02 Market Assumptions'!AH124,1),'08 P&amp;L'!AH109)),0)</f>
        <v/>
      </c>
    </row>
    <row r="36" ht="13.5" customHeight="1" s="290">
      <c r="B36" s="471" t="inlineStr">
        <is>
          <t>Net Margin %</t>
        </is>
      </c>
      <c r="C36" s="463" t="inlineStr">
        <is>
          <t>%</t>
        </is>
      </c>
      <c r="D36" s="464" t="inlineStr">
        <is>
          <t>T08 row 110</t>
        </is>
      </c>
      <c r="E36" s="476">
        <f>'08 P&amp;L'!X110</f>
        <v/>
      </c>
      <c r="F36" s="476">
        <f>'08 P&amp;L'!AC110</f>
        <v/>
      </c>
      <c r="G36" s="476">
        <f>'08 P&amp;L'!AH110</f>
        <v/>
      </c>
      <c r="H36" s="476">
        <f>'08 P&amp;L'!AM110</f>
        <v/>
      </c>
      <c r="I36" s="477">
        <f>'08 P&amp;L'!AH110</f>
        <v/>
      </c>
      <c r="J36" s="478">
        <f>'08 P&amp;L'!AH110</f>
        <v/>
      </c>
      <c r="K36" s="479">
        <f>'08 P&amp;L'!AH110</f>
        <v/>
      </c>
      <c r="L36" s="480">
        <f>IFERROR(('08 P&amp;L'!AH110)-('08 P&amp;L'!AH110),0)</f>
        <v/>
      </c>
      <c r="M36" s="481">
        <f>IFERROR(('08 P&amp;L'!AH110)-('08 P&amp;L'!AH110),0)</f>
        <v/>
      </c>
    </row>
    <row r="37" ht="13.5" customHeight="1" s="290">
      <c r="B37" s="471" t="inlineStr">
        <is>
          <t>Total Firm EPE</t>
        </is>
      </c>
      <c r="C37" s="463" t="inlineStr">
        <is>
          <t>#</t>
        </is>
      </c>
      <c r="D37" s="464" t="inlineStr">
        <is>
          <t>T08 row 213</t>
        </is>
      </c>
      <c r="E37" s="482">
        <f>'04 Producer Engine'!X213</f>
        <v/>
      </c>
      <c r="F37" s="482">
        <f>'04 Producer Engine'!AC213</f>
        <v/>
      </c>
      <c r="G37" s="482">
        <f>'04 Producer Engine'!AH213</f>
        <v/>
      </c>
      <c r="H37" s="482">
        <f>'04 Producer Engine'!AM213</f>
        <v/>
      </c>
      <c r="I37" s="483">
        <f>'04 Producer Engine'!AH213*IFERROR('03 Operational Assumptions'!AH12/'03 Operational Assumptions'!AH15,1)</f>
        <v/>
      </c>
      <c r="J37" s="484">
        <f>'04 Producer Engine'!AH213*IFERROR('03 Operational Assumptions'!AH13/'03 Operational Assumptions'!AH15,1)</f>
        <v/>
      </c>
      <c r="K37" s="485">
        <f>'04 Producer Engine'!AH213*IFERROR('03 Operational Assumptions'!AH14/'03 Operational Assumptions'!AH15,1)</f>
        <v/>
      </c>
      <c r="L37" s="469">
        <f>IFERROR(('04 Producer Engine'!AH213*IFERROR('03 Operational Assumptions'!AH13/'03 Operational Assumptions'!AH15,1))-('04 Producer Engine'!AH213*IFERROR('03 Operational Assumptions'!AH12/'03 Operational Assumptions'!AH15,1)),0)</f>
        <v/>
      </c>
      <c r="M37" s="470">
        <f>IFERROR(('04 Producer Engine'!AH213*IFERROR('03 Operational Assumptions'!AH14/'03 Operational Assumptions'!AH15,1))-('04 Producer Engine'!AH213*IFERROR('03 Operational Assumptions'!AH12/'03 Operational Assumptions'!AH15,1)),0)</f>
        <v/>
      </c>
    </row>
    <row r="38" ht="4.5" customHeight="1" s="290"/>
    <row r="39" ht="3" customHeight="1" s="290">
      <c r="A39" s="293" t="n"/>
    </row>
    <row r="40" ht="4.5" customHeight="1" s="290"/>
    <row r="41" ht="15.75" customHeight="1" s="290">
      <c r="A41" s="338" t="inlineStr">
        <is>
          <t xml:space="preserve">  SECTION C — EBITDA BRIDGE  (Active Scenario vs Base, 2028E Representative)</t>
        </is>
      </c>
    </row>
    <row r="42" ht="3.75" customHeight="1" s="290"/>
    <row r="43" ht="18" customHeight="1" s="290">
      <c r="A43" s="348" t="inlineStr">
        <is>
          <t xml:space="preserve">  Bridge from Base EBITDA to Active Scenario EBITDA. Revenue Effect = change in Total GCI × Base EBITDA/GCI margin. EPE Effect = change in EPE × Base GCI/EPE × Base EBITDA/GCI. Productivity Effect = change in GCI/EPE × Active EPE × Base EBITDA/GCI. Margin Effect = residual (EBITDA − sum of effects).</t>
        </is>
      </c>
    </row>
    <row r="44" ht="3.75" customHeight="1" s="290"/>
    <row r="45" ht="13.5" customHeight="1" s="290">
      <c r="B45" s="486" t="inlineStr">
        <is>
          <t>Bridge Component</t>
        </is>
      </c>
      <c r="C45" s="486" t="inlineStr">
        <is>
          <t>Units</t>
        </is>
      </c>
      <c r="E45" s="487" t="inlineStr">
        <is>
          <t>Base 2028E</t>
        </is>
      </c>
      <c r="F45" s="488" t="inlineStr">
        <is>
          <t>Active 2028E</t>
        </is>
      </c>
      <c r="G45" s="488" t="inlineStr">
        <is>
          <t>Effect ($K)</t>
        </is>
      </c>
    </row>
    <row r="46" ht="13.5" customHeight="1" s="290">
      <c r="B46" s="462" t="inlineStr">
        <is>
          <t>Base EBITDA</t>
        </is>
      </c>
      <c r="C46" s="489" t="inlineStr">
        <is>
          <t>$K</t>
        </is>
      </c>
      <c r="D46" s="490" t="inlineStr">
        <is>
          <t>Starting point — Base scenario EBITDA</t>
        </is>
      </c>
      <c r="E46" s="466">
        <f>IFERROR(IF('01 Cover &amp; Control'!$C$19="Base",'08 P&amp;L'!AH104,0),0)</f>
        <v/>
      </c>
      <c r="F46" s="465">
        <f>'08 P&amp;L'!AH104</f>
        <v/>
      </c>
      <c r="G46" s="491">
        <f>F46-E46</f>
        <v/>
      </c>
    </row>
    <row r="47" ht="13.5" customHeight="1" s="290">
      <c r="B47" s="471" t="inlineStr">
        <is>
          <t>Revenue Effect</t>
        </is>
      </c>
      <c r="C47" s="463" t="inlineStr">
        <is>
          <t>$K</t>
        </is>
      </c>
      <c r="D47" s="492" t="inlineStr">
        <is>
          <t>≈ (Active GCI − Base GCI) × Base EBITDA/GCI margin</t>
        </is>
      </c>
      <c r="E47" s="473">
        <f>IFERROR('08 P&amp;L'!AH97-'02 Market Assumptions'!AH52/IFERROR('02 Market Assumptions'!AH52,1)*'08 P&amp;L'!AH97,0)</f>
        <v/>
      </c>
      <c r="F47" s="472" t="inlineStr">
        <is>
          <t>N/A</t>
        </is>
      </c>
      <c r="G47" s="491">
        <f>IFERROR('08 P&amp;L'!AH97-'02 Market Assumptions'!AH52/IFERROR('02 Market Assumptions'!AH52,1)*'08 P&amp;L'!AH97,0)</f>
        <v/>
      </c>
    </row>
    <row r="48" ht="13.5" customHeight="1" s="290">
      <c r="B48" s="471" t="inlineStr">
        <is>
          <t>EPE Effect</t>
        </is>
      </c>
      <c r="C48" s="463" t="inlineStr">
        <is>
          <t>$K</t>
        </is>
      </c>
      <c r="D48" s="492" t="inlineStr">
        <is>
          <t>≈ ΔEPE × GCI/EPE × EBITDA/GCI margin</t>
        </is>
      </c>
      <c r="E48" s="473">
        <f>IFERROR(('04 Producer Engine'!AH213-'04 Producer Engine'!AH213)*IFERROR('08 P&amp;L'!AH97/'04 Producer Engine'!AH213,0)*IFERROR('08 P&amp;L'!AH104/'08 P&amp;L'!AH97,0),0)</f>
        <v/>
      </c>
      <c r="F48" s="472" t="inlineStr">
        <is>
          <t>N/A</t>
        </is>
      </c>
      <c r="G48" s="491">
        <f>IFERROR(('04 Producer Engine'!AH213-'04 Producer Engine'!AH213)*IFERROR('08 P&amp;L'!AH97/'04 Producer Engine'!AH213,0)*IFERROR('08 P&amp;L'!AH104/'08 P&amp;L'!AH97,0),0)</f>
        <v/>
      </c>
    </row>
    <row r="49" ht="13.5" customHeight="1" s="290">
      <c r="B49" s="471" t="inlineStr">
        <is>
          <t>Productivity Effect</t>
        </is>
      </c>
      <c r="C49" s="463" t="inlineStr">
        <is>
          <t>$K</t>
        </is>
      </c>
      <c r="D49" s="492" t="inlineStr">
        <is>
          <t>Included in Residual for V1 simplification</t>
        </is>
      </c>
      <c r="E49" s="473">
        <f>0</f>
        <v/>
      </c>
      <c r="F49" s="472" t="inlineStr">
        <is>
          <t>N/A</t>
        </is>
      </c>
      <c r="G49" s="491">
        <f>0</f>
        <v/>
      </c>
    </row>
    <row r="50" ht="13.5" customHeight="1" s="290">
      <c r="B50" s="471" t="inlineStr">
        <is>
          <t>Residual / Margin Effect</t>
        </is>
      </c>
      <c r="C50" s="463" t="inlineStr">
        <is>
          <t>$K</t>
        </is>
      </c>
      <c r="D50" s="375" t="inlineStr">
        <is>
          <t xml:space="preserve"> active ebitda − Base − Revenue Effect − EPE Effect</t>
        </is>
      </c>
      <c r="E50" s="473">
        <f>'08 P&amp;L'!AH104-E46-E47-E48-E49</f>
        <v/>
      </c>
      <c r="F50" s="472" t="inlineStr">
        <is>
          <t>N/A</t>
        </is>
      </c>
      <c r="G50" s="491">
        <f>'08 P&amp;L'!AH104-E46-E47-E48-E49</f>
        <v/>
      </c>
    </row>
    <row r="51" ht="13.5" customHeight="1" s="290">
      <c r="B51" s="462" t="inlineStr">
        <is>
          <t>Active EBITDA</t>
        </is>
      </c>
      <c r="C51" s="489" t="inlineStr">
        <is>
          <t>$K</t>
        </is>
      </c>
      <c r="D51" s="490" t="inlineStr">
        <is>
          <t>Live from Tab 08 P&amp;L</t>
        </is>
      </c>
      <c r="E51" s="466">
        <f>'08 P&amp;L'!AH104</f>
        <v/>
      </c>
      <c r="F51" s="465">
        <f>'08 P&amp;L'!AH104</f>
        <v/>
      </c>
      <c r="G51" s="491">
        <f>'08 P&amp;L'!AH104</f>
        <v/>
      </c>
    </row>
    <row r="52" ht="4.5" customHeight="1" s="290"/>
    <row r="53" ht="3" customHeight="1" s="290">
      <c r="A53" s="293" t="n"/>
    </row>
    <row r="54" ht="4.5" customHeight="1" s="290"/>
    <row r="55" ht="15.75" customHeight="1" s="290">
      <c r="A55" s="338" t="inlineStr">
        <is>
          <t xml:space="preserve">  SECTION D — EBITDA SENSITIVITY TABLE  (IS Volume × Fee Rates, 2028E)</t>
        </is>
      </c>
    </row>
    <row r="56" ht="3.75" customHeight="1" s="290"/>
    <row r="57" ht="18" customHeight="1" s="290">
      <c r="A57" s="348" t="inlineStr">
        <is>
          <t xml:space="preserve">  Rows = IS Transaction Volume (% change from Active 2028E). Columns = IS Bps Mid-Market (% change from Active 2028E). Output = estimated EBITDA using revenue scaling: Est. EBITDA = Active EBITDA × Vol Scale × Fee Scale. IS Vol Active: Tab 02 row 52. IS Bps Mid Active: Tab 02 row 124. All blank inputs will show Active EBITDA unchanged.</t>
        </is>
      </c>
    </row>
    <row r="58" ht="3.75" customHeight="1" s="290"/>
    <row r="59" ht="13.5" customHeight="1" s="290">
      <c r="B59" s="486" t="inlineStr">
        <is>
          <t>IS Vol ↓  /  Fee Bps →</t>
        </is>
      </c>
      <c r="C59" s="493" t="inlineStr">
        <is>
          <t>Units</t>
        </is>
      </c>
      <c r="D59" s="486" t="inlineStr">
        <is>
          <t>-20%</t>
        </is>
      </c>
      <c r="E59" s="486" t="inlineStr">
        <is>
          <t>-10%</t>
        </is>
      </c>
      <c r="F59" s="488" t="inlineStr">
        <is>
          <t>Base</t>
        </is>
      </c>
      <c r="G59" s="486" t="inlineStr">
        <is>
          <t>+10%</t>
        </is>
      </c>
      <c r="H59" s="486" t="inlineStr">
        <is>
          <t>+20%</t>
        </is>
      </c>
    </row>
    <row r="60" ht="15" customHeight="1" s="290">
      <c r="B60" s="494" t="inlineStr">
        <is>
          <t>-20%</t>
        </is>
      </c>
      <c r="C60" s="495" t="inlineStr">
        <is>
          <t>$K Est.</t>
        </is>
      </c>
      <c r="D60" s="496" t="inlineStr">
        <is>
          <t xml:space="preserve"> IFERROR('08 P&amp;L'!AH104+'08 P&amp;L'!AH97*(0.8*0.8-1)*'08 P&amp;L'!AH105,'08 P&amp;L'!AH104)</t>
        </is>
      </c>
      <c r="E60" s="497">
        <f>IFERROR('08 P&amp;L'!AH104+'08 P&amp;L'!AH97*(0.8*0.9-1)*'08 P&amp;L'!AH105,'08 P&amp;L'!AH104)</f>
        <v/>
      </c>
      <c r="F60" s="498">
        <f>IFERROR('08 P&amp;L'!AH104+'08 P&amp;L'!AH97*(0.8*1-1)*'08 P&amp;L'!AH105,'08 P&amp;L'!AH104)</f>
        <v/>
      </c>
      <c r="G60" s="498">
        <f>IFERROR('08 P&amp;L'!AH104+'08 P&amp;L'!AH97*(0.8*1.1-1)*'08 P&amp;L'!AH105,'08 P&amp;L'!AH104)</f>
        <v/>
      </c>
      <c r="H60" s="498">
        <f>IFERROR('08 P&amp;L'!AH104+'08 P&amp;L'!AH97*(0.8*1.2-1)*'08 P&amp;L'!AH105,'08 P&amp;L'!AH104)</f>
        <v/>
      </c>
    </row>
    <row r="61" ht="15" customHeight="1" s="290">
      <c r="B61" s="494" t="inlineStr">
        <is>
          <t>-10%</t>
        </is>
      </c>
      <c r="C61" s="495" t="inlineStr">
        <is>
          <t>$K Est.</t>
        </is>
      </c>
      <c r="D61" s="496" t="inlineStr">
        <is>
          <t xml:space="preserve"> IFERROR('08 P&amp;L'!AH104+'08 P&amp;L'!AH97*(0.9*0.8-1)*'08 P&amp;L'!AH105,'08 P&amp;L'!AH104)</t>
        </is>
      </c>
      <c r="E61" s="497">
        <f>IFERROR('08 P&amp;L'!AH104+'08 P&amp;L'!AH97*(0.9*0.9-1)*'08 P&amp;L'!AH105,'08 P&amp;L'!AH104)</f>
        <v/>
      </c>
      <c r="F61" s="498">
        <f>IFERROR('08 P&amp;L'!AH104+'08 P&amp;L'!AH97*(0.9*1-1)*'08 P&amp;L'!AH105,'08 P&amp;L'!AH104)</f>
        <v/>
      </c>
      <c r="G61" s="498">
        <f>IFERROR('08 P&amp;L'!AH104+'08 P&amp;L'!AH97*(0.9*1.1-1)*'08 P&amp;L'!AH105,'08 P&amp;L'!AH104)</f>
        <v/>
      </c>
      <c r="H61" s="498">
        <f>IFERROR('08 P&amp;L'!AH104+'08 P&amp;L'!AH97*(0.9*1.2-1)*'08 P&amp;L'!AH105,'08 P&amp;L'!AH104)</f>
        <v/>
      </c>
    </row>
    <row r="62" ht="15" customHeight="1" s="290">
      <c r="B62" s="362" t="inlineStr">
        <is>
          <t>Base</t>
        </is>
      </c>
      <c r="C62" s="495" t="inlineStr">
        <is>
          <t>$K Est.</t>
        </is>
      </c>
      <c r="D62" s="499" t="inlineStr">
        <is>
          <t xml:space="preserve"> IFERROR('08 P&amp;L'!AH104+'08 P&amp;L'!AH97*(1*0.8-1)*'08 P&amp;L'!AH105,'08 P&amp;L'!AH104)</t>
        </is>
      </c>
      <c r="E62" s="498">
        <f>IFERROR('08 P&amp;L'!AH104+'08 P&amp;L'!AH97*(1*0.9-1)*'08 P&amp;L'!AH105,'08 P&amp;L'!AH104)</f>
        <v/>
      </c>
      <c r="F62" s="465">
        <f>IFERROR('08 P&amp;L'!AH104+'08 P&amp;L'!AH97*(1*1-1)*'08 P&amp;L'!AH105,'08 P&amp;L'!AH104)</f>
        <v/>
      </c>
      <c r="G62" s="500">
        <f>IFERROR('08 P&amp;L'!AH104+'08 P&amp;L'!AH97*(1*1.1-1)*'08 P&amp;L'!AH105,'08 P&amp;L'!AH104)</f>
        <v/>
      </c>
      <c r="H62" s="500">
        <f>IFERROR('08 P&amp;L'!AH104+'08 P&amp;L'!AH97*(1*1.2-1)*'08 P&amp;L'!AH105,'08 P&amp;L'!AH104)</f>
        <v/>
      </c>
    </row>
    <row r="63" ht="15" customHeight="1" s="290">
      <c r="B63" s="494" t="inlineStr">
        <is>
          <t>+10%</t>
        </is>
      </c>
      <c r="C63" s="495" t="inlineStr">
        <is>
          <t>$K Est.</t>
        </is>
      </c>
      <c r="D63" s="499" t="inlineStr">
        <is>
          <t xml:space="preserve"> IFERROR('08 P&amp;L'!AH104+'08 P&amp;L'!AH97*(1.1*0.8-1)*'08 P&amp;L'!AH105,'08 P&amp;L'!AH104)</t>
        </is>
      </c>
      <c r="E63" s="498">
        <f>IFERROR('08 P&amp;L'!AH104+'08 P&amp;L'!AH97*(1.1*0.9-1)*'08 P&amp;L'!AH105,'08 P&amp;L'!AH104)</f>
        <v/>
      </c>
      <c r="F63" s="500">
        <f>IFERROR('08 P&amp;L'!AH104+'08 P&amp;L'!AH97*(1.1*1-1)*'08 P&amp;L'!AH105,'08 P&amp;L'!AH104)</f>
        <v/>
      </c>
      <c r="G63" s="500">
        <f>IFERROR('08 P&amp;L'!AH104+'08 P&amp;L'!AH97*(1.1*1.1-1)*'08 P&amp;L'!AH105,'08 P&amp;L'!AH104)</f>
        <v/>
      </c>
      <c r="H63" s="500">
        <f>IFERROR('08 P&amp;L'!AH104+'08 P&amp;L'!AH97*(1.1*1.2-1)*'08 P&amp;L'!AH105,'08 P&amp;L'!AH104)</f>
        <v/>
      </c>
    </row>
    <row r="64" ht="15" customHeight="1" s="290">
      <c r="B64" s="494" t="inlineStr">
        <is>
          <t>+20%</t>
        </is>
      </c>
      <c r="C64" s="495" t="inlineStr">
        <is>
          <t>$K Est.</t>
        </is>
      </c>
      <c r="D64" s="499" t="inlineStr">
        <is>
          <t xml:space="preserve"> IFERROR('08 P&amp;L'!AH104+'08 P&amp;L'!AH97*(1.2*0.8-1)*'08 P&amp;L'!AH105,'08 P&amp;L'!AH104)</t>
        </is>
      </c>
      <c r="E64" s="498">
        <f>IFERROR('08 P&amp;L'!AH104+'08 P&amp;L'!AH97*(1.2*0.9-1)*'08 P&amp;L'!AH105,'08 P&amp;L'!AH104)</f>
        <v/>
      </c>
      <c r="F64" s="500">
        <f>IFERROR('08 P&amp;L'!AH104+'08 P&amp;L'!AH97*(1.2*1-1)*'08 P&amp;L'!AH105,'08 P&amp;L'!AH104)</f>
        <v/>
      </c>
      <c r="G64" s="500">
        <f>IFERROR('08 P&amp;L'!AH104+'08 P&amp;L'!AH97*(1.2*1.1-1)*'08 P&amp;L'!AH105,'08 P&amp;L'!AH104)</f>
        <v/>
      </c>
      <c r="H64" s="500">
        <f>IFERROR('08 P&amp;L'!AH104+'08 P&amp;L'!AH97*(1.2*1.2-1)*'08 P&amp;L'!AH105,'08 P&amp;L'!AH104)</f>
        <v/>
      </c>
    </row>
    <row r="65" ht="4.5" customHeight="1" s="290"/>
    <row r="66" ht="3" customHeight="1" s="290">
      <c r="A66" s="293" t="n"/>
    </row>
    <row r="67" ht="4.5" customHeight="1" s="290"/>
    <row r="68" ht="15.75" customHeight="1" s="290">
      <c r="A68" s="338" t="inlineStr">
        <is>
          <t xml:space="preserve">  SECTION E — REVENUE MIX BY SCENARIO  (2028E Estimated)</t>
        </is>
      </c>
    </row>
    <row r="69" ht="3.75" customHeight="1" s="290"/>
    <row r="70" ht="13.5" customHeight="1" s="290">
      <c r="B70" s="337" t="inlineStr">
        <is>
          <t>Business Line</t>
        </is>
      </c>
      <c r="C70" s="337" t="inlineStr">
        <is>
          <t>Units</t>
        </is>
      </c>
      <c r="E70" s="336" t="inlineStr">
        <is>
          <t>Active
2028E</t>
        </is>
      </c>
      <c r="F70" s="336" t="inlineStr">
        <is>
          <t>% of GCI</t>
        </is>
      </c>
      <c r="G70" s="457" t="inlineStr">
        <is>
          <t>Base Est.</t>
        </is>
      </c>
      <c r="H70" s="457" t="inlineStr">
        <is>
          <t>% of Base</t>
        </is>
      </c>
      <c r="I70" s="458" t="inlineStr">
        <is>
          <t>Upside Est.</t>
        </is>
      </c>
      <c r="J70" s="458" t="inlineStr">
        <is>
          <t>% of Up</t>
        </is>
      </c>
      <c r="K70" s="459" t="inlineStr">
        <is>
          <t>Downside Est.</t>
        </is>
      </c>
      <c r="L70" s="459" t="inlineStr">
        <is>
          <t>% of Dn</t>
        </is>
      </c>
      <c r="M70" s="336" t="inlineStr">
        <is>
          <t>Δ Up vs Base</t>
        </is>
      </c>
      <c r="N70" s="336" t="inlineStr">
        <is>
          <t>Δ Dn vs Base</t>
        </is>
      </c>
    </row>
    <row r="71" ht="13.5" customHeight="1" s="290">
      <c r="B71" s="471" t="inlineStr">
        <is>
          <t>Leasing</t>
        </is>
      </c>
      <c r="C71" s="463" t="inlineStr">
        <is>
          <t>$K</t>
        </is>
      </c>
      <c r="E71" s="472">
        <f>'08 P&amp;L'!AH93</f>
        <v/>
      </c>
      <c r="F71" s="476">
        <f>IFERROR('08 P&amp;L'!AH93/'08 P&amp;L'!AH97,0)</f>
        <v/>
      </c>
      <c r="G71" s="473">
        <f>IFERROR('08 P&amp;L'!AH93*IFERROR('02 Market Assumptions'!AH49/'02 Market Assumptions'!AH52,1)*IFERROR('02 Market Assumptions'!AH121/'02 Market Assumptions'!AH124,1),'08 P&amp;L'!AH93)</f>
        <v/>
      </c>
      <c r="H71" s="501">
        <f>IFERROR(G71/G75,0)</f>
        <v/>
      </c>
      <c r="I71" s="474">
        <f>IFERROR('08 P&amp;L'!AH93*IFERROR('02 Market Assumptions'!AH50/'02 Market Assumptions'!AH52,1)*IFERROR('02 Market Assumptions'!AH122/'02 Market Assumptions'!AH124,1),'08 P&amp;L'!AH93)</f>
        <v/>
      </c>
      <c r="J71" s="502">
        <f>IFERROR(I71/I75,0)</f>
        <v/>
      </c>
      <c r="K71" s="475">
        <f>IFERROR('08 P&amp;L'!AH93*IFERROR('02 Market Assumptions'!AH51/'02 Market Assumptions'!AH52,1)*IFERROR('02 Market Assumptions'!AH123/'02 Market Assumptions'!AH124,1),'08 P&amp;L'!AH93)</f>
        <v/>
      </c>
      <c r="L71" s="503">
        <f>IFERROR(K71/K75,0)</f>
        <v/>
      </c>
      <c r="M71" s="469">
        <f>IFERROR(I71-G71,0)</f>
        <v/>
      </c>
      <c r="N71" s="470">
        <f>IFERROR(K71-G71,0)</f>
        <v/>
      </c>
    </row>
    <row r="72" ht="13.5" customHeight="1" s="290">
      <c r="B72" s="471" t="inlineStr">
        <is>
          <t>IS</t>
        </is>
      </c>
      <c r="C72" s="463" t="inlineStr">
        <is>
          <t>$K</t>
        </is>
      </c>
      <c r="E72" s="472">
        <f>'08 P&amp;L'!AH94</f>
        <v/>
      </c>
      <c r="F72" s="476">
        <f>IFERROR('08 P&amp;L'!AH94/'08 P&amp;L'!AH97,0)</f>
        <v/>
      </c>
      <c r="G72" s="473">
        <f>IFERROR('08 P&amp;L'!AH94*IFERROR('02 Market Assumptions'!AH49/'02 Market Assumptions'!AH52,1)*IFERROR('02 Market Assumptions'!AH121/'02 Market Assumptions'!AH124,1),'08 P&amp;L'!AH94)</f>
        <v/>
      </c>
      <c r="H72" s="501">
        <f>IFERROR(G72/G75,0)</f>
        <v/>
      </c>
      <c r="I72" s="474">
        <f>IFERROR('08 P&amp;L'!AH94*IFERROR('02 Market Assumptions'!AH50/'02 Market Assumptions'!AH52,1)*IFERROR('02 Market Assumptions'!AH122/'02 Market Assumptions'!AH124,1),'08 P&amp;L'!AH94)</f>
        <v/>
      </c>
      <c r="J72" s="502">
        <f>IFERROR(I72/I75,0)</f>
        <v/>
      </c>
      <c r="K72" s="475">
        <f>IFERROR('08 P&amp;L'!AH94*IFERROR('02 Market Assumptions'!AH51/'02 Market Assumptions'!AH52,1)*IFERROR('02 Market Assumptions'!AH123/'02 Market Assumptions'!AH124,1),'08 P&amp;L'!AH94)</f>
        <v/>
      </c>
      <c r="L72" s="503">
        <f>IFERROR(K72/K75,0)</f>
        <v/>
      </c>
      <c r="M72" s="469">
        <f>IFERROR(I72-G72,0)</f>
        <v/>
      </c>
      <c r="N72" s="470">
        <f>IFERROR(K72-G72,0)</f>
        <v/>
      </c>
    </row>
    <row r="73" ht="13.5" customHeight="1" s="290">
      <c r="B73" s="471" t="inlineStr">
        <is>
          <t>D&amp;E</t>
        </is>
      </c>
      <c r="C73" s="463" t="inlineStr">
        <is>
          <t>$K</t>
        </is>
      </c>
      <c r="E73" s="472">
        <f>'08 P&amp;L'!AH95</f>
        <v/>
      </c>
      <c r="F73" s="476">
        <f>IFERROR('08 P&amp;L'!AH95/'08 P&amp;L'!AH97,0)</f>
        <v/>
      </c>
      <c r="G73" s="473">
        <f>IFERROR('08 P&amp;L'!AH95*IFERROR('02 Market Assumptions'!AH49/'02 Market Assumptions'!AH52,1)*IFERROR('02 Market Assumptions'!AH121/'02 Market Assumptions'!AH124,1),'08 P&amp;L'!AH95)</f>
        <v/>
      </c>
      <c r="H73" s="501">
        <f>IFERROR(G73/G75,0)</f>
        <v/>
      </c>
      <c r="I73" s="474">
        <f>IFERROR('08 P&amp;L'!AH95*IFERROR('02 Market Assumptions'!AH50/'02 Market Assumptions'!AH52,1)*IFERROR('02 Market Assumptions'!AH122/'02 Market Assumptions'!AH124,1),'08 P&amp;L'!AH95)</f>
        <v/>
      </c>
      <c r="J73" s="502">
        <f>IFERROR(I73/I75,0)</f>
        <v/>
      </c>
      <c r="K73" s="475">
        <f>IFERROR('08 P&amp;L'!AH95*IFERROR('02 Market Assumptions'!AH51/'02 Market Assumptions'!AH52,1)*IFERROR('02 Market Assumptions'!AH123/'02 Market Assumptions'!AH124,1),'08 P&amp;L'!AH95)</f>
        <v/>
      </c>
      <c r="L73" s="503">
        <f>IFERROR(K73/K75,0)</f>
        <v/>
      </c>
      <c r="M73" s="469">
        <f>IFERROR(I73-G73,0)</f>
        <v/>
      </c>
      <c r="N73" s="470">
        <f>IFERROR(K73-G73,0)</f>
        <v/>
      </c>
    </row>
    <row r="74" ht="13.5" customHeight="1" s="290">
      <c r="B74" s="471" t="inlineStr">
        <is>
          <t>Advisory</t>
        </is>
      </c>
      <c r="C74" s="463" t="inlineStr">
        <is>
          <t>$K</t>
        </is>
      </c>
      <c r="E74" s="472">
        <f>'08 P&amp;L'!AH96</f>
        <v/>
      </c>
      <c r="F74" s="476">
        <f>IFERROR('08 P&amp;L'!AH96/'08 P&amp;L'!AH97,0)</f>
        <v/>
      </c>
      <c r="G74" s="473">
        <f>IFERROR('08 P&amp;L'!AH96*IFERROR('02 Market Assumptions'!AH49/'02 Market Assumptions'!AH52,1)*IFERROR('02 Market Assumptions'!AH121/'02 Market Assumptions'!AH124,1),'08 P&amp;L'!AH96)</f>
        <v/>
      </c>
      <c r="H74" s="501">
        <f>IFERROR(G74/G75,0)</f>
        <v/>
      </c>
      <c r="I74" s="474">
        <f>IFERROR('08 P&amp;L'!AH96*IFERROR('02 Market Assumptions'!AH50/'02 Market Assumptions'!AH52,1)*IFERROR('02 Market Assumptions'!AH122/'02 Market Assumptions'!AH124,1),'08 P&amp;L'!AH96)</f>
        <v/>
      </c>
      <c r="J74" s="502">
        <f>IFERROR(I74/I75,0)</f>
        <v/>
      </c>
      <c r="K74" s="475">
        <f>IFERROR('08 P&amp;L'!AH96*IFERROR('02 Market Assumptions'!AH51/'02 Market Assumptions'!AH52,1)*IFERROR('02 Market Assumptions'!AH123/'02 Market Assumptions'!AH124,1),'08 P&amp;L'!AH96)</f>
        <v/>
      </c>
      <c r="L74" s="503">
        <f>IFERROR(K74/K75,0)</f>
        <v/>
      </c>
      <c r="M74" s="469">
        <f>IFERROR(I74-G74,0)</f>
        <v/>
      </c>
      <c r="N74" s="470">
        <f>IFERROR(K74-G74,0)</f>
        <v/>
      </c>
    </row>
    <row r="75" ht="13.5" customHeight="1" s="290">
      <c r="B75" s="462" t="inlineStr">
        <is>
          <t>TOTAL GCI</t>
        </is>
      </c>
      <c r="C75" s="463" t="inlineStr">
        <is>
          <t>$K</t>
        </is>
      </c>
      <c r="E75" s="465">
        <f>'08 P&amp;L'!AH97</f>
        <v/>
      </c>
      <c r="F75" s="476">
        <f>IFERROR('08 P&amp;L'!AH97/'08 P&amp;L'!AH97,0)</f>
        <v/>
      </c>
      <c r="G75" s="466">
        <f>G71+G72+G73+G74</f>
        <v/>
      </c>
      <c r="H75" s="477">
        <f>1</f>
        <v/>
      </c>
      <c r="I75" s="467">
        <f>I71+I72+I73+I74</f>
        <v/>
      </c>
      <c r="J75" s="478">
        <f>1</f>
        <v/>
      </c>
      <c r="K75" s="468">
        <f>K71+K72+K73+K74</f>
        <v/>
      </c>
      <c r="L75" s="479">
        <f>1</f>
        <v/>
      </c>
      <c r="M75" s="469">
        <f>IFERROR(I75-G75,0)</f>
        <v/>
      </c>
      <c r="N75" s="470">
        <f>IFERROR(K75-G75,0)</f>
        <v/>
      </c>
    </row>
    <row r="76" ht="4.5" customHeight="1" s="290"/>
    <row r="77" ht="3" customHeight="1" s="290">
      <c r="A77" s="293" t="n"/>
    </row>
    <row r="78" ht="4.5" customHeight="1" s="290"/>
    <row r="79" ht="15.75" customHeight="1" s="290">
      <c r="A79" s="338" t="inlineStr">
        <is>
          <t xml:space="preserve">  SECTION F — SCENARIO INSIGHTS  (IF-Formula Driven — No VBA)</t>
        </is>
      </c>
    </row>
    <row r="80" ht="3.75" customHeight="1" s="290"/>
    <row r="81" ht="12.75" customHeight="1" s="290">
      <c r="A81" s="348" t="inlineStr">
        <is>
          <t xml:space="preserve">  All insights generated using IF formulas referencing Section B comparison table. EBITDA comparison references row 33 of Section B.</t>
        </is>
      </c>
    </row>
    <row r="82" ht="3.75" customHeight="1" s="290"/>
    <row r="83" ht="15" customHeight="1" s="290">
      <c r="B83" s="471" t="inlineStr">
        <is>
          <t>Highest EBITDA Scenario</t>
        </is>
      </c>
      <c r="E83" s="504">
        <f>IF(AND(J33&gt;=I33,J33&gt;=K33),"Upside",IF(AND(I33&gt;=J33,I33&gt;=K33),"Base","Downside"))</f>
        <v/>
      </c>
    </row>
    <row r="84" ht="15" customHeight="1" s="290">
      <c r="B84" s="471" t="inlineStr">
        <is>
          <t>Highest EBITDA Margin Scenario</t>
        </is>
      </c>
      <c r="E84" s="505">
        <f>IF(AND('08 P&amp;L'!AH105&gt;'08 P&amp;L'!AH105*0.95,'01 Cover &amp; Control'!$C$19="Upside"),"Upside",IF('01 Cover &amp; Control'!$C$19="Base","Base","Downside"))</f>
        <v/>
      </c>
    </row>
    <row r="85" ht="15" customHeight="1" s="290">
      <c r="B85" s="471" t="inlineStr">
        <is>
          <t>Largest Downside EBITDA Risk ($K)</t>
        </is>
      </c>
      <c r="E85" s="504">
        <f>IFERROR(I33-K33,0)</f>
        <v/>
      </c>
    </row>
    <row r="86" ht="15" customHeight="1" s="290">
      <c r="B86" s="471" t="inlineStr">
        <is>
          <t>Active Scenario</t>
        </is>
      </c>
      <c r="E86" s="506">
        <f>'01 Cover &amp; Control'!$C$19</f>
        <v/>
      </c>
    </row>
    <row r="87" ht="15" customHeight="1" s="290">
      <c r="B87" s="471" t="inlineStr">
        <is>
          <t>Active Scenario EBITDA vs Base</t>
        </is>
      </c>
      <c r="E87" s="504">
        <f>IFERROR('08 P&amp;L'!AH104/I33-1,0)</f>
        <v/>
      </c>
    </row>
    <row r="88" ht="15" customHeight="1" s="290">
      <c r="B88" s="471" t="inlineStr">
        <is>
          <t>Active EBITDA Margin</t>
        </is>
      </c>
      <c r="E88" s="505">
        <f>'08 P&amp;L'!AH105</f>
        <v/>
      </c>
    </row>
    <row r="89" ht="15" customHeight="1" s="290">
      <c r="B89" s="471" t="inlineStr">
        <is>
          <t>Active Company Dollar Margin</t>
        </is>
      </c>
      <c r="E89" s="505">
        <f>'08 P&amp;L'!AH101</f>
        <v/>
      </c>
    </row>
    <row r="90" ht="15" customHeight="1" s="290">
      <c r="B90" s="471" t="inlineStr">
        <is>
          <t>Active Revenue Growth (YoY)</t>
        </is>
      </c>
      <c r="E90" s="505">
        <f>IFERROR('08 P&amp;L'!AH97/'08 P&amp;L'!AC97-1,0)</f>
        <v/>
      </c>
    </row>
    <row r="91" ht="4.5" customHeight="1" s="290"/>
    <row r="92" ht="3" customHeight="1" s="290">
      <c r="A92" s="293" t="n"/>
    </row>
    <row r="93" ht="4.5" customHeight="1" s="290"/>
    <row r="94" ht="15.75" customHeight="1" s="290">
      <c r="A94" s="338" t="inlineStr">
        <is>
          <t xml:space="preserve">  SECTION G — SCENARIO ANALYSIS CHECKS</t>
        </is>
      </c>
    </row>
    <row r="95" ht="3.75" customHeight="1" s="290"/>
    <row r="96" ht="13.5" customHeight="1" s="290">
      <c r="A96" s="359" t="n"/>
      <c r="B96" s="353" t="inlineStr">
        <is>
          <t xml:space="preserve">  ✔  Active scenario matches Tab 01 C19</t>
        </is>
      </c>
      <c r="E96" s="356">
        <f>IF('01 Cover &amp; Control'!$C$19='01 Cover &amp; Control'!C19,"PASS","FAIL — SCENARIO MISMATCH")</f>
        <v/>
      </c>
    </row>
    <row r="97" ht="13.5" customHeight="1" s="290">
      <c r="A97" s="359" t="n"/>
      <c r="B97" s="353" t="inlineStr">
        <is>
          <t xml:space="preserve">  ✔  Active EBITDA 2028E ties to Tab 08</t>
        </is>
      </c>
      <c r="E97" s="356">
        <f>IF(ABS('08 P&amp;L'!AH104-'08 P&amp;L'!AH104)&lt;0.01,"PASS","FAIL")</f>
        <v/>
      </c>
    </row>
    <row r="98" ht="13.5" customHeight="1" s="290">
      <c r="A98" s="359" t="n"/>
      <c r="B98" s="353" t="inlineStr">
        <is>
          <t xml:space="preserve">  ✔  Active Total GCI ties to Tab 08 row 97</t>
        </is>
      </c>
      <c r="E98" s="356">
        <f>IF(ABS('08 P&amp;L'!AH97-'08 P&amp;L'!AH97)&lt;0.01,"PASS","FAIL — GCI MISMATCH")</f>
        <v/>
      </c>
    </row>
    <row r="99" ht="13.5" customHeight="1" s="290">
      <c r="A99" s="359" t="n"/>
      <c r="B99" s="353" t="inlineStr">
        <is>
          <t xml:space="preserve">  ✔  Sensitivity Base cell = Active EBITDA</t>
        </is>
      </c>
      <c r="E99" s="356">
        <f>IF(ABS('08 P&amp;L'!AH104-IFERROR('08 P&amp;L'!AH104+'08 P&amp;L'!AH97*(1*1-1)*'08 P&amp;L'!AH105,'08 P&amp;L'!AH104))&lt;1,"PASS","FAIL — SENSITIVITY BASE MISMATCH")</f>
        <v/>
      </c>
    </row>
    <row r="100" ht="13.5" customHeight="1" s="290">
      <c r="A100" s="359" t="n"/>
      <c r="B100" s="353" t="inlineStr">
        <is>
          <t xml:space="preserve">  ✔  Revenue mix sums to 100% (Active)</t>
        </is>
      </c>
      <c r="E100" s="356">
        <f>IF(ABS('08 P&amp;L'!AH93+'08 P&amp;L'!AH94+'08 P&amp;L'!AH95+'08 P&amp;L'!AH96-'08 P&amp;L'!AH97)&lt;1,"PASS","FAIL — MIX MISMATCH")</f>
        <v/>
      </c>
    </row>
    <row r="101" ht="13.5" customHeight="1" s="290">
      <c r="A101" s="359" t="n"/>
      <c r="B101" s="353" t="inlineStr">
        <is>
          <t xml:space="preserve">  ✔  Active EBITDA margin is not negative</t>
        </is>
      </c>
      <c r="E101" s="356">
        <f>IF('08 P&amp;L'!AH105&gt;=0,"PASS",IF('08 P&amp;L'!AH97=0,"WARN — NO INPUTS","FAIL — NEG MARGIN"))</f>
        <v/>
      </c>
    </row>
    <row r="102" ht="13.5" customHeight="1" s="290">
      <c r="A102" s="359" t="n"/>
      <c r="B102" s="353" t="inlineStr">
        <is>
          <t xml:space="preserve">  ✔  Active Company Dollar is not negative</t>
        </is>
      </c>
      <c r="E102" s="356">
        <f>IF('08 P&amp;L'!AH100&gt;=0,"PASS",IF('08 P&amp;L'!AH97=0,"WARN — NO INPUTS","FAIL — NEG CO$"))</f>
        <v/>
      </c>
    </row>
    <row r="103" ht="4.5" customHeight="1" s="290"/>
    <row r="104" ht="15.75" customHeight="1" s="290">
      <c r="A104" s="360" t="inlineStr">
        <is>
          <t xml:space="preserve">  All checks above feed Tab 11. WARN = zero inputs (blank assumptions). Section B 3-scenario estimates use revenue scaling approximation — full scenario accuracy requires running Tab 08 engine separately for each scenario.</t>
        </is>
      </c>
    </row>
    <row r="105" ht="4.5" customHeight="1" s="290"/>
    <row r="106" ht="3" customHeight="1" s="290">
      <c r="A106" s="293" t="n"/>
    </row>
  </sheetData>
  <mergeCells count="47">
    <mergeCell ref="A21:AB21"/>
    <mergeCell ref="A2:AB2"/>
    <mergeCell ref="A57:AB57"/>
    <mergeCell ref="T8:W8"/>
    <mergeCell ref="O10:S10"/>
    <mergeCell ref="O8:R8"/>
    <mergeCell ref="O12:R12"/>
    <mergeCell ref="A5:AB5"/>
    <mergeCell ref="T14:X14"/>
    <mergeCell ref="J14:N14"/>
    <mergeCell ref="J12:M12"/>
    <mergeCell ref="J10:N10"/>
    <mergeCell ref="A17:AB17"/>
    <mergeCell ref="J13:N13"/>
    <mergeCell ref="A106:AB106"/>
    <mergeCell ref="E14:I14"/>
    <mergeCell ref="O9:S9"/>
    <mergeCell ref="A53:AB53"/>
    <mergeCell ref="A68:P68"/>
    <mergeCell ref="A94:N94"/>
    <mergeCell ref="J9:N9"/>
    <mergeCell ref="A43:AB43"/>
    <mergeCell ref="A81:AB81"/>
    <mergeCell ref="A19:AB19"/>
    <mergeCell ref="T10:X10"/>
    <mergeCell ref="J8:M8"/>
    <mergeCell ref="E10:I10"/>
    <mergeCell ref="E12:H12"/>
    <mergeCell ref="E13:I13"/>
    <mergeCell ref="A39:AB39"/>
    <mergeCell ref="T9:X9"/>
    <mergeCell ref="A77:AB77"/>
    <mergeCell ref="E9:I9"/>
    <mergeCell ref="A92:AB92"/>
    <mergeCell ref="E8:H8"/>
    <mergeCell ref="A79:P79"/>
    <mergeCell ref="A104:N104"/>
    <mergeCell ref="A1:AB1"/>
    <mergeCell ref="A6:AB6"/>
    <mergeCell ref="A41:P41"/>
    <mergeCell ref="T13:X13"/>
    <mergeCell ref="T12:W12"/>
    <mergeCell ref="A66:AB66"/>
    <mergeCell ref="A55:P55"/>
    <mergeCell ref="O14:S14"/>
    <mergeCell ref="A3:AB3"/>
    <mergeCell ref="O13:S13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70AD47"/>
    <outlinePr summaryBelow="1" summaryRight="1"/>
    <pageSetUpPr fitToPage="1"/>
  </sheetPr>
  <dimension ref="A1:AB1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1.51" customWidth="1" style="289" min="1" max="1"/>
    <col width="24" customWidth="1" style="289" min="2" max="2"/>
    <col width="14" customWidth="1" style="289" min="3" max="8"/>
    <col width="12" customWidth="1" style="289" min="9" max="23"/>
    <col width="10" customWidth="1" style="289" min="24" max="28"/>
  </cols>
  <sheetData>
    <row r="1" ht="31.5" customHeight="1" s="290">
      <c r="A1" s="507" t="inlineStr">
        <is>
          <t xml:space="preserve">  APEX CRE ADVISORS  |  Executive Financial Dashboard</t>
        </is>
      </c>
    </row>
    <row r="2" ht="15.75" customHeight="1" s="290">
      <c r="A2" s="508" t="inlineStr">
        <is>
          <t xml:space="preserve">  Driver-Based Operating Model  —  Commercial Real Estate Advisory</t>
        </is>
      </c>
      <c r="N2" s="509">
        <f>" Active: "&amp;'01 Cover &amp; Control'!$C$19&amp;"   |   Figures in $K  |   2030E Terminal Year"</f>
        <v/>
      </c>
    </row>
    <row r="3" ht="3.75" customHeight="1" s="290">
      <c r="A3" s="293" t="n"/>
    </row>
    <row r="4" ht="15.75" customHeight="1" s="290">
      <c r="A4" s="338" t="inlineStr">
        <is>
          <t xml:space="preserve">  SECTION A  —  EXECUTIVE KPI SCORECARD  (2030E Terminal Year)</t>
        </is>
      </c>
    </row>
    <row r="5" ht="13.5" customHeight="1" s="290">
      <c r="C5" s="510" t="inlineStr">
        <is>
          <t>TOTAL GCI</t>
        </is>
      </c>
      <c r="D5" s="316" t="n"/>
      <c r="E5" s="316" t="n"/>
      <c r="F5" s="316" t="n"/>
      <c r="G5" s="316" t="n"/>
      <c r="H5" s="510" t="inlineStr">
        <is>
          <t>COMPANY DOLLAR</t>
        </is>
      </c>
      <c r="I5" s="316" t="n"/>
      <c r="J5" s="316" t="n"/>
      <c r="K5" s="316" t="n"/>
      <c r="L5" s="316" t="n"/>
      <c r="M5" s="510" t="inlineStr">
        <is>
          <t>EBITDA</t>
        </is>
      </c>
      <c r="N5" s="316" t="n"/>
      <c r="O5" s="316" t="n"/>
      <c r="P5" s="316" t="n"/>
      <c r="Q5" s="316" t="n"/>
    </row>
    <row r="6" ht="27.75" customHeight="1" s="290">
      <c r="C6" s="511">
        <f>'08 P&amp;L'!AR97</f>
        <v/>
      </c>
      <c r="D6" s="512" t="n"/>
      <c r="E6" s="512" t="n"/>
      <c r="F6" s="512" t="n"/>
      <c r="G6" s="512" t="n"/>
      <c r="H6" s="511">
        <f>'08 P&amp;L'!AR100</f>
        <v/>
      </c>
      <c r="I6" s="512" t="n"/>
      <c r="J6" s="512" t="n"/>
      <c r="K6" s="512" t="n"/>
      <c r="L6" s="512" t="n"/>
      <c r="M6" s="511">
        <f>'08 P&amp;L'!AR104</f>
        <v/>
      </c>
      <c r="N6" s="512" t="n"/>
      <c r="O6" s="512" t="n"/>
      <c r="P6" s="512" t="n"/>
      <c r="Q6" s="512" t="n"/>
    </row>
    <row r="7" ht="13.5" customHeight="1" s="290">
      <c r="C7" s="513">
        <f>CONCATENATE("  YoY Growth: ",TEXT(IFERROR('08 P&amp;L'!AR97/'08 P&amp;L'!AM97-1,0),"0.0%"))</f>
        <v/>
      </c>
      <c r="H7" s="513">
        <f>CONCATENATE("  Co$ Margin: ",TEXT('08 P&amp;L'!AR101,"0.0%"))</f>
        <v/>
      </c>
      <c r="M7" s="513">
        <f>CONCATENATE("  EBITDA Margin: ",TEXT('08 P&amp;L'!AR105,"0.0%"))</f>
        <v/>
      </c>
    </row>
    <row r="8" ht="9.75" customHeight="1" s="290">
      <c r="C8" s="514">
        <f>IFERROR('08 P&amp;L'!AR97/'08 P&amp;L'!AM97-1,0)</f>
        <v/>
      </c>
      <c r="D8" s="316" t="n"/>
      <c r="E8" s="316" t="n"/>
      <c r="F8" s="316" t="n"/>
      <c r="G8" s="316" t="n"/>
      <c r="H8" s="514" t="inlineStr">
        <is>
          <t>'08 P&amp;L'!AR101</t>
        </is>
      </c>
      <c r="I8" s="316" t="n"/>
      <c r="J8" s="316" t="n"/>
      <c r="K8" s="316" t="n"/>
      <c r="L8" s="316" t="n"/>
      <c r="M8" s="514" t="inlineStr">
        <is>
          <t>'08 P&amp;L'!AR105</t>
        </is>
      </c>
      <c r="N8" s="316" t="n"/>
      <c r="O8" s="316" t="n"/>
      <c r="P8" s="316" t="n"/>
      <c r="Q8" s="316" t="n"/>
    </row>
    <row r="9" ht="6" customHeight="1" s="290"/>
    <row r="11" ht="13.5" customHeight="1" s="290">
      <c r="C11" s="510" t="inlineStr">
        <is>
          <t>EBITDA MARGIN</t>
        </is>
      </c>
      <c r="D11" s="316" t="n"/>
      <c r="E11" s="316" t="n"/>
      <c r="F11" s="316" t="n"/>
      <c r="G11" s="316" t="n"/>
      <c r="H11" s="510" t="inlineStr">
        <is>
          <t>NET INCOME</t>
        </is>
      </c>
      <c r="I11" s="316" t="n"/>
      <c r="J11" s="316" t="n"/>
      <c r="K11" s="316" t="n"/>
      <c r="L11" s="316" t="n"/>
      <c r="M11" s="510" t="inlineStr">
        <is>
          <t>TOTAL FIRM EPE</t>
        </is>
      </c>
      <c r="N11" s="316" t="n"/>
      <c r="O11" s="316" t="n"/>
      <c r="P11" s="316" t="n"/>
      <c r="Q11" s="316" t="n"/>
    </row>
    <row r="12" ht="27.75" customHeight="1" s="290">
      <c r="C12" s="515">
        <f>'08 P&amp;L'!AR105</f>
        <v/>
      </c>
      <c r="D12" s="512" t="n"/>
      <c r="E12" s="512" t="n"/>
      <c r="F12" s="512" t="n"/>
      <c r="G12" s="512" t="n"/>
      <c r="H12" s="511">
        <f>'08 P&amp;L'!AR109</f>
        <v/>
      </c>
      <c r="I12" s="512" t="n"/>
      <c r="J12" s="512" t="n"/>
      <c r="K12" s="512" t="n"/>
      <c r="L12" s="512" t="n"/>
      <c r="M12" s="516">
        <f>'04 Producer Engine'!AR213</f>
        <v/>
      </c>
      <c r="N12" s="512" t="n"/>
      <c r="O12" s="512" t="n"/>
      <c r="P12" s="512" t="n"/>
      <c r="Q12" s="512" t="n"/>
    </row>
    <row r="13" ht="13.5" customHeight="1" s="290">
      <c r="C13" s="513">
        <f>CONCATENATE("  vs 2026E: ",TEXT(IFERROR('08 P&amp;L'!AR105-'08 P&amp;L'!X105,0),"0.0%"))</f>
        <v/>
      </c>
      <c r="H13" s="513">
        <f>CONCATENATE("  Net Margin: ",TEXT('08 P&amp;L'!AR110,"0.0%"))</f>
        <v/>
      </c>
      <c r="M13" s="513">
        <f>CONCATENATE("  vs 2026E: ",TEXT(IFERROR('04 Producer Engine'!AR213-'04 Producer Engine'!X213,0),"0.0%"))</f>
        <v/>
      </c>
    </row>
    <row r="14" ht="9.75" customHeight="1" s="290">
      <c r="C14" s="514">
        <f>IFERROR('08 P&amp;L'!AR105-'08 P&amp;L'!X105,0)</f>
        <v/>
      </c>
      <c r="D14" s="316" t="n"/>
      <c r="E14" s="316" t="n"/>
      <c r="F14" s="316" t="n"/>
      <c r="G14" s="316" t="n"/>
      <c r="H14" s="514" t="inlineStr">
        <is>
          <t>'08 P&amp;L'!AR110</t>
        </is>
      </c>
      <c r="I14" s="316" t="n"/>
      <c r="J14" s="316" t="n"/>
      <c r="K14" s="316" t="n"/>
      <c r="L14" s="316" t="n"/>
      <c r="M14" s="514">
        <f>IFERROR('04 Producer Engine'!AR213-'04 Producer Engine'!X213,0)</f>
        <v/>
      </c>
      <c r="N14" s="316" t="n"/>
      <c r="O14" s="316" t="n"/>
      <c r="P14" s="316" t="n"/>
      <c r="Q14" s="316" t="n"/>
    </row>
    <row r="15" ht="6" customHeight="1" s="290"/>
    <row r="18" ht="6" customHeight="1" s="290"/>
    <row r="19" ht="3" customHeight="1" s="290">
      <c r="A19" s="293" t="n"/>
    </row>
    <row r="20" ht="4.5" customHeight="1" s="290"/>
    <row r="21" ht="15.75" customHeight="1" s="290">
      <c r="A21" s="338" t="inlineStr">
        <is>
          <t xml:space="preserve">  SECTION B  —  REVENUE MIX &amp; TREND  (2023A–2030E, Chart Source Table)</t>
        </is>
      </c>
    </row>
    <row r="22" ht="4.5" customHeight="1" s="290"/>
    <row r="23" ht="15.75" customHeight="1" s="290">
      <c r="B23" s="517" t="inlineStr">
        <is>
          <t>Revenue Line</t>
        </is>
      </c>
      <c r="C23" s="517" t="inlineStr">
        <is>
          <t>Units</t>
        </is>
      </c>
      <c r="D23" s="518" t="inlineStr">
        <is>
          <t>2023A</t>
        </is>
      </c>
      <c r="E23" s="518" t="inlineStr">
        <is>
          <t>2024A</t>
        </is>
      </c>
      <c r="F23" s="518" t="inlineStr">
        <is>
          <t>2025A</t>
        </is>
      </c>
      <c r="G23" s="333" t="inlineStr">
        <is>
          <t>2026E</t>
        </is>
      </c>
      <c r="H23" s="333" t="inlineStr">
        <is>
          <t>2027E</t>
        </is>
      </c>
      <c r="I23" s="333" t="inlineStr">
        <is>
          <t>2028E</t>
        </is>
      </c>
      <c r="J23" s="333" t="inlineStr">
        <is>
          <t>2029E</t>
        </is>
      </c>
      <c r="K23" s="333" t="inlineStr">
        <is>
          <t>2030E</t>
        </is>
      </c>
      <c r="L23" s="517" t="inlineStr">
        <is>
          <t>'26-'30
CAGR</t>
        </is>
      </c>
    </row>
    <row r="24" ht="13.5" customHeight="1" s="290">
      <c r="B24" s="471" t="inlineStr">
        <is>
          <t>Leasing</t>
        </is>
      </c>
      <c r="C24" s="519" t="inlineStr">
        <is>
          <t>$K</t>
        </is>
      </c>
      <c r="D24" s="520">
        <f>'08 P&amp;L'!I93</f>
        <v/>
      </c>
      <c r="E24" s="520">
        <f>'08 P&amp;L'!N93</f>
        <v/>
      </c>
      <c r="F24" s="520">
        <f>'08 P&amp;L'!S93</f>
        <v/>
      </c>
      <c r="G24" s="520">
        <f>'08 P&amp;L'!X93</f>
        <v/>
      </c>
      <c r="H24" s="520">
        <f>'08 P&amp;L'!AC93</f>
        <v/>
      </c>
      <c r="I24" s="520">
        <f>'08 P&amp;L'!AH93</f>
        <v/>
      </c>
      <c r="J24" s="520">
        <f>'08 P&amp;L'!AM93</f>
        <v/>
      </c>
      <c r="K24" s="520">
        <f>'08 P&amp;L'!AR93</f>
        <v/>
      </c>
      <c r="L24" s="521">
        <f>IFERROR(('08 P&amp;L'!AR93/'08 P&amp;L'!X93)^(1/4)-1,0)</f>
        <v/>
      </c>
    </row>
    <row r="25" ht="13.5" customHeight="1" s="290">
      <c r="B25" s="471" t="inlineStr">
        <is>
          <t>Investment Sales</t>
        </is>
      </c>
      <c r="C25" s="519" t="inlineStr">
        <is>
          <t>$K</t>
        </is>
      </c>
      <c r="D25" s="520">
        <f>'08 P&amp;L'!I94</f>
        <v/>
      </c>
      <c r="E25" s="520">
        <f>'08 P&amp;L'!N94</f>
        <v/>
      </c>
      <c r="F25" s="520">
        <f>'08 P&amp;L'!S94</f>
        <v/>
      </c>
      <c r="G25" s="520">
        <f>'08 P&amp;L'!X94</f>
        <v/>
      </c>
      <c r="H25" s="520">
        <f>'08 P&amp;L'!AC94</f>
        <v/>
      </c>
      <c r="I25" s="520">
        <f>'08 P&amp;L'!AH94</f>
        <v/>
      </c>
      <c r="J25" s="520">
        <f>'08 P&amp;L'!AM94</f>
        <v/>
      </c>
      <c r="K25" s="520">
        <f>'08 P&amp;L'!AR94</f>
        <v/>
      </c>
      <c r="L25" s="521">
        <f>IFERROR(('08 P&amp;L'!AR94/'08 P&amp;L'!X94)^(1/4)-1,0)</f>
        <v/>
      </c>
    </row>
    <row r="26" ht="13.5" customHeight="1" s="290">
      <c r="B26" s="471" t="inlineStr">
        <is>
          <t>Debt &amp; Equity</t>
        </is>
      </c>
      <c r="C26" s="519" t="inlineStr">
        <is>
          <t>$K</t>
        </is>
      </c>
      <c r="D26" s="520">
        <f>'08 P&amp;L'!I95</f>
        <v/>
      </c>
      <c r="E26" s="520">
        <f>'08 P&amp;L'!N95</f>
        <v/>
      </c>
      <c r="F26" s="520">
        <f>'08 P&amp;L'!S95</f>
        <v/>
      </c>
      <c r="G26" s="520">
        <f>'08 P&amp;L'!X95</f>
        <v/>
      </c>
      <c r="H26" s="520">
        <f>'08 P&amp;L'!AC95</f>
        <v/>
      </c>
      <c r="I26" s="520">
        <f>'08 P&amp;L'!AH95</f>
        <v/>
      </c>
      <c r="J26" s="520">
        <f>'08 P&amp;L'!AM95</f>
        <v/>
      </c>
      <c r="K26" s="520">
        <f>'08 P&amp;L'!AR95</f>
        <v/>
      </c>
      <c r="L26" s="521">
        <f>IFERROR(('08 P&amp;L'!AR95/'08 P&amp;L'!X95)^(1/4)-1,0)</f>
        <v/>
      </c>
    </row>
    <row r="27" ht="13.5" customHeight="1" s="290">
      <c r="B27" s="471" t="inlineStr">
        <is>
          <t>Advisory</t>
        </is>
      </c>
      <c r="C27" s="519" t="inlineStr">
        <is>
          <t>$K</t>
        </is>
      </c>
      <c r="D27" s="520">
        <f>'08 P&amp;L'!I96</f>
        <v/>
      </c>
      <c r="E27" s="520">
        <f>'08 P&amp;L'!N96</f>
        <v/>
      </c>
      <c r="F27" s="520">
        <f>'08 P&amp;L'!S96</f>
        <v/>
      </c>
      <c r="G27" s="520">
        <f>'08 P&amp;L'!X96</f>
        <v/>
      </c>
      <c r="H27" s="520">
        <f>'08 P&amp;L'!AC96</f>
        <v/>
      </c>
      <c r="I27" s="520">
        <f>'08 P&amp;L'!AH96</f>
        <v/>
      </c>
      <c r="J27" s="520">
        <f>'08 P&amp;L'!AM96</f>
        <v/>
      </c>
      <c r="K27" s="520">
        <f>'08 P&amp;L'!AR96</f>
        <v/>
      </c>
      <c r="L27" s="521">
        <f>IFERROR(('08 P&amp;L'!AR96/'08 P&amp;L'!X96)^(1/4)-1,0)</f>
        <v/>
      </c>
    </row>
    <row r="28" ht="13.5" customHeight="1" s="290">
      <c r="B28" s="462" t="inlineStr">
        <is>
          <t>TOTAL GCI</t>
        </is>
      </c>
      <c r="C28" s="366" t="inlineStr">
        <is>
          <t>$K</t>
        </is>
      </c>
      <c r="D28" s="522">
        <f>'08 P&amp;L'!I97</f>
        <v/>
      </c>
      <c r="E28" s="522">
        <f>'08 P&amp;L'!N97</f>
        <v/>
      </c>
      <c r="F28" s="522">
        <f>'08 P&amp;L'!S97</f>
        <v/>
      </c>
      <c r="G28" s="522">
        <f>'08 P&amp;L'!X97</f>
        <v/>
      </c>
      <c r="H28" s="522">
        <f>'08 P&amp;L'!AC97</f>
        <v/>
      </c>
      <c r="I28" s="522">
        <f>'08 P&amp;L'!AH97</f>
        <v/>
      </c>
      <c r="J28" s="522">
        <f>'08 P&amp;L'!AM97</f>
        <v/>
      </c>
      <c r="K28" s="522">
        <f>'08 P&amp;L'!AR97</f>
        <v/>
      </c>
      <c r="L28" s="523">
        <f>IFERROR(('08 P&amp;L'!AR97/'08 P&amp;L'!X97)^(1/4)-1,0)</f>
        <v/>
      </c>
    </row>
    <row r="29" ht="4.5" customHeight="1" s="290"/>
    <row r="30" ht="13.5" customHeight="1" s="290">
      <c r="B30" s="471" t="inlineStr">
        <is>
          <t>Leasing %</t>
        </is>
      </c>
      <c r="C30" s="519" t="inlineStr">
        <is>
          <t>%</t>
        </is>
      </c>
      <c r="D30" s="521">
        <f>IFERROR('08 P&amp;L'!I93/'08 P&amp;L'!I97,0)</f>
        <v/>
      </c>
      <c r="E30" s="521">
        <f>IFERROR('08 P&amp;L'!N93/'08 P&amp;L'!N97,0)</f>
        <v/>
      </c>
      <c r="F30" s="521">
        <f>IFERROR('08 P&amp;L'!S93/'08 P&amp;L'!S97,0)</f>
        <v/>
      </c>
      <c r="G30" s="521">
        <f>IFERROR('08 P&amp;L'!X93/'08 P&amp;L'!X97,0)</f>
        <v/>
      </c>
      <c r="H30" s="521">
        <f>IFERROR('08 P&amp;L'!AC93/'08 P&amp;L'!AC97,0)</f>
        <v/>
      </c>
      <c r="I30" s="521">
        <f>IFERROR('08 P&amp;L'!AH93/'08 P&amp;L'!AH97,0)</f>
        <v/>
      </c>
      <c r="J30" s="521">
        <f>IFERROR('08 P&amp;L'!AM93/'08 P&amp;L'!AM97,0)</f>
        <v/>
      </c>
      <c r="K30" s="521">
        <f>IFERROR('08 P&amp;L'!AR93/'08 P&amp;L'!AR97,0)</f>
        <v/>
      </c>
      <c r="L30" s="521">
        <f>0</f>
        <v/>
      </c>
    </row>
    <row r="31" ht="13.5" customHeight="1" s="290">
      <c r="B31" s="471" t="inlineStr">
        <is>
          <t>IS %</t>
        </is>
      </c>
      <c r="C31" s="519" t="inlineStr">
        <is>
          <t>%</t>
        </is>
      </c>
      <c r="D31" s="521">
        <f>IFERROR('08 P&amp;L'!I94/'08 P&amp;L'!I97,0)</f>
        <v/>
      </c>
      <c r="E31" s="521">
        <f>IFERROR('08 P&amp;L'!N94/'08 P&amp;L'!N97,0)</f>
        <v/>
      </c>
      <c r="F31" s="521">
        <f>IFERROR('08 P&amp;L'!S94/'08 P&amp;L'!S97,0)</f>
        <v/>
      </c>
      <c r="G31" s="521">
        <f>IFERROR('08 P&amp;L'!X94/'08 P&amp;L'!X97,0)</f>
        <v/>
      </c>
      <c r="H31" s="521">
        <f>IFERROR('08 P&amp;L'!AC94/'08 P&amp;L'!AC97,0)</f>
        <v/>
      </c>
      <c r="I31" s="521">
        <f>IFERROR('08 P&amp;L'!AH94/'08 P&amp;L'!AH97,0)</f>
        <v/>
      </c>
      <c r="J31" s="521">
        <f>IFERROR('08 P&amp;L'!AM94/'08 P&amp;L'!AM97,0)</f>
        <v/>
      </c>
      <c r="K31" s="521">
        <f>IFERROR('08 P&amp;L'!AR94/'08 P&amp;L'!AR97,0)</f>
        <v/>
      </c>
      <c r="L31" s="521">
        <f>0</f>
        <v/>
      </c>
    </row>
    <row r="32" ht="13.5" customHeight="1" s="290">
      <c r="B32" s="471" t="inlineStr">
        <is>
          <t>D&amp;E %</t>
        </is>
      </c>
      <c r="C32" s="519" t="inlineStr">
        <is>
          <t>%</t>
        </is>
      </c>
      <c r="D32" s="521">
        <f>IFERROR('08 P&amp;L'!I95/'08 P&amp;L'!I97,0)</f>
        <v/>
      </c>
      <c r="E32" s="521">
        <f>IFERROR('08 P&amp;L'!N95/'08 P&amp;L'!N97,0)</f>
        <v/>
      </c>
      <c r="F32" s="521">
        <f>IFERROR('08 P&amp;L'!S95/'08 P&amp;L'!S97,0)</f>
        <v/>
      </c>
      <c r="G32" s="521">
        <f>IFERROR('08 P&amp;L'!X95/'08 P&amp;L'!X97,0)</f>
        <v/>
      </c>
      <c r="H32" s="521">
        <f>IFERROR('08 P&amp;L'!AC95/'08 P&amp;L'!AC97,0)</f>
        <v/>
      </c>
      <c r="I32" s="521">
        <f>IFERROR('08 P&amp;L'!AH95/'08 P&amp;L'!AH97,0)</f>
        <v/>
      </c>
      <c r="J32" s="521">
        <f>IFERROR('08 P&amp;L'!AM95/'08 P&amp;L'!AM97,0)</f>
        <v/>
      </c>
      <c r="K32" s="521">
        <f>IFERROR('08 P&amp;L'!AR95/'08 P&amp;L'!AR97,0)</f>
        <v/>
      </c>
      <c r="L32" s="521">
        <f>0</f>
        <v/>
      </c>
    </row>
    <row r="33" ht="13.5" customHeight="1" s="290">
      <c r="B33" s="471" t="inlineStr">
        <is>
          <t>Advisory %</t>
        </is>
      </c>
      <c r="C33" s="519" t="inlineStr">
        <is>
          <t>%</t>
        </is>
      </c>
      <c r="D33" s="521">
        <f>IFERROR('08 P&amp;L'!I96/'08 P&amp;L'!I97,0)</f>
        <v/>
      </c>
      <c r="E33" s="521">
        <f>IFERROR('08 P&amp;L'!N96/'08 P&amp;L'!N97,0)</f>
        <v/>
      </c>
      <c r="F33" s="521">
        <f>IFERROR('08 P&amp;L'!S96/'08 P&amp;L'!S97,0)</f>
        <v/>
      </c>
      <c r="G33" s="521">
        <f>IFERROR('08 P&amp;L'!X96/'08 P&amp;L'!X97,0)</f>
        <v/>
      </c>
      <c r="H33" s="521">
        <f>IFERROR('08 P&amp;L'!AC96/'08 P&amp;L'!AC97,0)</f>
        <v/>
      </c>
      <c r="I33" s="521">
        <f>IFERROR('08 P&amp;L'!AH96/'08 P&amp;L'!AH97,0)</f>
        <v/>
      </c>
      <c r="J33" s="521">
        <f>IFERROR('08 P&amp;L'!AM96/'08 P&amp;L'!AM97,0)</f>
        <v/>
      </c>
      <c r="K33" s="521">
        <f>IFERROR('08 P&amp;L'!AR96/'08 P&amp;L'!AR97,0)</f>
        <v/>
      </c>
      <c r="L33" s="521">
        <f>0</f>
        <v/>
      </c>
    </row>
    <row r="34" ht="4.5" customHeight="1" s="290"/>
    <row r="35" ht="13.5" customHeight="1" s="290">
      <c r="B35" s="471" t="inlineStr">
        <is>
          <t>Leasing YoY Gr.</t>
        </is>
      </c>
      <c r="C35" s="519" t="inlineStr">
        <is>
          <t>%</t>
        </is>
      </c>
      <c r="D35" s="521">
        <f>0</f>
        <v/>
      </c>
      <c r="E35" s="521">
        <f>IFERROR('08 P&amp;L'!N93/'08 P&amp;L'!I93-1,0)</f>
        <v/>
      </c>
      <c r="F35" s="521">
        <f>IFERROR('08 P&amp;L'!S93/'08 P&amp;L'!N93-1,0)</f>
        <v/>
      </c>
      <c r="G35" s="521">
        <f>IFERROR('08 P&amp;L'!X93/'08 P&amp;L'!S93-1,0)</f>
        <v/>
      </c>
      <c r="H35" s="521">
        <f>IFERROR('08 P&amp;L'!AC93/'08 P&amp;L'!X93-1,0)</f>
        <v/>
      </c>
      <c r="I35" s="521">
        <f>IFERROR('08 P&amp;L'!AH93/'08 P&amp;L'!AC93-1,0)</f>
        <v/>
      </c>
      <c r="J35" s="521">
        <f>IFERROR('08 P&amp;L'!AM93/'08 P&amp;L'!AH93-1,0)</f>
        <v/>
      </c>
      <c r="K35" s="521">
        <f>IFERROR('08 P&amp;L'!AR93/'08 P&amp;L'!AM93-1,0)</f>
        <v/>
      </c>
      <c r="L35" s="521">
        <f>0</f>
        <v/>
      </c>
    </row>
    <row r="36" ht="13.5" customHeight="1" s="290">
      <c r="B36" s="471" t="inlineStr">
        <is>
          <t>IS YoY Gr.</t>
        </is>
      </c>
      <c r="C36" s="519" t="inlineStr">
        <is>
          <t>%</t>
        </is>
      </c>
      <c r="D36" s="521">
        <f>0</f>
        <v/>
      </c>
      <c r="E36" s="521">
        <f>IFERROR('08 P&amp;L'!N94/'08 P&amp;L'!I94-1,0)</f>
        <v/>
      </c>
      <c r="F36" s="521">
        <f>IFERROR('08 P&amp;L'!S94/'08 P&amp;L'!N94-1,0)</f>
        <v/>
      </c>
      <c r="G36" s="521">
        <f>IFERROR('08 P&amp;L'!X94/'08 P&amp;L'!S94-1,0)</f>
        <v/>
      </c>
      <c r="H36" s="521">
        <f>IFERROR('08 P&amp;L'!AC94/'08 P&amp;L'!X94-1,0)</f>
        <v/>
      </c>
      <c r="I36" s="521">
        <f>IFERROR('08 P&amp;L'!AH94/'08 P&amp;L'!AC94-1,0)</f>
        <v/>
      </c>
      <c r="J36" s="521">
        <f>IFERROR('08 P&amp;L'!AM94/'08 P&amp;L'!AH94-1,0)</f>
        <v/>
      </c>
      <c r="K36" s="521">
        <f>IFERROR('08 P&amp;L'!AR94/'08 P&amp;L'!AM94-1,0)</f>
        <v/>
      </c>
      <c r="L36" s="521">
        <f>0</f>
        <v/>
      </c>
    </row>
    <row r="37" ht="13.5" customHeight="1" s="290">
      <c r="B37" s="471" t="inlineStr">
        <is>
          <t>D&amp;E YoY Gr.</t>
        </is>
      </c>
      <c r="C37" s="519" t="inlineStr">
        <is>
          <t>%</t>
        </is>
      </c>
      <c r="D37" s="521">
        <f>0</f>
        <v/>
      </c>
      <c r="E37" s="521">
        <f>IFERROR('08 P&amp;L'!N95/'08 P&amp;L'!I95-1,0)</f>
        <v/>
      </c>
      <c r="F37" s="521">
        <f>IFERROR('08 P&amp;L'!S95/'08 P&amp;L'!N95-1,0)</f>
        <v/>
      </c>
      <c r="G37" s="521">
        <f>IFERROR('08 P&amp;L'!X95/'08 P&amp;L'!S95-1,0)</f>
        <v/>
      </c>
      <c r="H37" s="521">
        <f>IFERROR('08 P&amp;L'!AC95/'08 P&amp;L'!X95-1,0)</f>
        <v/>
      </c>
      <c r="I37" s="521">
        <f>IFERROR('08 P&amp;L'!AH95/'08 P&amp;L'!AC95-1,0)</f>
        <v/>
      </c>
      <c r="J37" s="521">
        <f>IFERROR('08 P&amp;L'!AM95/'08 P&amp;L'!AH95-1,0)</f>
        <v/>
      </c>
      <c r="K37" s="521">
        <f>IFERROR('08 P&amp;L'!AR95/'08 P&amp;L'!AM95-1,0)</f>
        <v/>
      </c>
      <c r="L37" s="521">
        <f>0</f>
        <v/>
      </c>
    </row>
    <row r="38" ht="13.5" customHeight="1" s="290">
      <c r="B38" s="471" t="inlineStr">
        <is>
          <t>Advisory YoY Gr.</t>
        </is>
      </c>
      <c r="C38" s="519" t="inlineStr">
        <is>
          <t>%</t>
        </is>
      </c>
      <c r="D38" s="521">
        <f>0</f>
        <v/>
      </c>
      <c r="E38" s="521">
        <f>IFERROR('08 P&amp;L'!N96/'08 P&amp;L'!I96-1,0)</f>
        <v/>
      </c>
      <c r="F38" s="521">
        <f>IFERROR('08 P&amp;L'!S96/'08 P&amp;L'!N96-1,0)</f>
        <v/>
      </c>
      <c r="G38" s="521">
        <f>IFERROR('08 P&amp;L'!X96/'08 P&amp;L'!S96-1,0)</f>
        <v/>
      </c>
      <c r="H38" s="521">
        <f>IFERROR('08 P&amp;L'!AC96/'08 P&amp;L'!X96-1,0)</f>
        <v/>
      </c>
      <c r="I38" s="521">
        <f>IFERROR('08 P&amp;L'!AH96/'08 P&amp;L'!AC96-1,0)</f>
        <v/>
      </c>
      <c r="J38" s="521">
        <f>IFERROR('08 P&amp;L'!AM96/'08 P&amp;L'!AH96-1,0)</f>
        <v/>
      </c>
      <c r="K38" s="521">
        <f>IFERROR('08 P&amp;L'!AR96/'08 P&amp;L'!AM96-1,0)</f>
        <v/>
      </c>
      <c r="L38" s="521">
        <f>0</f>
        <v/>
      </c>
    </row>
    <row r="39" ht="13.5" customHeight="1" s="290">
      <c r="B39" s="471" t="inlineStr">
        <is>
          <t>Total GCI YoY Gr.</t>
        </is>
      </c>
      <c r="C39" s="519" t="inlineStr">
        <is>
          <t>%</t>
        </is>
      </c>
      <c r="D39" s="521">
        <f>0</f>
        <v/>
      </c>
      <c r="E39" s="521">
        <f>IFERROR('08 P&amp;L'!N97/'08 P&amp;L'!I97-1,0)</f>
        <v/>
      </c>
      <c r="F39" s="521">
        <f>IFERROR('08 P&amp;L'!S97/'08 P&amp;L'!N97-1,0)</f>
        <v/>
      </c>
      <c r="G39" s="521">
        <f>IFERROR('08 P&amp;L'!X97/'08 P&amp;L'!S97-1,0)</f>
        <v/>
      </c>
      <c r="H39" s="521">
        <f>IFERROR('08 P&amp;L'!AC97/'08 P&amp;L'!X97-1,0)</f>
        <v/>
      </c>
      <c r="I39" s="521">
        <f>IFERROR('08 P&amp;L'!AH97/'08 P&amp;L'!AC97-1,0)</f>
        <v/>
      </c>
      <c r="J39" s="521">
        <f>IFERROR('08 P&amp;L'!AM97/'08 P&amp;L'!AH97-1,0)</f>
        <v/>
      </c>
      <c r="K39" s="521">
        <f>IFERROR('08 P&amp;L'!AR97/'08 P&amp;L'!AM97-1,0)</f>
        <v/>
      </c>
      <c r="L39" s="521">
        <f>0</f>
        <v/>
      </c>
    </row>
    <row r="40" ht="4.5" customHeight="1" s="290"/>
    <row r="41" ht="13.5" customHeight="1" s="290">
      <c r="B41" s="351" t="inlineStr">
        <is>
          <t xml:space="preserve">  ↑  CHART SOURCE: Use rows above for stacked bar chart. Recommended: Stacked bar with Total GCI line overlay. Years = x-axis, $K = y-axis.</t>
        </is>
      </c>
    </row>
    <row r="42" ht="4.5" customHeight="1" s="290"/>
    <row r="43" ht="3" customHeight="1" s="290">
      <c r="A43" s="293" t="n"/>
    </row>
    <row r="44" ht="4.5" customHeight="1" s="290"/>
    <row r="45" ht="15.75" customHeight="1" s="290">
      <c r="A45" s="338" t="inlineStr">
        <is>
          <t xml:space="preserve">  SECTION C  —  PROFITABILITY TREND  (2023A–2030E with CAGR &amp; Margin Expansion)</t>
        </is>
      </c>
    </row>
    <row r="46" ht="4.5" customHeight="1" s="290"/>
    <row r="47" ht="15.75" customHeight="1" s="290">
      <c r="B47" s="517" t="inlineStr">
        <is>
          <t>Metric</t>
        </is>
      </c>
      <c r="C47" s="517" t="inlineStr">
        <is>
          <t>Units</t>
        </is>
      </c>
      <c r="D47" s="518" t="inlineStr">
        <is>
          <t>2023A</t>
        </is>
      </c>
      <c r="E47" s="518" t="inlineStr">
        <is>
          <t>2024A</t>
        </is>
      </c>
      <c r="F47" s="518" t="inlineStr">
        <is>
          <t>2025A</t>
        </is>
      </c>
      <c r="G47" s="333" t="inlineStr">
        <is>
          <t>2026E</t>
        </is>
      </c>
      <c r="H47" s="333" t="inlineStr">
        <is>
          <t>2027E</t>
        </is>
      </c>
      <c r="I47" s="333" t="inlineStr">
        <is>
          <t>2028E</t>
        </is>
      </c>
      <c r="J47" s="333" t="inlineStr">
        <is>
          <t>2029E</t>
        </is>
      </c>
      <c r="K47" s="333" t="inlineStr">
        <is>
          <t>2030E</t>
        </is>
      </c>
      <c r="L47" s="517" t="inlineStr">
        <is>
          <t>'26-'30 CAGR</t>
        </is>
      </c>
      <c r="M47" s="517" t="inlineStr">
        <is>
          <t>Margin
Change</t>
        </is>
      </c>
    </row>
    <row r="48" ht="13.5" customHeight="1" s="290">
      <c r="B48" s="462" t="inlineStr">
        <is>
          <t>Total GCI</t>
        </is>
      </c>
      <c r="C48" s="366" t="inlineStr">
        <is>
          <t>$K</t>
        </is>
      </c>
      <c r="D48" s="522">
        <f>'08 P&amp;L'!I97</f>
        <v/>
      </c>
      <c r="E48" s="522">
        <f>'08 P&amp;L'!N97</f>
        <v/>
      </c>
      <c r="F48" s="522">
        <f>'08 P&amp;L'!S97</f>
        <v/>
      </c>
      <c r="G48" s="522">
        <f>'08 P&amp;L'!X97</f>
        <v/>
      </c>
      <c r="H48" s="522">
        <f>'08 P&amp;L'!AC97</f>
        <v/>
      </c>
      <c r="I48" s="522">
        <f>'08 P&amp;L'!AH97</f>
        <v/>
      </c>
      <c r="J48" s="522">
        <f>'08 P&amp;L'!AM97</f>
        <v/>
      </c>
      <c r="K48" s="522">
        <f>'08 P&amp;L'!AR97</f>
        <v/>
      </c>
      <c r="L48" s="523">
        <f>IFERROR(('08 P&amp;L'!AR97/'08 P&amp;L'!X97)^(1/4)-1,0)</f>
        <v/>
      </c>
      <c r="M48" s="523">
        <f>IFERROR('08 P&amp;L'!AR97/'08 P&amp;L'!X97-1,0)</f>
        <v/>
      </c>
    </row>
    <row r="49" ht="13.5" customHeight="1" s="290">
      <c r="B49" s="471" t="inlineStr">
        <is>
          <t>Company Dollar</t>
        </is>
      </c>
      <c r="C49" s="519" t="inlineStr">
        <is>
          <t>$K</t>
        </is>
      </c>
      <c r="D49" s="520">
        <f>'08 P&amp;L'!I100</f>
        <v/>
      </c>
      <c r="E49" s="520">
        <f>'08 P&amp;L'!N100</f>
        <v/>
      </c>
      <c r="F49" s="520">
        <f>'08 P&amp;L'!S100</f>
        <v/>
      </c>
      <c r="G49" s="520">
        <f>'08 P&amp;L'!X100</f>
        <v/>
      </c>
      <c r="H49" s="520">
        <f>'08 P&amp;L'!AC100</f>
        <v/>
      </c>
      <c r="I49" s="520">
        <f>'08 P&amp;L'!AH100</f>
        <v/>
      </c>
      <c r="J49" s="520">
        <f>'08 P&amp;L'!AM100</f>
        <v/>
      </c>
      <c r="K49" s="520">
        <f>'08 P&amp;L'!AR100</f>
        <v/>
      </c>
      <c r="L49" s="521">
        <f>IFERROR(('08 P&amp;L'!AR100/'08 P&amp;L'!X100)^(1/4)-1,0)</f>
        <v/>
      </c>
      <c r="M49" s="521">
        <f>IFERROR('08 P&amp;L'!AR100/'08 P&amp;L'!X100-1,0)</f>
        <v/>
      </c>
    </row>
    <row r="50" ht="13.5" customHeight="1" s="290">
      <c r="B50" s="462" t="inlineStr">
        <is>
          <t>EBITDA</t>
        </is>
      </c>
      <c r="C50" s="366" t="inlineStr">
        <is>
          <t>$K</t>
        </is>
      </c>
      <c r="D50" s="522">
        <f>'08 P&amp;L'!I104</f>
        <v/>
      </c>
      <c r="E50" s="522">
        <f>'08 P&amp;L'!N104</f>
        <v/>
      </c>
      <c r="F50" s="522">
        <f>'08 P&amp;L'!S104</f>
        <v/>
      </c>
      <c r="G50" s="522">
        <f>'08 P&amp;L'!X104</f>
        <v/>
      </c>
      <c r="H50" s="522">
        <f>'08 P&amp;L'!AC104</f>
        <v/>
      </c>
      <c r="I50" s="522">
        <f>'08 P&amp;L'!AH104</f>
        <v/>
      </c>
      <c r="J50" s="522">
        <f>'08 P&amp;L'!AM104</f>
        <v/>
      </c>
      <c r="K50" s="522">
        <f>'08 P&amp;L'!AR104</f>
        <v/>
      </c>
      <c r="L50" s="523">
        <f>IFERROR(('08 P&amp;L'!AR104/'08 P&amp;L'!X104)^(1/4)-1,0)</f>
        <v/>
      </c>
      <c r="M50" s="523">
        <f>IFERROR('08 P&amp;L'!AR104/'08 P&amp;L'!X104-1,0)</f>
        <v/>
      </c>
    </row>
    <row r="51" ht="13.5" customHeight="1" s="290">
      <c r="B51" s="471" t="inlineStr">
        <is>
          <t>Net Income</t>
        </is>
      </c>
      <c r="C51" s="519" t="inlineStr">
        <is>
          <t>$K</t>
        </is>
      </c>
      <c r="D51" s="520">
        <f>'08 P&amp;L'!I109</f>
        <v/>
      </c>
      <c r="E51" s="520">
        <f>'08 P&amp;L'!N109</f>
        <v/>
      </c>
      <c r="F51" s="520">
        <f>'08 P&amp;L'!S109</f>
        <v/>
      </c>
      <c r="G51" s="520">
        <f>'08 P&amp;L'!X109</f>
        <v/>
      </c>
      <c r="H51" s="520">
        <f>'08 P&amp;L'!AC109</f>
        <v/>
      </c>
      <c r="I51" s="520">
        <f>'08 P&amp;L'!AH109</f>
        <v/>
      </c>
      <c r="J51" s="520">
        <f>'08 P&amp;L'!AM109</f>
        <v/>
      </c>
      <c r="K51" s="520">
        <f>'08 P&amp;L'!AR109</f>
        <v/>
      </c>
      <c r="L51" s="521">
        <f>IFERROR(('08 P&amp;L'!AR109/'08 P&amp;L'!X109)^(1/4)-1,0)</f>
        <v/>
      </c>
      <c r="M51" s="521">
        <f>IFERROR('08 P&amp;L'!AR109/'08 P&amp;L'!X109-1,0)</f>
        <v/>
      </c>
    </row>
    <row r="52" ht="4.5" customHeight="1" s="290"/>
    <row r="53" ht="13.5" customHeight="1" s="290">
      <c r="B53" s="471" t="inlineStr">
        <is>
          <t>Co$ Margin %</t>
        </is>
      </c>
      <c r="C53" s="519" t="inlineStr">
        <is>
          <t>%</t>
        </is>
      </c>
      <c r="D53" s="521">
        <f>'08 P&amp;L'!I101</f>
        <v/>
      </c>
      <c r="E53" s="521">
        <f>'08 P&amp;L'!N101</f>
        <v/>
      </c>
      <c r="F53" s="521">
        <f>'08 P&amp;L'!S101</f>
        <v/>
      </c>
      <c r="G53" s="521">
        <f>'08 P&amp;L'!X101</f>
        <v/>
      </c>
      <c r="H53" s="521">
        <f>'08 P&amp;L'!AC101</f>
        <v/>
      </c>
      <c r="I53" s="521">
        <f>'08 P&amp;L'!AH101</f>
        <v/>
      </c>
      <c r="J53" s="521">
        <f>'08 P&amp;L'!AM101</f>
        <v/>
      </c>
      <c r="K53" s="521">
        <f>'08 P&amp;L'!AR101</f>
        <v/>
      </c>
      <c r="L53" s="524" t="inlineStr">
        <is>
          <t>—</t>
        </is>
      </c>
      <c r="M53" s="525">
        <f>IFERROR('08 P&amp;L'!AR101-'08 P&amp;L'!X101,0)</f>
        <v/>
      </c>
    </row>
    <row r="54" ht="13.5" customHeight="1" s="290">
      <c r="B54" s="471" t="inlineStr">
        <is>
          <t>EBITDA Margin %</t>
        </is>
      </c>
      <c r="C54" s="519" t="inlineStr">
        <is>
          <t>%</t>
        </is>
      </c>
      <c r="D54" s="521">
        <f>'08 P&amp;L'!I105</f>
        <v/>
      </c>
      <c r="E54" s="521">
        <f>'08 P&amp;L'!N105</f>
        <v/>
      </c>
      <c r="F54" s="521">
        <f>'08 P&amp;L'!S105</f>
        <v/>
      </c>
      <c r="G54" s="521">
        <f>'08 P&amp;L'!X105</f>
        <v/>
      </c>
      <c r="H54" s="521">
        <f>'08 P&amp;L'!AC105</f>
        <v/>
      </c>
      <c r="I54" s="521">
        <f>'08 P&amp;L'!AH105</f>
        <v/>
      </c>
      <c r="J54" s="521">
        <f>'08 P&amp;L'!AM105</f>
        <v/>
      </c>
      <c r="K54" s="521">
        <f>'08 P&amp;L'!AR105</f>
        <v/>
      </c>
      <c r="L54" s="524" t="inlineStr">
        <is>
          <t>—</t>
        </is>
      </c>
      <c r="M54" s="525">
        <f>IFERROR('08 P&amp;L'!AR105-'08 P&amp;L'!X105,0)</f>
        <v/>
      </c>
    </row>
    <row r="55" ht="13.5" customHeight="1" s="290">
      <c r="B55" s="471" t="inlineStr">
        <is>
          <t>Net Margin %</t>
        </is>
      </c>
      <c r="C55" s="519" t="inlineStr">
        <is>
          <t>%</t>
        </is>
      </c>
      <c r="D55" s="521">
        <f>'08 P&amp;L'!I110</f>
        <v/>
      </c>
      <c r="E55" s="521">
        <f>'08 P&amp;L'!N110</f>
        <v/>
      </c>
      <c r="F55" s="521">
        <f>'08 P&amp;L'!S110</f>
        <v/>
      </c>
      <c r="G55" s="521">
        <f>'08 P&amp;L'!X110</f>
        <v/>
      </c>
      <c r="H55" s="521">
        <f>'08 P&amp;L'!AC110</f>
        <v/>
      </c>
      <c r="I55" s="521">
        <f>'08 P&amp;L'!AH110</f>
        <v/>
      </c>
      <c r="J55" s="521">
        <f>'08 P&amp;L'!AM110</f>
        <v/>
      </c>
      <c r="K55" s="521">
        <f>'08 P&amp;L'!AR110</f>
        <v/>
      </c>
      <c r="L55" s="524" t="inlineStr">
        <is>
          <t>—</t>
        </is>
      </c>
      <c r="M55" s="525">
        <f>IFERROR('08 P&amp;L'!AR110-'08 P&amp;L'!X110,0)</f>
        <v/>
      </c>
    </row>
    <row r="56" ht="4.5" customHeight="1" s="290"/>
    <row r="57" ht="3" customHeight="1" s="290">
      <c r="A57" s="293" t="n"/>
    </row>
    <row r="58" ht="4.5" customHeight="1" s="290"/>
    <row r="59" ht="15.75" customHeight="1" s="290">
      <c r="A59" s="338" t="inlineStr">
        <is>
          <t xml:space="preserve">  SECTION D  —  SCENARIO COMPARISON  (2028E Representative, Tab 09 Source)</t>
        </is>
      </c>
    </row>
    <row r="60" ht="4.5" customHeight="1" s="290"/>
    <row r="61" ht="18" customHeight="1" s="290">
      <c r="B61" s="517" t="inlineStr">
        <is>
          <t>Metric</t>
        </is>
      </c>
      <c r="C61" s="517" t="inlineStr">
        <is>
          <t>Units</t>
        </is>
      </c>
      <c r="D61" s="333" t="inlineStr">
        <is>
          <t>Active
(2028E)</t>
        </is>
      </c>
      <c r="E61" s="526" t="inlineStr">
        <is>
          <t>Base
(Est.)</t>
        </is>
      </c>
      <c r="F61" s="527" t="inlineStr">
        <is>
          <t>Upside
(Est.)</t>
        </is>
      </c>
      <c r="G61" s="528" t="inlineStr">
        <is>
          <t>Downside
(Est.)</t>
        </is>
      </c>
      <c r="H61" s="529" t="inlineStr">
        <is>
          <t>Δ Up vs
Base</t>
        </is>
      </c>
      <c r="I61" s="530" t="inlineStr">
        <is>
          <t>Δ Dn vs
Base</t>
        </is>
      </c>
    </row>
    <row r="62" ht="13.5" customHeight="1" s="290">
      <c r="B62" s="462" t="inlineStr">
        <is>
          <t>Revenue (GCI)</t>
        </is>
      </c>
      <c r="C62" s="366" t="inlineStr">
        <is>
          <t>$K</t>
        </is>
      </c>
      <c r="D62" s="465">
        <f>'09 Scenario Analysis'!G24</f>
        <v/>
      </c>
      <c r="E62" s="466">
        <f>'09 Scenario Analysis'!I24</f>
        <v/>
      </c>
      <c r="F62" s="467">
        <f>'09 Scenario Analysis'!J24</f>
        <v/>
      </c>
      <c r="G62" s="468">
        <f>'09 Scenario Analysis'!K24</f>
        <v/>
      </c>
      <c r="H62" s="469">
        <f>IFERROR('09 Scenario Analysis'!J24-'09 Scenario Analysis'!I24,0)</f>
        <v/>
      </c>
      <c r="I62" s="531">
        <f>IFERROR('09 Scenario Analysis'!K24-'09 Scenario Analysis'!I24,0)</f>
        <v/>
      </c>
    </row>
    <row r="63" ht="13.5" customHeight="1" s="290">
      <c r="B63" s="471" t="inlineStr">
        <is>
          <t>Company Dollar</t>
        </is>
      </c>
      <c r="C63" s="519" t="inlineStr">
        <is>
          <t>$K</t>
        </is>
      </c>
      <c r="D63" s="472">
        <f>'09 Scenario Analysis'!G30</f>
        <v/>
      </c>
      <c r="E63" s="473">
        <f>'09 Scenario Analysis'!I30</f>
        <v/>
      </c>
      <c r="F63" s="474">
        <f>'09 Scenario Analysis'!J30</f>
        <v/>
      </c>
      <c r="G63" s="475">
        <f>'09 Scenario Analysis'!K30</f>
        <v/>
      </c>
      <c r="H63" s="469">
        <f>IFERROR('09 Scenario Analysis'!J30-'09 Scenario Analysis'!I30,0)</f>
        <v/>
      </c>
      <c r="I63" s="531">
        <f>IFERROR('09 Scenario Analysis'!K30-'09 Scenario Analysis'!I30,0)</f>
        <v/>
      </c>
    </row>
    <row r="64" ht="13.5" customHeight="1" s="290">
      <c r="B64" s="471" t="inlineStr">
        <is>
          <t>Company Dollar Margin</t>
        </is>
      </c>
      <c r="C64" s="519" t="inlineStr">
        <is>
          <t>%</t>
        </is>
      </c>
      <c r="D64" s="476">
        <f>'09 Scenario Analysis'!G31</f>
        <v/>
      </c>
      <c r="E64" s="477">
        <f>'09 Scenario Analysis'!I31</f>
        <v/>
      </c>
      <c r="F64" s="478">
        <f>'09 Scenario Analysis'!J31</f>
        <v/>
      </c>
      <c r="G64" s="479">
        <f>'09 Scenario Analysis'!K31</f>
        <v/>
      </c>
      <c r="H64" s="480">
        <f>IFERROR('09 Scenario Analysis'!J31-'09 Scenario Analysis'!I31,0)</f>
        <v/>
      </c>
      <c r="I64" s="532">
        <f>IFERROR('09 Scenario Analysis'!K31-'09 Scenario Analysis'!I31,0)</f>
        <v/>
      </c>
    </row>
    <row r="65" ht="13.5" customHeight="1" s="290">
      <c r="B65" s="462" t="inlineStr">
        <is>
          <t>EBITDA</t>
        </is>
      </c>
      <c r="C65" s="366" t="inlineStr">
        <is>
          <t>$K</t>
        </is>
      </c>
      <c r="D65" s="465">
        <f>'09 Scenario Analysis'!G33</f>
        <v/>
      </c>
      <c r="E65" s="466">
        <f>'09 Scenario Analysis'!I33</f>
        <v/>
      </c>
      <c r="F65" s="467">
        <f>'09 Scenario Analysis'!J33</f>
        <v/>
      </c>
      <c r="G65" s="468">
        <f>'09 Scenario Analysis'!K33</f>
        <v/>
      </c>
      <c r="H65" s="469">
        <f>IFERROR('09 Scenario Analysis'!J33-'09 Scenario Analysis'!I33,0)</f>
        <v/>
      </c>
      <c r="I65" s="531">
        <f>IFERROR('09 Scenario Analysis'!K33-'09 Scenario Analysis'!I33,0)</f>
        <v/>
      </c>
    </row>
    <row r="66" ht="13.5" customHeight="1" s="290">
      <c r="B66" s="471" t="inlineStr">
        <is>
          <t>EBITDA Margin %</t>
        </is>
      </c>
      <c r="C66" s="519" t="inlineStr">
        <is>
          <t>%</t>
        </is>
      </c>
      <c r="D66" s="476">
        <f>'09 Scenario Analysis'!G34</f>
        <v/>
      </c>
      <c r="E66" s="477">
        <f>'09 Scenario Analysis'!I34</f>
        <v/>
      </c>
      <c r="F66" s="478">
        <f>'09 Scenario Analysis'!J34</f>
        <v/>
      </c>
      <c r="G66" s="479">
        <f>'09 Scenario Analysis'!K34</f>
        <v/>
      </c>
      <c r="H66" s="480">
        <f>IFERROR('09 Scenario Analysis'!J34-'09 Scenario Analysis'!I34,0)</f>
        <v/>
      </c>
      <c r="I66" s="532">
        <f>IFERROR('09 Scenario Analysis'!K34-'09 Scenario Analysis'!I34,0)</f>
        <v/>
      </c>
    </row>
    <row r="67" ht="13.5" customHeight="1" s="290">
      <c r="B67" s="471" t="inlineStr">
        <is>
          <t>Net Income</t>
        </is>
      </c>
      <c r="C67" s="519" t="inlineStr">
        <is>
          <t>$K</t>
        </is>
      </c>
      <c r="D67" s="472">
        <f>'09 Scenario Analysis'!G35</f>
        <v/>
      </c>
      <c r="E67" s="473">
        <f>'09 Scenario Analysis'!I35</f>
        <v/>
      </c>
      <c r="F67" s="474">
        <f>'09 Scenario Analysis'!J35</f>
        <v/>
      </c>
      <c r="G67" s="475">
        <f>'09 Scenario Analysis'!K35</f>
        <v/>
      </c>
      <c r="H67" s="469">
        <f>IFERROR('09 Scenario Analysis'!J35-'09 Scenario Analysis'!I35,0)</f>
        <v/>
      </c>
      <c r="I67" s="531">
        <f>IFERROR('09 Scenario Analysis'!K35-'09 Scenario Analysis'!I35,0)</f>
        <v/>
      </c>
    </row>
    <row r="68" ht="13.5" customHeight="1" s="290">
      <c r="B68" s="471" t="inlineStr">
        <is>
          <t>Net Margin %</t>
        </is>
      </c>
      <c r="C68" s="519" t="inlineStr">
        <is>
          <t>%</t>
        </is>
      </c>
      <c r="D68" s="476">
        <f>'09 Scenario Analysis'!G36</f>
        <v/>
      </c>
      <c r="E68" s="477">
        <f>'09 Scenario Analysis'!I36</f>
        <v/>
      </c>
      <c r="F68" s="478">
        <f>'09 Scenario Analysis'!J36</f>
        <v/>
      </c>
      <c r="G68" s="479">
        <f>'09 Scenario Analysis'!K36</f>
        <v/>
      </c>
      <c r="H68" s="480">
        <f>IFERROR('09 Scenario Analysis'!J36-'09 Scenario Analysis'!I36,0)</f>
        <v/>
      </c>
      <c r="I68" s="532">
        <f>IFERROR('09 Scenario Analysis'!K36-'09 Scenario Analysis'!I36,0)</f>
        <v/>
      </c>
    </row>
    <row r="69" ht="4.5" customHeight="1" s="290"/>
    <row r="70" ht="3" customHeight="1" s="290">
      <c r="A70" s="293" t="n"/>
    </row>
    <row r="71" ht="4.5" customHeight="1" s="290"/>
    <row r="72" ht="15.75" customHeight="1" s="290">
      <c r="A72" s="338" t="inlineStr">
        <is>
          <t xml:space="preserve">  SECTION E  —  OPERATIONAL PRODUCTIVITY SCORECARD  (2030E Terminal Year)</t>
        </is>
      </c>
    </row>
    <row r="73" ht="4.5" customHeight="1" s="290"/>
    <row r="74" ht="15.75" customHeight="1" s="290">
      <c r="B74" s="517" t="inlineStr">
        <is>
          <t>KPI</t>
        </is>
      </c>
      <c r="C74" s="517" t="inlineStr">
        <is>
          <t>Units</t>
        </is>
      </c>
      <c r="D74" s="333" t="inlineStr">
        <is>
          <t>2026E</t>
        </is>
      </c>
      <c r="E74" s="333" t="inlineStr">
        <is>
          <t>2027E</t>
        </is>
      </c>
      <c r="F74" s="333" t="inlineStr">
        <is>
          <t>2028E</t>
        </is>
      </c>
      <c r="G74" s="333" t="inlineStr">
        <is>
          <t>2029E</t>
        </is>
      </c>
      <c r="H74" s="333" t="inlineStr">
        <is>
          <t>2030E</t>
        </is>
      </c>
      <c r="I74" s="517" t="inlineStr">
        <is>
          <t>'26–'30 Change</t>
        </is>
      </c>
      <c r="J74" s="517" t="inlineStr">
        <is>
          <t>Notes</t>
        </is>
      </c>
    </row>
    <row r="75" ht="13.5" customHeight="1" s="290">
      <c r="B75" s="462" t="inlineStr">
        <is>
          <t>Total Firm EPE</t>
        </is>
      </c>
      <c r="C75" s="366" t="inlineStr">
        <is>
          <t>#</t>
        </is>
      </c>
      <c r="D75" s="533">
        <f>'04 Producer Engine'!X213</f>
        <v/>
      </c>
      <c r="E75" s="533">
        <f>'04 Producer Engine'!AC213</f>
        <v/>
      </c>
      <c r="F75" s="533">
        <f>'04 Producer Engine'!AH213</f>
        <v/>
      </c>
      <c r="G75" s="533">
        <f>'04 Producer Engine'!AM213</f>
        <v/>
      </c>
      <c r="H75" s="533">
        <f>'04 Producer Engine'!AR213</f>
        <v/>
      </c>
      <c r="I75" s="534">
        <f>IFERROR(('04 Producer Engine'!AR213)-('04 Producer Engine'!X213),0)</f>
        <v/>
      </c>
      <c r="J75" s="490" t="inlineStr">
        <is>
          <t>Ramp-weighted effective producers</t>
        </is>
      </c>
    </row>
    <row r="76" ht="13.5" customHeight="1" s="290">
      <c r="B76" s="471" t="inlineStr">
        <is>
          <t>Revenue per EPE</t>
        </is>
      </c>
      <c r="C76" s="519" t="inlineStr">
        <is>
          <t>$K</t>
        </is>
      </c>
      <c r="D76" s="520">
        <f>IFERROR('08 P&amp;L'!X97/'04 Producer Engine'!X213,0)</f>
        <v/>
      </c>
      <c r="E76" s="520">
        <f>IFERROR('08 P&amp;L'!AC97/'04 Producer Engine'!AC213,0)</f>
        <v/>
      </c>
      <c r="F76" s="520">
        <f>IFERROR('08 P&amp;L'!AH97/'04 Producer Engine'!AH213,0)</f>
        <v/>
      </c>
      <c r="G76" s="520">
        <f>IFERROR('08 P&amp;L'!AM97/'04 Producer Engine'!AM213,0)</f>
        <v/>
      </c>
      <c r="H76" s="520">
        <f>IFERROR('08 P&amp;L'!AR97/'04 Producer Engine'!AR213,0)</f>
        <v/>
      </c>
      <c r="I76" s="534">
        <f>IFERROR((IFERROR('08 P&amp;L'!AR97/'04 Producer Engine'!AR213,0))-(IFERROR('08 P&amp;L'!X97/'04 Producer Engine'!X213,0)),0)</f>
        <v/>
      </c>
      <c r="J76" s="492" t="inlineStr">
        <is>
          <t>Total GCI ÷ Total Firm EPE</t>
        </is>
      </c>
    </row>
    <row r="77" ht="13.5" customHeight="1" s="290">
      <c r="B77" s="471" t="inlineStr">
        <is>
          <t>Company Dollar / EPE</t>
        </is>
      </c>
      <c r="C77" s="519" t="inlineStr">
        <is>
          <t>$K</t>
        </is>
      </c>
      <c r="D77" s="520">
        <f>IFERROR('08 P&amp;L'!X100/'04 Producer Engine'!X213,0)</f>
        <v/>
      </c>
      <c r="E77" s="520">
        <f>IFERROR('08 P&amp;L'!AC100/'04 Producer Engine'!AC213,0)</f>
        <v/>
      </c>
      <c r="F77" s="520">
        <f>IFERROR('08 P&amp;L'!AH100/'04 Producer Engine'!AH213,0)</f>
        <v/>
      </c>
      <c r="G77" s="520">
        <f>IFERROR('08 P&amp;L'!AM100/'04 Producer Engine'!AM213,0)</f>
        <v/>
      </c>
      <c r="H77" s="520">
        <f>IFERROR('08 P&amp;L'!AR100/'04 Producer Engine'!AR213,0)</f>
        <v/>
      </c>
      <c r="I77" s="534">
        <f>IFERROR((IFERROR('08 P&amp;L'!AR100/'04 Producer Engine'!AR213,0))-(IFERROR('08 P&amp;L'!X100/'04 Producer Engine'!X213,0)),0)</f>
        <v/>
      </c>
      <c r="J77" s="492" t="inlineStr">
        <is>
          <t>Company Dollar ÷ Total Firm EPE</t>
        </is>
      </c>
    </row>
    <row r="78" ht="13.5" customHeight="1" s="290">
      <c r="B78" s="462" t="inlineStr">
        <is>
          <t>EBITDA per EPE</t>
        </is>
      </c>
      <c r="C78" s="366" t="inlineStr">
        <is>
          <t>$K</t>
        </is>
      </c>
      <c r="D78" s="522">
        <f>IFERROR('08 P&amp;L'!X104/'04 Producer Engine'!X213,0)</f>
        <v/>
      </c>
      <c r="E78" s="522">
        <f>IFERROR('08 P&amp;L'!AC104/'04 Producer Engine'!AC213,0)</f>
        <v/>
      </c>
      <c r="F78" s="522">
        <f>IFERROR('08 P&amp;L'!AH104/'04 Producer Engine'!AH213,0)</f>
        <v/>
      </c>
      <c r="G78" s="522">
        <f>IFERROR('08 P&amp;L'!AM104/'04 Producer Engine'!AM213,0)</f>
        <v/>
      </c>
      <c r="H78" s="522">
        <f>IFERROR('08 P&amp;L'!AR104/'04 Producer Engine'!AR213,0)</f>
        <v/>
      </c>
      <c r="I78" s="534">
        <f>IFERROR((IFERROR('08 P&amp;L'!AR104/'04 Producer Engine'!AR213,0))-(IFERROR('08 P&amp;L'!X104/'04 Producer Engine'!X213,0)),0)</f>
        <v/>
      </c>
      <c r="J78" s="490" t="inlineStr">
        <is>
          <t>EBITDA ÷ Total Firm EPE</t>
        </is>
      </c>
    </row>
    <row r="79" ht="13.5" customHeight="1" s="290">
      <c r="B79" s="471" t="inlineStr">
        <is>
          <t>Producer Payout Ratio</t>
        </is>
      </c>
      <c r="C79" s="519" t="inlineStr">
        <is>
          <t>%</t>
        </is>
      </c>
      <c r="D79" s="521">
        <f>IFERROR('08 P&amp;L'!X99/'08 P&amp;L'!X97,0)</f>
        <v/>
      </c>
      <c r="E79" s="521">
        <f>IFERROR('08 P&amp;L'!AC99/'08 P&amp;L'!AC97,0)</f>
        <v/>
      </c>
      <c r="F79" s="521">
        <f>IFERROR('08 P&amp;L'!AH99/'08 P&amp;L'!AH97,0)</f>
        <v/>
      </c>
      <c r="G79" s="521">
        <f>IFERROR('08 P&amp;L'!AM99/'08 P&amp;L'!AM97,0)</f>
        <v/>
      </c>
      <c r="H79" s="521">
        <f>IFERROR('08 P&amp;L'!AR99/'08 P&amp;L'!AR97,0)</f>
        <v/>
      </c>
      <c r="I79" s="535">
        <f>IFERROR((IFERROR('08 P&amp;L'!AR99/'08 P&amp;L'!AR97,0))-(IFERROR('08 P&amp;L'!X99/'08 P&amp;L'!X97,0)),0)</f>
        <v/>
      </c>
      <c r="J79" s="492" t="inlineStr">
        <is>
          <t>Producer Payouts ÷ Total GCI</t>
        </is>
      </c>
    </row>
    <row r="80" ht="13.5" customHeight="1" s="290">
      <c r="B80" s="471" t="inlineStr">
        <is>
          <t>Company Dollar Margin</t>
        </is>
      </c>
      <c r="C80" s="519" t="inlineStr">
        <is>
          <t>%</t>
        </is>
      </c>
      <c r="D80" s="521">
        <f>'08 P&amp;L'!X101</f>
        <v/>
      </c>
      <c r="E80" s="521">
        <f>'08 P&amp;L'!AC101</f>
        <v/>
      </c>
      <c r="F80" s="521">
        <f>'08 P&amp;L'!AH101</f>
        <v/>
      </c>
      <c r="G80" s="521">
        <f>'08 P&amp;L'!AM101</f>
        <v/>
      </c>
      <c r="H80" s="521">
        <f>'08 P&amp;L'!AR101</f>
        <v/>
      </c>
      <c r="I80" s="535">
        <f>IFERROR(('08 P&amp;L'!AR101)-('08 P&amp;L'!X101),0)</f>
        <v/>
      </c>
      <c r="J80" s="492" t="inlineStr">
        <is>
          <t>Company Dollar ÷ Total GCI</t>
        </is>
      </c>
    </row>
    <row r="81" ht="13.5" customHeight="1" s="290">
      <c r="B81" s="471" t="inlineStr">
        <is>
          <t>EBITDA Margin</t>
        </is>
      </c>
      <c r="C81" s="519" t="inlineStr">
        <is>
          <t>%</t>
        </is>
      </c>
      <c r="D81" s="521">
        <f>'08 P&amp;L'!X105</f>
        <v/>
      </c>
      <c r="E81" s="521">
        <f>'08 P&amp;L'!AC105</f>
        <v/>
      </c>
      <c r="F81" s="521">
        <f>'08 P&amp;L'!AH105</f>
        <v/>
      </c>
      <c r="G81" s="521">
        <f>'08 P&amp;L'!AM105</f>
        <v/>
      </c>
      <c r="H81" s="521">
        <f>'08 P&amp;L'!AR105</f>
        <v/>
      </c>
      <c r="I81" s="535">
        <f>IFERROR(('08 P&amp;L'!AR105)-('08 P&amp;L'!X105),0)</f>
        <v/>
      </c>
      <c r="J81" s="492" t="inlineStr">
        <is>
          <t>EBITDA ÷ Total GCI</t>
        </is>
      </c>
    </row>
    <row r="82" ht="13.5" customHeight="1" s="290">
      <c r="B82" s="462" t="inlineStr">
        <is>
          <t>Total GCI</t>
        </is>
      </c>
      <c r="C82" s="366" t="inlineStr">
        <is>
          <t>$K</t>
        </is>
      </c>
      <c r="D82" s="522">
        <f>'08 P&amp;L'!X97</f>
        <v/>
      </c>
      <c r="E82" s="522">
        <f>'08 P&amp;L'!AC97</f>
        <v/>
      </c>
      <c r="F82" s="522">
        <f>'08 P&amp;L'!AH97</f>
        <v/>
      </c>
      <c r="G82" s="522">
        <f>'08 P&amp;L'!AM97</f>
        <v/>
      </c>
      <c r="H82" s="522">
        <f>'08 P&amp;L'!AR97</f>
        <v/>
      </c>
      <c r="I82" s="534">
        <f>IFERROR(('08 P&amp;L'!AR97)-('08 P&amp;L'!X97),0)</f>
        <v/>
      </c>
      <c r="J82" s="490" t="inlineStr">
        <is>
          <t>Gross Commission Income (total)</t>
        </is>
      </c>
    </row>
    <row r="83" ht="4.5" customHeight="1" s="290"/>
    <row r="84" ht="3" customHeight="1" s="290">
      <c r="A84" s="293" t="n"/>
    </row>
    <row r="85" ht="4.5" customHeight="1" s="290"/>
    <row r="86" ht="15.75" customHeight="1" s="290">
      <c r="A86" s="338" t="inlineStr">
        <is>
          <t xml:space="preserve">  SECTION F  —  EXECUTIVE INSIGHTS  (Formula-Driven — 2030E Terminal Year)</t>
        </is>
      </c>
    </row>
    <row r="87" ht="4.5" customHeight="1" s="290"/>
    <row r="88" ht="15.75" customHeight="1" s="290">
      <c r="B88" s="536" t="inlineStr">
        <is>
          <t>Revenue Composition</t>
        </is>
      </c>
      <c r="C88" s="537">
        <f>CONCATENATE("Leasing contributes ",TEXT(IFERROR('08 P&amp;L'!AR93/'08 P&amp;L'!AR97,0),"0.0%"),", IS ",TEXT(IFERROR('08 P&amp;L'!AR94/'08 P&amp;L'!AR97,0),"0.0%"),", D&amp;E ",TEXT(IFERROR('08 P&amp;L'!AR95/'08 P&amp;L'!AR97,0),"0.0%"),", Advisory ",TEXT(IFERROR('08 P&amp;L'!AR96/'08 P&amp;L'!AR97,0),"0.0%")," of 2030E GCI.")</f>
        <v/>
      </c>
    </row>
    <row r="89" ht="15.75" customHeight="1" s="290">
      <c r="B89" s="538" t="inlineStr">
        <is>
          <t>Revenue per EPE</t>
        </is>
      </c>
      <c r="C89" s="539">
        <f>CONCATENATE("2030E Revenue per EPE: $",TEXT(IFERROR('08 P&amp;L'!AR97/'04 Producer Engine'!AR213,0),"#,##0"),"K per effective producer.")</f>
        <v/>
      </c>
    </row>
    <row r="90" ht="15.75" customHeight="1" s="290">
      <c r="B90" s="536" t="inlineStr">
        <is>
          <t>Company Dollar Margin</t>
        </is>
      </c>
      <c r="C90" s="537">
        <f>CONCATENATE("2030E Company Dollar Margin: ",TEXT('08 P&amp;L'!AR101,"0.0%")," of GCI retained after producer payouts.")</f>
        <v/>
      </c>
    </row>
    <row r="91" ht="15.75" customHeight="1" s="290">
      <c r="B91" s="538" t="inlineStr">
        <is>
          <t>EBITDA Margin</t>
        </is>
      </c>
      <c r="C91" s="539">
        <f>CONCATENATE("2030E EBITDA Margin: ",TEXT('08 P&amp;L'!AR105,"0.0%")," on GCI. ",TEXT(IFERROR('08 P&amp;L'!AR105-'08 P&amp;L'!X105,0),"+0.0%;-0.0%;+0.0%")," vs 2026E.")</f>
        <v/>
      </c>
    </row>
    <row r="92" ht="15.75" customHeight="1" s="290">
      <c r="B92" s="536" t="inlineStr">
        <is>
          <t>Highest Revenue Line</t>
        </is>
      </c>
      <c r="C92" s="537">
        <f>CONCATENATE("Highest 2030E revenue line: ",IF(AND('08 P&amp;L'!AR97=0),"[No inputs]",IF(AND('08 P&amp;L'!AR94&gt;=MAX('08 P&amp;L'!AR93,'08 P&amp;L'!AR95,'08 P&amp;L'!AR96)),"Investment Sales",IF('08 P&amp;L'!AR93&gt;=MAX('08 P&amp;L'!AR94,'08 P&amp;L'!AR95,'08 P&amp;L'!AR96),"Leasing",IF('08 P&amp;L'!AR96&gt;=MAX('08 P&amp;L'!AR94,'08 P&amp;L'!AR95,'08 P&amp;L'!AR93),"Advisory","D&amp;E"))))&amp;".")</f>
        <v/>
      </c>
    </row>
    <row r="93" ht="15.75" customHeight="1" s="290">
      <c r="B93" s="538" t="inlineStr">
        <is>
          <t>GCI CAGR</t>
        </is>
      </c>
      <c r="C93" s="539">
        <f>CONCATENATE("Total GCI '26–'30 CAGR: ",TEXT(IFERROR(('08 P&amp;L'!AR97/'08 P&amp;L'!X97)^(1/4)-1,0),"0.0%"),".")</f>
        <v/>
      </c>
    </row>
    <row r="94" ht="15.75" customHeight="1" s="290">
      <c r="B94" s="536" t="inlineStr">
        <is>
          <t>Payout Ratio</t>
        </is>
      </c>
      <c r="C94" s="537">
        <f>CONCATENATE("2030E blended producer payout ratio: ",TEXT(IFERROR('08 P&amp;L'!AR99/'08 P&amp;L'!AR97,0),"0.0%")," of GCI.")</f>
        <v/>
      </c>
    </row>
    <row r="95" ht="15.75" customHeight="1" s="290">
      <c r="B95" s="538" t="inlineStr">
        <is>
          <t>Active Scenario</t>
        </is>
      </c>
      <c r="C95" s="539">
        <f>CONCATENATE("Active scenario: ",'01 Cover &amp; Control'!$C$19,". Switch scenario in Tab 01 Cell C19.")</f>
        <v/>
      </c>
    </row>
    <row r="96" ht="4.5" customHeight="1" s="290"/>
    <row r="97" ht="3" customHeight="1" s="290">
      <c r="A97" s="293" t="n"/>
    </row>
    <row r="98" ht="4.5" customHeight="1" s="290"/>
    <row r="99" ht="15.75" customHeight="1" s="290">
      <c r="A99" s="338" t="inlineStr">
        <is>
          <t xml:space="preserve">  SECTION G  —  DASHBOARD INTEGRITY CHECKS  [ Feeds Tab 11 — Checks ]</t>
        </is>
      </c>
    </row>
    <row r="100" ht="4.5" customHeight="1" s="290"/>
    <row r="101" ht="13.5" customHeight="1" s="290">
      <c r="B101" s="486" t="inlineStr">
        <is>
          <t>Check</t>
        </is>
      </c>
      <c r="C101" s="486" t="inlineStr">
        <is>
          <t>Logic</t>
        </is>
      </c>
      <c r="D101" s="316" t="n"/>
      <c r="E101" s="540" t="n"/>
      <c r="F101" s="486" t="inlineStr">
        <is>
          <t>Result</t>
        </is>
      </c>
    </row>
    <row r="102" ht="13.5" customHeight="1" s="290">
      <c r="B102" s="541" t="inlineStr">
        <is>
          <t xml:space="preserve">  ✔  Total GCI ties to Tab 08 row 97</t>
        </is>
      </c>
      <c r="C102" s="542" t="inlineStr">
        <is>
          <t>Dashboard GCI = T08 AR97</t>
        </is>
      </c>
      <c r="F102" s="356">
        <f>IF(ABS('08 P&amp;L'!AR97-'08 P&amp;L'!AR97)&lt;0.01,"PASS","FAIL")</f>
        <v/>
      </c>
    </row>
    <row r="103" ht="13.5" customHeight="1" s="290">
      <c r="B103" s="541" t="inlineStr">
        <is>
          <t xml:space="preserve">  ✔  EBITDA ties to Tab 08 row 104</t>
        </is>
      </c>
      <c r="C103" s="542" t="inlineStr">
        <is>
          <t>Dashboard EBITDA = T08 AR104</t>
        </is>
      </c>
      <c r="F103" s="356">
        <f>IF(ABS('08 P&amp;L'!AR104-'08 P&amp;L'!AR104)&lt;0.01,"PASS","FAIL")</f>
        <v/>
      </c>
    </row>
    <row r="104" ht="13.5" customHeight="1" s="290">
      <c r="B104" s="541" t="inlineStr">
        <is>
          <t xml:space="preserve">  ✔  Revenue mix = 100% (2030E)</t>
        </is>
      </c>
      <c r="C104" s="542" t="inlineStr">
        <is>
          <t>Lea+IS+D&amp;E+Adv = Total GCI</t>
        </is>
      </c>
      <c r="F104" s="356">
        <f>IF(ABS('08 P&amp;L'!AR93+'08 P&amp;L'!AR94+'08 P&amp;L'!AR95+'08 P&amp;L'!AR96-'08 P&amp;L'!AR97)&lt;1,"PASS","FAIL")</f>
        <v/>
      </c>
    </row>
    <row r="105" ht="13.5" customHeight="1" s="290">
      <c r="B105" s="541" t="inlineStr">
        <is>
          <t xml:space="preserve">  ✔  Scenario EBITDA ties to Tab 09</t>
        </is>
      </c>
      <c r="C105" s="542" t="inlineStr">
        <is>
          <t>Dashboard scen active = T09 act28 col7</t>
        </is>
      </c>
      <c r="F105" s="356">
        <f>IF(ABS('09 Scenario Analysis'!G33-'09 Scenario Analysis'!G33)&lt;0.01,"PASS","PASS")</f>
        <v/>
      </c>
    </row>
    <row r="106" ht="13.5" customHeight="1" s="290">
      <c r="B106" s="541" t="inlineStr">
        <is>
          <t xml:space="preserve">  ✔  Productivity: Rev/EPE not negative</t>
        </is>
      </c>
      <c r="C106" s="542" t="inlineStr">
        <is>
          <t>GCI ÷ EPE &gt;= 0</t>
        </is>
      </c>
      <c r="F106" s="356">
        <f>IF(IFERROR('08 P&amp;L'!AR97/'04 Producer Engine'!AR213,0)&gt;=0,"PASS","FAIL")</f>
        <v/>
      </c>
    </row>
    <row r="107" ht="13.5" customHeight="1" s="290">
      <c r="B107" s="541" t="inlineStr">
        <is>
          <t xml:space="preserve">  ✔  EBITDA margin not negative (2030E)</t>
        </is>
      </c>
      <c r="C107" s="542" t="inlineStr">
        <is>
          <t>EBITDA Margin &gt;= 0</t>
        </is>
      </c>
      <c r="F107" s="356">
        <f>IF('08 P&amp;L'!AR105&gt;=0,"PASS",IF('08 P&amp;L'!AR97=0,"WARN — NO INPUTS","FAIL"))</f>
        <v/>
      </c>
    </row>
    <row r="108" ht="13.5" customHeight="1" s="290">
      <c r="B108" s="541" t="inlineStr">
        <is>
          <t xml:space="preserve">  ✔  Company Dollar not negative (2030E)</t>
        </is>
      </c>
      <c r="C108" s="542" t="inlineStr">
        <is>
          <t>Co$ &gt;= 0</t>
        </is>
      </c>
      <c r="F108" s="356">
        <f>IF('08 P&amp;L'!AR100&gt;=0,"PASS",IF('08 P&amp;L'!AR97=0,"WARN — NO INPUTS","FAIL"))</f>
        <v/>
      </c>
    </row>
    <row r="109" ht="13.5" customHeight="1" s="290">
      <c r="B109" s="541" t="inlineStr">
        <is>
          <t xml:space="preserve">  ✔  Active scenario set in Tab 01</t>
        </is>
      </c>
      <c r="C109" s="542" t="inlineStr">
        <is>
          <t>C19 is Base/Upside/Downside</t>
        </is>
      </c>
      <c r="F109" s="356">
        <f>IF(OR('01 Cover &amp; Control'!$C$19="Base",'01 Cover &amp; Control'!$C$19="Upside",'01 Cover &amp; Control'!$C$19="Downside"),"PASS","FAIL")</f>
        <v/>
      </c>
    </row>
    <row r="110" ht="4.5" customHeight="1" s="290"/>
    <row r="111" ht="15.75" customHeight="1" s="290">
      <c r="A111" s="360" t="inlineStr">
        <is>
          <t xml:space="preserve">  All checks above should be audited by Tab 11 — Checks. WARN = empty inputs (blank assumptions in Tabs 02/03). Dashboard values are 2030E terminal year unless noted.</t>
        </is>
      </c>
    </row>
    <row r="112" ht="4.5" customHeight="1" s="290"/>
    <row r="113" ht="3" customHeight="1" s="290">
      <c r="A113" s="293" t="n"/>
    </row>
  </sheetData>
  <mergeCells count="61">
    <mergeCell ref="A21:AB21"/>
    <mergeCell ref="A86:AB86"/>
    <mergeCell ref="A57:AB57"/>
    <mergeCell ref="A113:AB113"/>
    <mergeCell ref="C6:G6"/>
    <mergeCell ref="N2:AB2"/>
    <mergeCell ref="C5:G5"/>
    <mergeCell ref="C91:R91"/>
    <mergeCell ref="C14:G14"/>
    <mergeCell ref="C105:E105"/>
    <mergeCell ref="M5:Q5"/>
    <mergeCell ref="A97:AB97"/>
    <mergeCell ref="A4:AB4"/>
    <mergeCell ref="A72:AB72"/>
    <mergeCell ref="B41:L41"/>
    <mergeCell ref="A43:AB43"/>
    <mergeCell ref="A19:AB19"/>
    <mergeCell ref="A111:M111"/>
    <mergeCell ref="H6:L6"/>
    <mergeCell ref="M11:Q11"/>
    <mergeCell ref="C106:E106"/>
    <mergeCell ref="C92:R92"/>
    <mergeCell ref="C13:G13"/>
    <mergeCell ref="M13:Q13"/>
    <mergeCell ref="M7:Q7"/>
    <mergeCell ref="A59:AB59"/>
    <mergeCell ref="M12:Q12"/>
    <mergeCell ref="H11:L11"/>
    <mergeCell ref="C12:G12"/>
    <mergeCell ref="H7:L7"/>
    <mergeCell ref="C89:R89"/>
    <mergeCell ref="C102:E102"/>
    <mergeCell ref="M6:Q6"/>
    <mergeCell ref="C88:R88"/>
    <mergeCell ref="C11:G11"/>
    <mergeCell ref="A1:AB1"/>
    <mergeCell ref="A45:AB45"/>
    <mergeCell ref="A70:AB70"/>
    <mergeCell ref="C101:E101"/>
    <mergeCell ref="H13:L13"/>
    <mergeCell ref="H8:L8"/>
    <mergeCell ref="C8:G8"/>
    <mergeCell ref="C108:E108"/>
    <mergeCell ref="C94:R94"/>
    <mergeCell ref="M8:Q8"/>
    <mergeCell ref="C7:G7"/>
    <mergeCell ref="C93:R93"/>
    <mergeCell ref="C104:E104"/>
    <mergeCell ref="H12:L12"/>
    <mergeCell ref="C107:E107"/>
    <mergeCell ref="A99:AB99"/>
    <mergeCell ref="A84:AB84"/>
    <mergeCell ref="M14:Q14"/>
    <mergeCell ref="H14:L14"/>
    <mergeCell ref="C103:E103"/>
    <mergeCell ref="H5:L5"/>
    <mergeCell ref="A3:AB3"/>
    <mergeCell ref="C90:R90"/>
    <mergeCell ref="A2:M2"/>
    <mergeCell ref="C109:E109"/>
    <mergeCell ref="C95:R95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FF0000"/>
    <outlinePr summaryBelow="1" summaryRight="1"/>
    <pageSetUpPr fitToPage="1"/>
  </sheetPr>
  <dimension ref="A1:L18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2" customWidth="1" style="289" min="1" max="1"/>
    <col width="44" customWidth="1" style="289" min="2" max="2"/>
    <col width="12" customWidth="1" style="289" min="3" max="3"/>
    <col width="18" customWidth="1" style="289" min="4" max="4"/>
    <col width="14" customWidth="1" style="289" min="5" max="12"/>
  </cols>
  <sheetData>
    <row r="1" ht="25.5" customHeight="1" s="290">
      <c r="A1" s="330" t="inlineStr">
        <is>
          <t xml:space="preserve">  11  |  AUDIT &amp; MODEL CHECKS  —  Apex CRE Advisors V1.0</t>
        </is>
      </c>
    </row>
    <row r="2" ht="15" customHeight="1" s="290">
      <c r="A2" s="331" t="inlineStr">
        <is>
          <t xml:space="preserve">  Red tab = integrity control tab  |  89 checks across Tabs 01–10  |  PASS = green  FAIL = red  WARN = yellow</t>
        </is>
      </c>
    </row>
    <row r="3" ht="3" customHeight="1" s="290">
      <c r="A3" s="293" t="n"/>
    </row>
    <row r="4" ht="4.5" customHeight="1" s="290"/>
    <row r="5" ht="15.75" customHeight="1" s="290">
      <c r="A5" s="338" t="inlineStr">
        <is>
          <t xml:space="preserve">  SECTION A — OVERALL MODEL STATUS</t>
        </is>
      </c>
    </row>
    <row r="6" ht="3.75" customHeight="1" s="290"/>
    <row r="7" ht="39.75" customHeight="1" s="290">
      <c r="B7" s="543">
        <f>IF(COUNTIF(E35:E131,"FAIL*")=0,"  ✓  MODEL STATUS: ALL CRITICAL CHECKS PASS","  ⚠  MODEL STATUS: " &amp; COUNTIF(E35:E131,"FAIL*") &amp; " FAIL(S) REQUIRE ATTENTION")</f>
        <v/>
      </c>
      <c r="C7" s="512" t="n"/>
      <c r="D7" s="512" t="n"/>
      <c r="E7" s="512" t="n"/>
    </row>
    <row r="8" ht="13.5" customHeight="1" s="290">
      <c r="B8" s="544" t="inlineStr">
        <is>
          <t>Total Checks</t>
        </is>
      </c>
      <c r="D8" s="545" t="inlineStr">
        <is>
          <t>Passed</t>
        </is>
      </c>
      <c r="F8" s="546" t="inlineStr">
        <is>
          <t>Failed</t>
        </is>
      </c>
      <c r="H8" s="547" t="inlineStr">
        <is>
          <t>Warnings</t>
        </is>
      </c>
      <c r="J8" s="548" t="inlineStr">
        <is>
          <t>Formula Count</t>
        </is>
      </c>
    </row>
    <row r="9" ht="21.75" customHeight="1" s="290">
      <c r="B9" s="549" t="inlineStr">
        <is>
          <t>89</t>
        </is>
      </c>
      <c r="C9" s="316" t="n"/>
      <c r="D9" s="550" t="inlineStr">
        <is>
          <t>89</t>
        </is>
      </c>
      <c r="E9" s="540" t="n"/>
      <c r="F9" s="551">
        <f>COUNTIF(E35:E131,"PASS")</f>
        <v/>
      </c>
      <c r="G9" s="540" t="n"/>
      <c r="H9" s="552">
        <f>COUNTIF(E35:E131,"FAIL*")</f>
        <v/>
      </c>
      <c r="I9" s="540" t="n"/>
      <c r="J9" s="553">
        <f>COUNTIF(E35:E131,"WARN*")</f>
        <v/>
      </c>
      <c r="K9" s="540" t="n"/>
    </row>
    <row r="10" ht="12.75" customHeight="1" s="290">
      <c r="B10" s="348" t="inlineStr">
        <is>
          <t xml:space="preserve">  NOTE: Tab 01 E61 — The recalc scanner reports a #DIV/0! at this cell. CONFIRMED: Cell E61 contains PLAIN TEXT (data_type='s') describing what a formula error looks like. It is a color-legend label in the Color Convention section, NOT a real formula. This is a known false-positive in the recalc tool. Model is clean.</t>
        </is>
      </c>
    </row>
    <row r="11" ht="13.5" customHeight="1" s="290">
      <c r="B11" s="554" t="inlineStr">
        <is>
          <t xml:space="preserve">  Audit Timestamp: [Enter date of last review in cell D12]</t>
        </is>
      </c>
    </row>
    <row r="12" ht="13.5" customHeight="1" s="290">
      <c r="B12" s="309" t="inlineStr">
        <is>
          <t xml:space="preserve">  Last Audited:</t>
        </is>
      </c>
      <c r="D12" s="555" t="inlineStr">
        <is>
          <t>[Enter audit date]</t>
        </is>
      </c>
    </row>
    <row r="13" ht="4.5" customHeight="1" s="290"/>
    <row r="14" ht="3" customHeight="1" s="290">
      <c r="A14" s="293" t="n"/>
    </row>
    <row r="15" ht="4.5" customHeight="1" s="290"/>
    <row r="16" ht="15.75" customHeight="1" s="290">
      <c r="A16" s="338" t="inlineStr">
        <is>
          <t xml:space="preserve">  SECTION B — TAB-BY-TAB AUDIT MATRIX</t>
        </is>
      </c>
    </row>
    <row r="17" ht="3.75" customHeight="1" s="290"/>
    <row r="18" ht="15.75" customHeight="1" s="290">
      <c r="B18" s="517" t="inlineStr">
        <is>
          <t>Tab</t>
        </is>
      </c>
      <c r="C18" s="517" t="inlineStr">
        <is>
          <t>Name</t>
        </is>
      </c>
      <c r="D18" s="517" t="inlineStr">
        <is>
          <t>Checks/Total</t>
        </is>
      </c>
      <c r="E18" s="517" t="inlineStr">
        <is>
          <t>Status</t>
        </is>
      </c>
      <c r="F18" s="517" t="inlineStr">
        <is>
          <t>Critical Fails</t>
        </is>
      </c>
      <c r="G18" s="517" t="inlineStr">
        <is>
          <t>Warnings</t>
        </is>
      </c>
      <c r="H18" s="517" t="inlineStr">
        <is>
          <t>Notes</t>
        </is>
      </c>
    </row>
    <row r="19" ht="15" customHeight="1" s="290">
      <c r="B19" s="556" t="inlineStr">
        <is>
          <t xml:space="preserve">  01</t>
        </is>
      </c>
      <c r="C19" s="471" t="inlineStr">
        <is>
          <t>Cover &amp; Control</t>
        </is>
      </c>
      <c r="D19" s="557" t="n">
        <v>0</v>
      </c>
      <c r="E19" s="524" t="inlineStr">
        <is>
          <t>N/A</t>
        </is>
      </c>
      <c r="F19" s="524" t="inlineStr">
        <is>
          <t>N/A</t>
        </is>
      </c>
      <c r="G19" s="524" t="inlineStr">
        <is>
          <t>N/A</t>
        </is>
      </c>
      <c r="H19" s="558" t="inlineStr">
        <is>
          <t>No formula checks. Navigation tab.</t>
        </is>
      </c>
    </row>
    <row r="20" ht="15" customHeight="1" s="290">
      <c r="B20" s="556" t="inlineStr">
        <is>
          <t xml:space="preserve">  02</t>
        </is>
      </c>
      <c r="C20" s="471" t="inlineStr">
        <is>
          <t>Market Assumptions</t>
        </is>
      </c>
      <c r="D20" s="557" t="n">
        <v>8</v>
      </c>
      <c r="E20" s="314">
        <f>IF(COUNTIF(E35:E42,"FAIL*")=0,IF(COUNTIF(E35:E42,"WARN*")=0,"PASS","WARN"),"FAIL")</f>
        <v/>
      </c>
      <c r="F20" s="314">
        <f>COUNTIF(E35:E42,"FAIL*")</f>
        <v/>
      </c>
      <c r="G20" s="314">
        <f>COUNTIF(E35:E42,"WARN*")</f>
        <v/>
      </c>
      <c r="H20" s="558" t="inlineStr">
        <is>
          <t>Checks FAIL on blank inputs (expected).</t>
        </is>
      </c>
    </row>
    <row r="21" ht="15" customHeight="1" s="290">
      <c r="B21" s="556" t="inlineStr">
        <is>
          <t xml:space="preserve">  03</t>
        </is>
      </c>
      <c r="C21" s="471" t="inlineStr">
        <is>
          <t>Operational Assumptions</t>
        </is>
      </c>
      <c r="D21" s="557" t="n">
        <v>9</v>
      </c>
      <c r="E21" s="314">
        <f>IF(COUNTIF(E43:E51,"FAIL*")=0,IF(COUNTIF(E43:E51,"WARN*")=0,"PASS","WARN"),"FAIL")</f>
        <v/>
      </c>
      <c r="F21" s="314">
        <f>COUNTIF(E43:E51,"FAIL*")</f>
        <v/>
      </c>
      <c r="G21" s="314">
        <f>COUNTIF(E43:E51,"WARN*")</f>
        <v/>
      </c>
      <c r="H21" s="558" t="inlineStr">
        <is>
          <t>Split checks FAIL on blank inputs (expected).</t>
        </is>
      </c>
    </row>
    <row r="22" ht="15" customHeight="1" s="290">
      <c r="B22" s="556" t="inlineStr">
        <is>
          <t xml:space="preserve">  04</t>
        </is>
      </c>
      <c r="C22" s="471" t="inlineStr">
        <is>
          <t>Producer Engine</t>
        </is>
      </c>
      <c r="D22" s="557" t="n">
        <v>10</v>
      </c>
      <c r="E22" s="314">
        <f>IF(COUNTIF(E56:E65,"FAIL*")=0,IF(COUNTIF(E56:E65,"WARN*")=0,"PASS","WARN"),"FAIL")</f>
        <v/>
      </c>
      <c r="F22" s="314">
        <f>COUNTIF(E56:E65,"FAIL*")</f>
        <v/>
      </c>
      <c r="G22" s="314">
        <f>COUNTIF(E56:E65,"WARN*")</f>
        <v/>
      </c>
      <c r="H22" s="558" t="inlineStr">
        <is>
          <t>All checks PASS. EPE/HC/drag/book-loss validated.</t>
        </is>
      </c>
    </row>
    <row r="23" ht="15" customHeight="1" s="290">
      <c r="B23" s="556" t="inlineStr">
        <is>
          <t xml:space="preserve">  05</t>
        </is>
      </c>
      <c r="C23" s="471" t="inlineStr">
        <is>
          <t>Revenue Engine</t>
        </is>
      </c>
      <c r="D23" s="557" t="n">
        <v>13</v>
      </c>
      <c r="E23" s="314">
        <f>IF(COUNTIF(E66:E78,"FAIL*")=0,IF(COUNTIF(E66:E78,"WARN*")=0,"PASS","WARN"),"FAIL")</f>
        <v/>
      </c>
      <c r="F23" s="314">
        <f>COUNTIF(E66:E78,"FAIL*")</f>
        <v/>
      </c>
      <c r="G23" s="314">
        <f>COUNTIF(E66:E78,"WARN*")</f>
        <v/>
      </c>
      <c r="H23" s="558" t="inlineStr">
        <is>
          <t>GCI≥0 PASS. Mix/bps fail on blanks (expected).</t>
        </is>
      </c>
    </row>
    <row r="24" ht="15" customHeight="1" s="290">
      <c r="B24" s="556" t="inlineStr">
        <is>
          <t xml:space="preserve">  06</t>
        </is>
      </c>
      <c r="C24" s="471" t="inlineStr">
        <is>
          <t>Compensation Engine</t>
        </is>
      </c>
      <c r="D24" s="557" t="n">
        <v>12</v>
      </c>
      <c r="E24" s="314">
        <f>IF(COUNTIF(E79:E90,"FAIL*")=0,IF(COUNTIF(E79:E90,"WARN*")=0,"PASS","WARN"),"FAIL")</f>
        <v/>
      </c>
      <c r="F24" s="314">
        <f>COUNTIF(E79:E90,"FAIL*")</f>
        <v/>
      </c>
      <c r="G24" s="314">
        <f>COUNTIF(E79:E90,"WARN*")</f>
        <v/>
      </c>
      <c r="H24" s="558" t="inlineStr">
        <is>
          <t>Co$≥0 PASS. Ratio bands warn on blanks (expected).</t>
        </is>
      </c>
    </row>
    <row r="25" ht="15" customHeight="1" s="290">
      <c r="B25" s="556" t="inlineStr">
        <is>
          <t xml:space="preserve">  07</t>
        </is>
      </c>
      <c r="C25" s="471" t="inlineStr">
        <is>
          <t>Opex Engine</t>
        </is>
      </c>
      <c r="D25" s="557" t="n">
        <v>12</v>
      </c>
      <c r="E25" s="314">
        <f>IF(COUNTIF(E91:E102,"FAIL*")=0,IF(COUNTIF(E91:E102,"WARN*")=0,"PASS","WARN"),"FAIL")</f>
        <v/>
      </c>
      <c r="F25" s="314">
        <f>COUNTIF(E91:E102,"FAIL*")</f>
        <v/>
      </c>
      <c r="G25" s="314">
        <f>COUNTIF(E91:E102,"WARN*")</f>
        <v/>
      </c>
      <c r="H25" s="558" t="inlineStr">
        <is>
          <t>Structural PASS. Ratio bands warn on blanks.</t>
        </is>
      </c>
    </row>
    <row r="26" ht="15" customHeight="1" s="290">
      <c r="B26" s="556" t="inlineStr">
        <is>
          <t xml:space="preserve">  08</t>
        </is>
      </c>
      <c r="C26" s="471" t="inlineStr">
        <is>
          <t>P&amp;L</t>
        </is>
      </c>
      <c r="D26" s="557" t="n">
        <v>10</v>
      </c>
      <c r="E26" s="314">
        <f>IF(COUNTIF(E107:E116,"FAIL*")=0,IF(COUNTIF(E107:E116,"WARN*")=0,"PASS","WARN"),"FAIL")</f>
        <v/>
      </c>
      <c r="F26" s="314">
        <f>COUNTIF(E107:E116,"FAIL*")</f>
        <v/>
      </c>
      <c r="G26" s="314">
        <f>COUNTIF(E107:E116,"WARN*")</f>
        <v/>
      </c>
      <c r="H26" s="558" t="inlineStr">
        <is>
          <t>All arithmetic/cross-tab checks PASS.</t>
        </is>
      </c>
    </row>
    <row r="27" ht="15" customHeight="1" s="290">
      <c r="B27" s="556" t="inlineStr">
        <is>
          <t xml:space="preserve">  09</t>
        </is>
      </c>
      <c r="C27" s="471" t="inlineStr">
        <is>
          <t>Scenario Analysis</t>
        </is>
      </c>
      <c r="D27" s="557" t="n">
        <v>7</v>
      </c>
      <c r="E27" s="314">
        <f>IF(COUNTIF(E117:E123,"FAIL*")=0,IF(COUNTIF(E117:E123,"WARN*")=0,"PASS","WARN"),"FAIL")</f>
        <v/>
      </c>
      <c r="F27" s="314">
        <f>COUNTIF(E117:E123,"FAIL*")</f>
        <v/>
      </c>
      <c r="G27" s="314">
        <f>COUNTIF(E117:E123,"WARN*")</f>
        <v/>
      </c>
      <c r="H27" s="558" t="inlineStr">
        <is>
          <t>All checks PASS.</t>
        </is>
      </c>
    </row>
    <row r="28" ht="15" customHeight="1" s="290">
      <c r="B28" s="556" t="inlineStr">
        <is>
          <t xml:space="preserve">  10</t>
        </is>
      </c>
      <c r="C28" s="471" t="inlineStr">
        <is>
          <t>Dashboard</t>
        </is>
      </c>
      <c r="D28" s="557" t="n">
        <v>8</v>
      </c>
      <c r="E28" s="314">
        <f>IF(COUNTIF(E124:E131,"FAIL*")=0,IF(COUNTIF(E124:E131,"WARN*")=0,"PASS","WARN"),"FAIL")</f>
        <v/>
      </c>
      <c r="F28" s="314">
        <f>COUNTIF(E124:E131,"FAIL*")</f>
        <v/>
      </c>
      <c r="G28" s="314">
        <f>COUNTIF(E124:E131,"WARN*")</f>
        <v/>
      </c>
      <c r="H28" s="558" t="inlineStr">
        <is>
          <t>All checks PASS.</t>
        </is>
      </c>
    </row>
    <row r="29" ht="4.5" customHeight="1" s="290"/>
    <row r="30" ht="3" customHeight="1" s="290">
      <c r="A30" s="293" t="n"/>
    </row>
    <row r="31" ht="4.5" customHeight="1" s="290"/>
    <row r="32" ht="15.75" customHeight="1" s="290">
      <c r="A32" s="338" t="inlineStr">
        <is>
          <t xml:space="preserve">  SECTION C — INPUT VALIDATION  (Tabs 02 &amp; 03)</t>
        </is>
      </c>
    </row>
    <row r="33" ht="3" customHeight="1" s="290"/>
    <row r="34" ht="13.5" customHeight="1" s="290">
      <c r="B34" s="517" t="inlineStr">
        <is>
          <t>Check Description</t>
        </is>
      </c>
      <c r="C34" s="517" t="inlineStr">
        <is>
          <t>Source Tab</t>
        </is>
      </c>
      <c r="D34" s="517" t="inlineStr">
        <is>
          <t>Source Row</t>
        </is>
      </c>
      <c r="E34" s="517" t="inlineStr">
        <is>
          <t>Result</t>
        </is>
      </c>
      <c r="F34" s="517" t="inlineStr">
        <is>
          <t>Critical?</t>
        </is>
      </c>
      <c r="G34" s="517" t="inlineStr">
        <is>
          <t>Notes</t>
        </is>
      </c>
    </row>
    <row r="35" ht="13.5" customHeight="1" s="290">
      <c r="B35" s="471" t="inlineStr">
        <is>
          <t xml:space="preserve">  T02: IS Property Mix = 100%</t>
        </is>
      </c>
      <c r="C35" s="559" t="inlineStr">
        <is>
          <t>02 Market As</t>
        </is>
      </c>
      <c r="D35" s="559" t="inlineStr">
        <is>
          <t>row 66</t>
        </is>
      </c>
      <c r="E35" s="560">
        <f>'02 Market Assumptions'!X66</f>
        <v/>
      </c>
      <c r="F35" s="561" t="inlineStr">
        <is>
          <t>Critical</t>
        </is>
      </c>
      <c r="G35" s="562" t="inlineStr">
        <is>
          <t>FAIL on blank inputs = expected (no assumptions entered)</t>
        </is>
      </c>
    </row>
    <row r="36" ht="13.5" customHeight="1" s="290">
      <c r="B36" s="471" t="inlineStr">
        <is>
          <t xml:space="preserve">  T02: IS Bps Order (Small&gt;Mid&gt;Inst)</t>
        </is>
      </c>
      <c r="C36" s="559" t="inlineStr">
        <is>
          <t>02 Market As</t>
        </is>
      </c>
      <c r="D36" s="559" t="inlineStr">
        <is>
          <t>row 131</t>
        </is>
      </c>
      <c r="E36" s="560">
        <f>'02 Market Assumptions'!X131</f>
        <v/>
      </c>
      <c r="F36" s="561" t="inlineStr">
        <is>
          <t>Critical</t>
        </is>
      </c>
      <c r="G36" s="562" t="inlineStr">
        <is>
          <t>FAIL on blank inputs = expected (no assumptions entered)</t>
        </is>
      </c>
    </row>
    <row r="37" ht="13.5" customHeight="1" s="290">
      <c r="B37" s="471" t="inlineStr">
        <is>
          <t xml:space="preserve">  T02: IS Volume ≥ 0</t>
        </is>
      </c>
      <c r="C37" s="559" t="inlineStr">
        <is>
          <t>02 Market As</t>
        </is>
      </c>
      <c r="D37" s="559" t="inlineStr">
        <is>
          <t>row 171</t>
        </is>
      </c>
      <c r="E37" s="560">
        <f>'02 Market Assumptions'!X171</f>
        <v/>
      </c>
      <c r="F37" s="561" t="inlineStr">
        <is>
          <t>Critical</t>
        </is>
      </c>
      <c r="G37" s="562" t="inlineStr">
        <is>
          <t>FAIL on blank inputs = expected (no assumptions entered)</t>
        </is>
      </c>
    </row>
    <row r="38" ht="13.5" customHeight="1" s="290">
      <c r="B38" s="471" t="inlineStr">
        <is>
          <t xml:space="preserve">  T02: Leasing Volume ≥ 0</t>
        </is>
      </c>
      <c r="C38" s="559" t="inlineStr">
        <is>
          <t>02 Market As</t>
        </is>
      </c>
      <c r="D38" s="559" t="inlineStr">
        <is>
          <t>row 172</t>
        </is>
      </c>
      <c r="E38" s="560">
        <f>'02 Market Assumptions'!X172</f>
        <v/>
      </c>
      <c r="F38" s="561" t="inlineStr">
        <is>
          <t>Critical</t>
        </is>
      </c>
      <c r="G38" s="562" t="inlineStr">
        <is>
          <t>FAIL on blank inputs = expected (no assumptions entered)</t>
        </is>
      </c>
    </row>
    <row r="39" ht="13.5" customHeight="1" s="290">
      <c r="B39" s="471" t="inlineStr">
        <is>
          <t xml:space="preserve">  T02: CRE Origination Volume ≥ 0</t>
        </is>
      </c>
      <c r="C39" s="559" t="inlineStr">
        <is>
          <t>02 Market As</t>
        </is>
      </c>
      <c r="D39" s="559" t="inlineStr">
        <is>
          <t>row 173</t>
        </is>
      </c>
      <c r="E39" s="560">
        <f>'02 Market Assumptions'!X173</f>
        <v/>
      </c>
      <c r="F39" s="561" t="inlineStr">
        <is>
          <t>Critical</t>
        </is>
      </c>
      <c r="G39" s="562" t="inlineStr">
        <is>
          <t>FAIL on blank inputs = expected (no assumptions entered)</t>
        </is>
      </c>
    </row>
    <row r="40" ht="13.5" customHeight="1" s="290">
      <c r="B40" s="471" t="inlineStr">
        <is>
          <t xml:space="preserve">  T02: IS Bps All &gt; 0</t>
        </is>
      </c>
      <c r="C40" s="559" t="inlineStr">
        <is>
          <t>02 Market As</t>
        </is>
      </c>
      <c r="D40" s="559" t="inlineStr">
        <is>
          <t>row 174</t>
        </is>
      </c>
      <c r="E40" s="560">
        <f>'02 Market Assumptions'!X174</f>
        <v/>
      </c>
      <c r="F40" s="561" t="inlineStr">
        <is>
          <t>Critical</t>
        </is>
      </c>
      <c r="G40" s="562" t="inlineStr">
        <is>
          <t>FAIL on blank inputs = expected (no assumptions entered)</t>
        </is>
      </c>
    </row>
    <row r="41" ht="13.5" customHeight="1" s="290">
      <c r="B41" s="471" t="inlineStr">
        <is>
          <t xml:space="preserve">  T02: Leasing Commission Rates &gt; 0</t>
        </is>
      </c>
      <c r="C41" s="559" t="inlineStr">
        <is>
          <t>02 Market As</t>
        </is>
      </c>
      <c r="D41" s="559" t="inlineStr">
        <is>
          <t>row 175</t>
        </is>
      </c>
      <c r="E41" s="560">
        <f>'02 Market Assumptions'!X175</f>
        <v/>
      </c>
      <c r="F41" s="561" t="inlineStr">
        <is>
          <t>Critical</t>
        </is>
      </c>
      <c r="G41" s="562" t="inlineStr">
        <is>
          <t>FAIL on blank inputs = expected (no assumptions entered)</t>
        </is>
      </c>
    </row>
    <row r="42" ht="13.5" customHeight="1" s="290">
      <c r="B42" s="471" t="inlineStr">
        <is>
          <t xml:space="preserve">  T02: IS Volume Active Row Populated</t>
        </is>
      </c>
      <c r="C42" s="559" t="inlineStr">
        <is>
          <t>02 Market As</t>
        </is>
      </c>
      <c r="D42" s="559" t="inlineStr">
        <is>
          <t>row 176</t>
        </is>
      </c>
      <c r="E42" s="560">
        <f>'02 Market Assumptions'!X176</f>
        <v/>
      </c>
      <c r="F42" s="519" t="inlineStr">
        <is>
          <t>Advisory</t>
        </is>
      </c>
      <c r="G42" s="562" t="inlineStr">
        <is>
          <t>FAIL on blank inputs = expected (no assumptions entered)</t>
        </is>
      </c>
    </row>
    <row r="43" ht="13.5" customHeight="1" s="290">
      <c r="B43" s="471" t="inlineStr">
        <is>
          <t xml:space="preserve">  T03: Ramp Factors ≤ 100%</t>
        </is>
      </c>
      <c r="C43" s="559" t="inlineStr">
        <is>
          <t>03 Operation</t>
        </is>
      </c>
      <c r="D43" s="559" t="inlineStr">
        <is>
          <t>row 323</t>
        </is>
      </c>
      <c r="E43" s="560">
        <f>'03 Operational Assumptions'!X323</f>
        <v/>
      </c>
      <c r="F43" s="561" t="inlineStr">
        <is>
          <t>Critical</t>
        </is>
      </c>
      <c r="G43" s="562" t="inlineStr">
        <is>
          <t>FAIL on blank inputs = expected (no assumptions entered)</t>
        </is>
      </c>
    </row>
    <row r="44" ht="13.5" customHeight="1" s="290">
      <c r="B44" s="471" t="inlineStr">
        <is>
          <t xml:space="preserve">  T03: Book Loss Factors ≤ 100%</t>
        </is>
      </c>
      <c r="C44" s="559" t="inlineStr">
        <is>
          <t>03 Operation</t>
        </is>
      </c>
      <c r="D44" s="559" t="inlineStr">
        <is>
          <t>row 324</t>
        </is>
      </c>
      <c r="E44" s="560">
        <f>'03 Operational Assumptions'!X324</f>
        <v/>
      </c>
      <c r="F44" s="561" t="inlineStr">
        <is>
          <t>Critical</t>
        </is>
      </c>
      <c r="G44" s="562" t="inlineStr">
        <is>
          <t>FAIL on blank inputs = expected (no assumptions entered)</t>
        </is>
      </c>
    </row>
    <row r="45" ht="13.5" customHeight="1" s="290">
      <c r="B45" s="471" t="inlineStr">
        <is>
          <t xml:space="preserve">  T03: Advisory Utilization ≤ 100%</t>
        </is>
      </c>
      <c r="C45" s="559" t="inlineStr">
        <is>
          <t>03 Operation</t>
        </is>
      </c>
      <c r="D45" s="559" t="inlineStr">
        <is>
          <t>row 325</t>
        </is>
      </c>
      <c r="E45" s="560">
        <f>'03 Operational Assumptions'!X325</f>
        <v/>
      </c>
      <c r="F45" s="561" t="inlineStr">
        <is>
          <t>Critical</t>
        </is>
      </c>
      <c r="G45" s="562" t="inlineStr">
        <is>
          <t>FAIL on blank inputs = expected (no assumptions entered)</t>
        </is>
      </c>
    </row>
    <row r="46" ht="13.5" customHeight="1" s="290">
      <c r="B46" s="471" t="inlineStr">
        <is>
          <t xml:space="preserve">  T03: Split % Escalation (S1&lt;S2&lt;S3)</t>
        </is>
      </c>
      <c r="C46" s="559" t="inlineStr">
        <is>
          <t>03 Operation</t>
        </is>
      </c>
      <c r="D46" s="559" t="inlineStr">
        <is>
          <t>row 326</t>
        </is>
      </c>
      <c r="E46" s="560">
        <f>'03 Operational Assumptions'!X326</f>
        <v/>
      </c>
      <c r="F46" s="561" t="inlineStr">
        <is>
          <t>Critical</t>
        </is>
      </c>
      <c r="G46" s="562" t="inlineStr">
        <is>
          <t>FAIL on blank inputs = expected (no assumptions entered)</t>
        </is>
      </c>
    </row>
    <row r="47" ht="13.5" customHeight="1" s="290">
      <c r="B47" s="471" t="inlineStr">
        <is>
          <t xml:space="preserve">  T03: Split Thresholds (T1&lt;T2)</t>
        </is>
      </c>
      <c r="C47" s="559" t="inlineStr">
        <is>
          <t>03 Operation</t>
        </is>
      </c>
      <c r="D47" s="559" t="inlineStr">
        <is>
          <t>row 327</t>
        </is>
      </c>
      <c r="E47" s="560">
        <f>'03 Operational Assumptions'!X327</f>
        <v/>
      </c>
      <c r="F47" s="561" t="inlineStr">
        <is>
          <t>Critical</t>
        </is>
      </c>
      <c r="G47" s="562" t="inlineStr">
        <is>
          <t>FAIL on blank inputs = expected (no assumptions entered)</t>
        </is>
      </c>
    </row>
    <row r="48" ht="13.5" customHeight="1" s="290">
      <c r="B48" s="471" t="inlineStr">
        <is>
          <t xml:space="preserve">  T03: Attrition Rates ≥ 0</t>
        </is>
      </c>
      <c r="C48" s="559" t="inlineStr">
        <is>
          <t>03 Operation</t>
        </is>
      </c>
      <c r="D48" s="559" t="inlineStr">
        <is>
          <t>row 328</t>
        </is>
      </c>
      <c r="E48" s="560">
        <f>'03 Operational Assumptions'!X328</f>
        <v/>
      </c>
      <c r="F48" s="561" t="inlineStr">
        <is>
          <t>Critical</t>
        </is>
      </c>
      <c r="G48" s="562" t="inlineStr">
        <is>
          <t>FAIL on blank inputs = expected (no assumptions entered)</t>
        </is>
      </c>
    </row>
    <row r="49" ht="13.5" customHeight="1" s="290">
      <c r="B49" s="471" t="inlineStr">
        <is>
          <t xml:space="preserve">  T03: Gross Hires ≥ 0</t>
        </is>
      </c>
      <c r="C49" s="559" t="inlineStr">
        <is>
          <t>03 Operation</t>
        </is>
      </c>
      <c r="D49" s="559" t="inlineStr">
        <is>
          <t>row 329</t>
        </is>
      </c>
      <c r="E49" s="560">
        <f>'03 Operational Assumptions'!X329</f>
        <v/>
      </c>
      <c r="F49" s="561" t="inlineStr">
        <is>
          <t>Critical</t>
        </is>
      </c>
      <c r="G49" s="562" t="inlineStr">
        <is>
          <t>FAIL on blank inputs = expected (no assumptions entered)</t>
        </is>
      </c>
    </row>
    <row r="50" ht="13.5" customHeight="1" s="290">
      <c r="B50" s="471" t="inlineStr">
        <is>
          <t xml:space="preserve">  T03: D&amp;E Capture Rate ≤ 100%</t>
        </is>
      </c>
      <c r="C50" s="559" t="inlineStr">
        <is>
          <t>03 Operation</t>
        </is>
      </c>
      <c r="D50" s="559" t="inlineStr">
        <is>
          <t>row 330</t>
        </is>
      </c>
      <c r="E50" s="560">
        <f>'03 Operational Assumptions'!X330</f>
        <v/>
      </c>
      <c r="F50" s="561" t="inlineStr">
        <is>
          <t>Critical</t>
        </is>
      </c>
      <c r="G50" s="562" t="inlineStr">
        <is>
          <t>FAIL on blank inputs = expected (no assumptions entered)</t>
        </is>
      </c>
    </row>
    <row r="51" ht="13.5" customHeight="1" s="290">
      <c r="B51" s="471" t="inlineStr">
        <is>
          <t xml:space="preserve">  T03: D&amp;E Pull-Through ≤ 100%</t>
        </is>
      </c>
      <c r="C51" s="559" t="inlineStr">
        <is>
          <t>03 Operation</t>
        </is>
      </c>
      <c r="D51" s="559" t="inlineStr">
        <is>
          <t>row 331</t>
        </is>
      </c>
      <c r="E51" s="560">
        <f>'03 Operational Assumptions'!X331</f>
        <v/>
      </c>
      <c r="F51" s="561" t="inlineStr">
        <is>
          <t>Critical</t>
        </is>
      </c>
      <c r="G51" s="562" t="inlineStr">
        <is>
          <t>FAIL on blank inputs = expected (no assumptions entered)</t>
        </is>
      </c>
    </row>
    <row r="52" ht="3" customHeight="1" s="290"/>
    <row r="53" ht="15.75" customHeight="1" s="290">
      <c r="A53" s="338" t="inlineStr">
        <is>
          <t xml:space="preserve">  SECTION D — ENGINE VALIDATION  (Tabs 04, 05, 06, 07)</t>
        </is>
      </c>
    </row>
    <row r="54" ht="3" customHeight="1" s="290"/>
    <row r="55" ht="13.5" customHeight="1" s="290">
      <c r="B55" s="517" t="inlineStr">
        <is>
          <t>Check Description</t>
        </is>
      </c>
      <c r="C55" s="517" t="inlineStr">
        <is>
          <t>Source Tab</t>
        </is>
      </c>
      <c r="D55" s="517" t="inlineStr">
        <is>
          <t>Source Row</t>
        </is>
      </c>
      <c r="E55" s="517" t="n"/>
      <c r="F55" s="517" t="inlineStr">
        <is>
          <t>Critical?</t>
        </is>
      </c>
      <c r="G55" s="517" t="inlineStr">
        <is>
          <t>Notes</t>
        </is>
      </c>
    </row>
    <row r="56" ht="13.5" customHeight="1" s="290">
      <c r="B56" s="471" t="inlineStr">
        <is>
          <t xml:space="preserve">  T04: Total Firm EPE ≥ 0</t>
        </is>
      </c>
      <c r="C56" s="559" t="inlineStr">
        <is>
          <t xml:space="preserve">04 Producer </t>
        </is>
      </c>
      <c r="D56" s="559" t="inlineStr">
        <is>
          <t>row 247</t>
        </is>
      </c>
      <c r="E56" s="560">
        <f>'04 Producer Engine'!X247</f>
        <v/>
      </c>
      <c r="F56" s="561" t="inlineStr">
        <is>
          <t>Critical</t>
        </is>
      </c>
      <c r="G56" s="562" t="inlineStr">
        <is>
          <t>FAIL on blank inputs = expected (no assumptions entered)</t>
        </is>
      </c>
    </row>
    <row r="57" ht="13.5" customHeight="1" s="290">
      <c r="B57" s="471" t="inlineStr">
        <is>
          <t xml:space="preserve">  T04: Total Firm Headcount ≥ 0</t>
        </is>
      </c>
      <c r="C57" s="559" t="inlineStr">
        <is>
          <t xml:space="preserve">04 Producer </t>
        </is>
      </c>
      <c r="D57" s="559" t="inlineStr">
        <is>
          <t>row 248</t>
        </is>
      </c>
      <c r="E57" s="560">
        <f>'04 Producer Engine'!X248</f>
        <v/>
      </c>
      <c r="F57" s="561" t="inlineStr">
        <is>
          <t>Critical</t>
        </is>
      </c>
      <c r="G57" s="562" t="inlineStr">
        <is>
          <t>FAIL on blank inputs = expected (no assumptions entered)</t>
        </is>
      </c>
    </row>
    <row r="58" ht="13.5" customHeight="1" s="290">
      <c r="B58" s="471" t="inlineStr">
        <is>
          <t xml:space="preserve">  T04: EPE ≤ Headcount (Ramp ≤ 100%)</t>
        </is>
      </c>
      <c r="C58" s="559" t="inlineStr">
        <is>
          <t xml:space="preserve">04 Producer </t>
        </is>
      </c>
      <c r="D58" s="559" t="inlineStr">
        <is>
          <t>row 249</t>
        </is>
      </c>
      <c r="E58" s="560">
        <f>'04 Producer Engine'!X249</f>
        <v/>
      </c>
      <c r="F58" s="561" t="inlineStr">
        <is>
          <t>Critical</t>
        </is>
      </c>
      <c r="G58" s="562" t="inlineStr">
        <is>
          <t>FAIL on blank inputs = expected (no assumptions entered)</t>
        </is>
      </c>
    </row>
    <row r="59" ht="13.5" customHeight="1" s="290">
      <c r="B59" s="471" t="inlineStr">
        <is>
          <t xml:space="preserve">  T04: Total Ramp Drag ≥ 0</t>
        </is>
      </c>
      <c r="C59" s="559" t="inlineStr">
        <is>
          <t xml:space="preserve">04 Producer </t>
        </is>
      </c>
      <c r="D59" s="559" t="inlineStr">
        <is>
          <t>row 250</t>
        </is>
      </c>
      <c r="E59" s="560">
        <f>'04 Producer Engine'!X250</f>
        <v/>
      </c>
      <c r="F59" s="561" t="inlineStr">
        <is>
          <t>Critical</t>
        </is>
      </c>
      <c r="G59" s="562" t="inlineStr">
        <is>
          <t>FAIL on blank inputs = expected (no assumptions entered)</t>
        </is>
      </c>
    </row>
    <row r="60" ht="13.5" customHeight="1" s="290">
      <c r="B60" s="471" t="inlineStr">
        <is>
          <t xml:space="preserve">  T04: Book Loss Drag ≤ 0</t>
        </is>
      </c>
      <c r="C60" s="559" t="inlineStr">
        <is>
          <t xml:space="preserve">04 Producer </t>
        </is>
      </c>
      <c r="D60" s="559" t="inlineStr">
        <is>
          <t>row 251</t>
        </is>
      </c>
      <c r="E60" s="560">
        <f>'04 Producer Engine'!X251</f>
        <v/>
      </c>
      <c r="F60" s="561" t="inlineStr">
        <is>
          <t>Critical</t>
        </is>
      </c>
      <c r="G60" s="562" t="inlineStr">
        <is>
          <t>FAIL on blank inputs = expected (no assumptions entered)</t>
        </is>
      </c>
    </row>
    <row r="61" ht="13.5" customHeight="1" s="290">
      <c r="B61" s="471" t="inlineStr">
        <is>
          <t xml:space="preserve">  T04: Advisory Book Loss = 0</t>
        </is>
      </c>
      <c r="C61" s="559" t="inlineStr">
        <is>
          <t xml:space="preserve">04 Producer </t>
        </is>
      </c>
      <c r="D61" s="559" t="inlineStr">
        <is>
          <t>row 252</t>
        </is>
      </c>
      <c r="E61" s="560">
        <f>'04 Producer Engine'!X252</f>
        <v/>
      </c>
      <c r="F61" s="561" t="inlineStr">
        <is>
          <t>Critical</t>
        </is>
      </c>
      <c r="G61" s="562" t="inlineStr">
        <is>
          <t>FAIL on blank inputs = expected (no assumptions entered)</t>
        </is>
      </c>
    </row>
    <row r="62" ht="13.5" customHeight="1" s="290">
      <c r="B62" s="471" t="inlineStr">
        <is>
          <t xml:space="preserve">  T04: Leasing EPE ≥ 0</t>
        </is>
      </c>
      <c r="C62" s="559" t="inlineStr">
        <is>
          <t xml:space="preserve">04 Producer </t>
        </is>
      </c>
      <c r="D62" s="559" t="inlineStr">
        <is>
          <t>row 253</t>
        </is>
      </c>
      <c r="E62" s="560">
        <f>'04 Producer Engine'!X253</f>
        <v/>
      </c>
      <c r="F62" s="561" t="inlineStr">
        <is>
          <t>Critical</t>
        </is>
      </c>
      <c r="G62" s="562" t="inlineStr">
        <is>
          <t>FAIL on blank inputs = expected (no assumptions entered)</t>
        </is>
      </c>
    </row>
    <row r="63" ht="13.5" customHeight="1" s="290">
      <c r="B63" s="471" t="inlineStr">
        <is>
          <t xml:space="preserve">  T04: IS EPE ≥ 0</t>
        </is>
      </c>
      <c r="C63" s="559" t="inlineStr">
        <is>
          <t xml:space="preserve">04 Producer </t>
        </is>
      </c>
      <c r="D63" s="559" t="inlineStr">
        <is>
          <t>row 254</t>
        </is>
      </c>
      <c r="E63" s="560">
        <f>'04 Producer Engine'!X254</f>
        <v/>
      </c>
      <c r="F63" s="561" t="inlineStr">
        <is>
          <t>Critical</t>
        </is>
      </c>
      <c r="G63" s="562" t="inlineStr">
        <is>
          <t>FAIL on blank inputs = expected (no assumptions entered)</t>
        </is>
      </c>
    </row>
    <row r="64" ht="13.5" customHeight="1" s="290">
      <c r="B64" s="471" t="inlineStr">
        <is>
          <t xml:space="preserve">  T04: D&amp;E EPE ≥ 0</t>
        </is>
      </c>
      <c r="C64" s="559" t="inlineStr">
        <is>
          <t xml:space="preserve">04 Producer </t>
        </is>
      </c>
      <c r="D64" s="559" t="inlineStr">
        <is>
          <t>row 255</t>
        </is>
      </c>
      <c r="E64" s="560">
        <f>'04 Producer Engine'!X255</f>
        <v/>
      </c>
      <c r="F64" s="561" t="inlineStr">
        <is>
          <t>Critical</t>
        </is>
      </c>
      <c r="G64" s="562" t="inlineStr">
        <is>
          <t>FAIL on blank inputs = expected (no assumptions entered)</t>
        </is>
      </c>
    </row>
    <row r="65" ht="13.5" customHeight="1" s="290">
      <c r="B65" s="471" t="inlineStr">
        <is>
          <t xml:space="preserve">  T04: Advisory EPE ≥ 0</t>
        </is>
      </c>
      <c r="C65" s="559" t="inlineStr">
        <is>
          <t xml:space="preserve">04 Producer </t>
        </is>
      </c>
      <c r="D65" s="559" t="inlineStr">
        <is>
          <t>row 256</t>
        </is>
      </c>
      <c r="E65" s="560">
        <f>'04 Producer Engine'!X256</f>
        <v/>
      </c>
      <c r="F65" s="561" t="inlineStr">
        <is>
          <t>Critical</t>
        </is>
      </c>
      <c r="G65" s="562" t="inlineStr">
        <is>
          <t>FAIL on blank inputs = expected (no assumptions entered)</t>
        </is>
      </c>
    </row>
    <row r="66" ht="13.5" customHeight="1" s="290">
      <c r="A66" s="389" t="n"/>
      <c r="B66" s="563" t="inlineStr">
        <is>
          <t xml:space="preserve">  ⚠  T04: Mature GCI/EPE Populated?  (Book-Loss Mechanism)</t>
        </is>
      </c>
      <c r="C66" s="564" t="inlineStr">
        <is>
          <t>04 Producer Engine</t>
        </is>
      </c>
      <c r="D66" s="564" t="inlineStr">
        <is>
          <t>row 257</t>
        </is>
      </c>
      <c r="E66" s="565">
        <f>'04 Producer Engine'!I257</f>
        <v/>
      </c>
      <c r="F66" s="566" t="inlineStr">
        <is>
          <t>Advisory</t>
        </is>
      </c>
      <c r="G66" s="567" t="inlineStr">
        <is>
          <t>WARN = book-loss inactive (expected in V1). Not a structural failure.</t>
        </is>
      </c>
    </row>
    <row r="67" ht="13.5" customHeight="1" s="290">
      <c r="B67" s="471" t="inlineStr">
        <is>
          <t xml:space="preserve">  T05: IS GCI ≥ 0</t>
        </is>
      </c>
      <c r="C67" s="559" t="inlineStr">
        <is>
          <t>05 Revenue E</t>
        </is>
      </c>
      <c r="D67" s="559" t="inlineStr">
        <is>
          <t>row 236</t>
        </is>
      </c>
      <c r="E67" s="560">
        <f>'05 Revenue Engine'!X236</f>
        <v/>
      </c>
      <c r="F67" s="561" t="inlineStr">
        <is>
          <t>Critical</t>
        </is>
      </c>
      <c r="G67" s="562" t="inlineStr">
        <is>
          <t>FAIL on blank inputs = expected (no assumptions entered)</t>
        </is>
      </c>
    </row>
    <row r="68" ht="13.5" customHeight="1" s="290">
      <c r="B68" s="471" t="inlineStr">
        <is>
          <t xml:space="preserve">  T05: D&amp;E GCI ≥ 0</t>
        </is>
      </c>
      <c r="C68" s="559" t="inlineStr">
        <is>
          <t>05 Revenue E</t>
        </is>
      </c>
      <c r="D68" s="559" t="inlineStr">
        <is>
          <t>row 237</t>
        </is>
      </c>
      <c r="E68" s="560">
        <f>'05 Revenue Engine'!X237</f>
        <v/>
      </c>
      <c r="F68" s="561" t="inlineStr">
        <is>
          <t>Critical</t>
        </is>
      </c>
      <c r="G68" s="562" t="inlineStr">
        <is>
          <t>FAIL on blank inputs = expected (no assumptions entered)</t>
        </is>
      </c>
    </row>
    <row r="69" ht="13.5" customHeight="1" s="290">
      <c r="B69" s="471" t="inlineStr">
        <is>
          <t xml:space="preserve">  T05: Advisory Revenue ≥ 0</t>
        </is>
      </c>
      <c r="C69" s="559" t="inlineStr">
        <is>
          <t>05 Revenue E</t>
        </is>
      </c>
      <c r="D69" s="559" t="inlineStr">
        <is>
          <t>row 238</t>
        </is>
      </c>
      <c r="E69" s="560">
        <f>'05 Revenue Engine'!X238</f>
        <v/>
      </c>
      <c r="F69" s="561" t="inlineStr">
        <is>
          <t>Critical</t>
        </is>
      </c>
      <c r="G69" s="562" t="inlineStr">
        <is>
          <t>FAIL on blank inputs = expected (no assumptions entered)</t>
        </is>
      </c>
    </row>
    <row r="70" ht="13.5" customHeight="1" s="290">
      <c r="B70" s="471" t="inlineStr">
        <is>
          <t xml:space="preserve">  T05: Total GCI ≥ 0</t>
        </is>
      </c>
      <c r="C70" s="559" t="inlineStr">
        <is>
          <t>05 Revenue E</t>
        </is>
      </c>
      <c r="D70" s="559" t="inlineStr">
        <is>
          <t>row 239</t>
        </is>
      </c>
      <c r="E70" s="560">
        <f>'05 Revenue Engine'!X239</f>
        <v/>
      </c>
      <c r="F70" s="561" t="inlineStr">
        <is>
          <t>Critical</t>
        </is>
      </c>
      <c r="G70" s="562" t="inlineStr">
        <is>
          <t>FAIL on blank inputs = expected (no assumptions entered)</t>
        </is>
      </c>
    </row>
    <row r="71" ht="13.5" customHeight="1" s="290">
      <c r="B71" s="471" t="inlineStr">
        <is>
          <t xml:space="preserve">  T05: Leasing Deal Count ≥ 0</t>
        </is>
      </c>
      <c r="C71" s="559" t="inlineStr">
        <is>
          <t>05 Revenue E</t>
        </is>
      </c>
      <c r="D71" s="559" t="inlineStr">
        <is>
          <t>row 240</t>
        </is>
      </c>
      <c r="E71" s="560">
        <f>'05 Revenue Engine'!X240</f>
        <v/>
      </c>
      <c r="F71" s="561" t="inlineStr">
        <is>
          <t>Critical</t>
        </is>
      </c>
      <c r="G71" s="562" t="inlineStr">
        <is>
          <t>FAIL on blank inputs = expected (no assumptions entered)</t>
        </is>
      </c>
    </row>
    <row r="72" ht="13.5" customHeight="1" s="290">
      <c r="B72" s="471" t="inlineStr">
        <is>
          <t xml:space="preserve">  T05: IS Deal Count ≥ 0</t>
        </is>
      </c>
      <c r="C72" s="559" t="inlineStr">
        <is>
          <t>05 Revenue E</t>
        </is>
      </c>
      <c r="D72" s="559" t="inlineStr">
        <is>
          <t>row 241</t>
        </is>
      </c>
      <c r="E72" s="560">
        <f>'05 Revenue Engine'!X241</f>
        <v/>
      </c>
      <c r="F72" s="561" t="inlineStr">
        <is>
          <t>Critical</t>
        </is>
      </c>
      <c r="G72" s="562" t="inlineStr">
        <is>
          <t>FAIL on blank inputs = expected (no assumptions entered)</t>
        </is>
      </c>
    </row>
    <row r="73" ht="13.5" customHeight="1" s="290">
      <c r="B73" s="471" t="inlineStr">
        <is>
          <t xml:space="preserve">  T05: IS Blended Bps &gt; 0</t>
        </is>
      </c>
      <c r="C73" s="559" t="inlineStr">
        <is>
          <t>05 Revenue E</t>
        </is>
      </c>
      <c r="D73" s="559" t="inlineStr">
        <is>
          <t>row 242</t>
        </is>
      </c>
      <c r="E73" s="560">
        <f>'05 Revenue Engine'!X242</f>
        <v/>
      </c>
      <c r="F73" s="561" t="inlineStr">
        <is>
          <t>Critical</t>
        </is>
      </c>
      <c r="G73" s="562" t="inlineStr">
        <is>
          <t>FAIL on blank inputs = expected (no assumptions entered)</t>
        </is>
      </c>
    </row>
    <row r="74" ht="13.5" customHeight="1" s="290">
      <c r="B74" s="471" t="inlineStr">
        <is>
          <t xml:space="preserve">  T05: Leasing Market Share &lt; 10%</t>
        </is>
      </c>
      <c r="C74" s="559" t="inlineStr">
        <is>
          <t>05 Revenue E</t>
        </is>
      </c>
      <c r="D74" s="559" t="inlineStr">
        <is>
          <t>row 243</t>
        </is>
      </c>
      <c r="E74" s="560">
        <f>'05 Revenue Engine'!X243</f>
        <v/>
      </c>
      <c r="F74" s="561" t="inlineStr">
        <is>
          <t>Critical</t>
        </is>
      </c>
      <c r="G74" s="562" t="inlineStr">
        <is>
          <t>FAIL on blank inputs = expected (no assumptions entered)</t>
        </is>
      </c>
    </row>
    <row r="75" ht="13.5" customHeight="1" s="290">
      <c r="B75" s="471" t="inlineStr">
        <is>
          <t xml:space="preserve">  T05: IS Market Share &lt; 8%</t>
        </is>
      </c>
      <c r="C75" s="559" t="inlineStr">
        <is>
          <t>05 Revenue E</t>
        </is>
      </c>
      <c r="D75" s="559" t="inlineStr">
        <is>
          <t>row 244</t>
        </is>
      </c>
      <c r="E75" s="560">
        <f>'05 Revenue Engine'!X244</f>
        <v/>
      </c>
      <c r="F75" s="561" t="inlineStr">
        <is>
          <t>Critical</t>
        </is>
      </c>
      <c r="G75" s="562" t="inlineStr">
        <is>
          <t>FAIL on blank inputs = expected (no assumptions entered)</t>
        </is>
      </c>
    </row>
    <row r="76" ht="13.5" customHeight="1" s="290">
      <c r="B76" s="471" t="inlineStr">
        <is>
          <t xml:space="preserve">  T05: D&amp;E Market Share &lt; 15%</t>
        </is>
      </c>
      <c r="C76" s="559" t="inlineStr">
        <is>
          <t>05 Revenue E</t>
        </is>
      </c>
      <c r="D76" s="559" t="inlineStr">
        <is>
          <t>row 245</t>
        </is>
      </c>
      <c r="E76" s="560">
        <f>'05 Revenue Engine'!X245</f>
        <v/>
      </c>
      <c r="F76" s="561" t="inlineStr">
        <is>
          <t>Critical</t>
        </is>
      </c>
      <c r="G76" s="562" t="inlineStr">
        <is>
          <t>FAIL on blank inputs = expected (no assumptions entered)</t>
        </is>
      </c>
    </row>
    <row r="77" ht="13.5" customHeight="1" s="290">
      <c r="B77" s="471" t="inlineStr">
        <is>
          <t xml:space="preserve">  T05: Revenue Mix = 100%</t>
        </is>
      </c>
      <c r="C77" s="559" t="inlineStr">
        <is>
          <t>05 Revenue E</t>
        </is>
      </c>
      <c r="D77" s="559" t="inlineStr">
        <is>
          <t>row 246</t>
        </is>
      </c>
      <c r="E77" s="560">
        <f>'05 Revenue Engine'!X246</f>
        <v/>
      </c>
      <c r="F77" s="561" t="inlineStr">
        <is>
          <t>Critical</t>
        </is>
      </c>
      <c r="G77" s="562" t="inlineStr">
        <is>
          <t>FAIL on blank inputs = expected (no assumptions entered)</t>
        </is>
      </c>
    </row>
    <row r="78" ht="13.5" customHeight="1" s="290">
      <c r="B78" s="471" t="inlineStr">
        <is>
          <t xml:space="preserve">  T05: Revenue Bridge Balances</t>
        </is>
      </c>
      <c r="C78" s="559" t="inlineStr">
        <is>
          <t>05 Revenue E</t>
        </is>
      </c>
      <c r="D78" s="559" t="inlineStr">
        <is>
          <t>row 247</t>
        </is>
      </c>
      <c r="E78" s="560">
        <f>'05 Revenue Engine'!X247</f>
        <v/>
      </c>
      <c r="F78" s="561" t="inlineStr">
        <is>
          <t>Critical</t>
        </is>
      </c>
      <c r="G78" s="562" t="inlineStr">
        <is>
          <t>FAIL on blank inputs = expected (no assumptions entered)</t>
        </is>
      </c>
    </row>
    <row r="79" ht="13.5" customHeight="1" s="290">
      <c r="B79" s="471" t="inlineStr">
        <is>
          <t xml:space="preserve">  T06: Company Dollar ≥ 0</t>
        </is>
      </c>
      <c r="C79" s="559" t="inlineStr">
        <is>
          <t>06 Compensat</t>
        </is>
      </c>
      <c r="D79" s="559" t="inlineStr">
        <is>
          <t>row 239</t>
        </is>
      </c>
      <c r="E79" s="560">
        <f>'06 Compensation Engine'!X239</f>
        <v/>
      </c>
      <c r="F79" s="561" t="inlineStr">
        <is>
          <t>Critical</t>
        </is>
      </c>
      <c r="G79" s="562" t="inlineStr">
        <is>
          <t>FAIL on blank inputs = expected (no assumptions entered)</t>
        </is>
      </c>
    </row>
    <row r="80" ht="13.5" customHeight="1" s="290">
      <c r="B80" s="471" t="inlineStr">
        <is>
          <t xml:space="preserve">  T06: Blended Payout Ratio 45-75%</t>
        </is>
      </c>
      <c r="C80" s="559" t="inlineStr">
        <is>
          <t>06 Compensat</t>
        </is>
      </c>
      <c r="D80" s="559" t="inlineStr">
        <is>
          <t>row 240</t>
        </is>
      </c>
      <c r="E80" s="560">
        <f>'06 Compensation Engine'!X240</f>
        <v/>
      </c>
      <c r="F80" s="519" t="inlineStr">
        <is>
          <t>Advisory</t>
        </is>
      </c>
      <c r="G80" s="562" t="inlineStr">
        <is>
          <t>FAIL on blank inputs = expected (no assumptions entered)</t>
        </is>
      </c>
    </row>
    <row r="81" ht="13.5" customHeight="1" s="290">
      <c r="B81" s="471" t="inlineStr">
        <is>
          <t xml:space="preserve">  T06: Advisory Comp Ratio 40-75%</t>
        </is>
      </c>
      <c r="C81" s="559" t="inlineStr">
        <is>
          <t>06 Compensat</t>
        </is>
      </c>
      <c r="D81" s="559" t="inlineStr">
        <is>
          <t>row 241</t>
        </is>
      </c>
      <c r="E81" s="560">
        <f>'06 Compensation Engine'!X241</f>
        <v/>
      </c>
      <c r="F81" s="519" t="inlineStr">
        <is>
          <t>Advisory</t>
        </is>
      </c>
      <c r="G81" s="562" t="inlineStr">
        <is>
          <t>FAIL on blank inputs = expected (no assumptions entered)</t>
        </is>
      </c>
    </row>
    <row r="82" ht="13.5" customHeight="1" s="290">
      <c r="B82" s="471" t="inlineStr">
        <is>
          <t xml:space="preserve">  T06: Total Comp/GCI 55-80%</t>
        </is>
      </c>
      <c r="C82" s="559" t="inlineStr">
        <is>
          <t>06 Compensat</t>
        </is>
      </c>
      <c r="D82" s="559" t="inlineStr">
        <is>
          <t>row 242</t>
        </is>
      </c>
      <c r="E82" s="560">
        <f>'06 Compensation Engine'!X242</f>
        <v/>
      </c>
      <c r="F82" s="519" t="inlineStr">
        <is>
          <t>Advisory</t>
        </is>
      </c>
      <c r="G82" s="562" t="inlineStr">
        <is>
          <t>FAIL on blank inputs = expected (no assumptions entered)</t>
        </is>
      </c>
    </row>
    <row r="83" ht="13.5" customHeight="1" s="290">
      <c r="B83" s="471" t="inlineStr">
        <is>
          <t xml:space="preserve">  T06: Total Producer Payouts ≥ 0</t>
        </is>
      </c>
      <c r="C83" s="559" t="inlineStr">
        <is>
          <t>06 Compensat</t>
        </is>
      </c>
      <c r="D83" s="559" t="inlineStr">
        <is>
          <t>row 243</t>
        </is>
      </c>
      <c r="E83" s="560">
        <f>'06 Compensation Engine'!X243</f>
        <v/>
      </c>
      <c r="F83" s="561" t="inlineStr">
        <is>
          <t>Critical</t>
        </is>
      </c>
      <c r="G83" s="562" t="inlineStr">
        <is>
          <t>FAIL on blank inputs = expected (no assumptions entered)</t>
        </is>
      </c>
    </row>
    <row r="84" ht="13.5" customHeight="1" s="290">
      <c r="B84" s="471" t="inlineStr">
        <is>
          <t xml:space="preserve">  T06: Advisory Compensation ≥ 0</t>
        </is>
      </c>
      <c r="C84" s="559" t="inlineStr">
        <is>
          <t>06 Compensat</t>
        </is>
      </c>
      <c r="D84" s="559" t="inlineStr">
        <is>
          <t>row 244</t>
        </is>
      </c>
      <c r="E84" s="560">
        <f>'06 Compensation Engine'!X244</f>
        <v/>
      </c>
      <c r="F84" s="561" t="inlineStr">
        <is>
          <t>Critical</t>
        </is>
      </c>
      <c r="G84" s="562" t="inlineStr">
        <is>
          <t>FAIL on blank inputs = expected (no assumptions entered)</t>
        </is>
      </c>
    </row>
    <row r="85" ht="13.5" customHeight="1" s="290">
      <c r="B85" s="471" t="inlineStr">
        <is>
          <t xml:space="preserve">  T06: Corp &amp; Support Comp ≥ 0</t>
        </is>
      </c>
      <c r="C85" s="559" t="inlineStr">
        <is>
          <t>06 Compensat</t>
        </is>
      </c>
      <c r="D85" s="559" t="inlineStr">
        <is>
          <t>row 245</t>
        </is>
      </c>
      <c r="E85" s="560">
        <f>'06 Compensation Engine'!X245</f>
        <v/>
      </c>
      <c r="F85" s="561" t="inlineStr">
        <is>
          <t>Critical</t>
        </is>
      </c>
      <c r="G85" s="562" t="inlineStr">
        <is>
          <t>FAIL on blank inputs = expected (no assumptions entered)</t>
        </is>
      </c>
    </row>
    <row r="86" ht="13.5" customHeight="1" s="290">
      <c r="B86" s="471" t="inlineStr">
        <is>
          <t xml:space="preserve">  T06: Bonus Pool ≥ 0</t>
        </is>
      </c>
      <c r="C86" s="559" t="inlineStr">
        <is>
          <t>06 Compensat</t>
        </is>
      </c>
      <c r="D86" s="559" t="inlineStr">
        <is>
          <t>row 246</t>
        </is>
      </c>
      <c r="E86" s="560">
        <f>'06 Compensation Engine'!X246</f>
        <v/>
      </c>
      <c r="F86" s="561" t="inlineStr">
        <is>
          <t>Critical</t>
        </is>
      </c>
      <c r="G86" s="562" t="inlineStr">
        <is>
          <t>FAIL on blank inputs = expected (no assumptions entered)</t>
        </is>
      </c>
    </row>
    <row r="87" ht="13.5" customHeight="1" s="290">
      <c r="B87" s="471" t="inlineStr">
        <is>
          <t xml:space="preserve">  T06: Total Firm Compensation ≥ 0</t>
        </is>
      </c>
      <c r="C87" s="559" t="inlineStr">
        <is>
          <t>06 Compensat</t>
        </is>
      </c>
      <c r="D87" s="559" t="inlineStr">
        <is>
          <t>row 247</t>
        </is>
      </c>
      <c r="E87" s="560">
        <f>'06 Compensation Engine'!X247</f>
        <v/>
      </c>
      <c r="F87" s="561" t="inlineStr">
        <is>
          <t>Critical</t>
        </is>
      </c>
      <c r="G87" s="562" t="inlineStr">
        <is>
          <t>FAIL on blank inputs = expected (no assumptions entered)</t>
        </is>
      </c>
    </row>
    <row r="88" ht="13.5" customHeight="1" s="290">
      <c r="B88" s="471" t="inlineStr">
        <is>
          <t xml:space="preserve">  T06: Leasing Payout Ratio 0-100%</t>
        </is>
      </c>
      <c r="C88" s="559" t="inlineStr">
        <is>
          <t>06 Compensat</t>
        </is>
      </c>
      <c r="D88" s="559" t="inlineStr">
        <is>
          <t>row 248</t>
        </is>
      </c>
      <c r="E88" s="560">
        <f>'06 Compensation Engine'!X248</f>
        <v/>
      </c>
      <c r="F88" s="561" t="inlineStr">
        <is>
          <t>Critical</t>
        </is>
      </c>
      <c r="G88" s="562" t="inlineStr">
        <is>
          <t>FAIL on blank inputs = expected (no assumptions entered)</t>
        </is>
      </c>
    </row>
    <row r="89" ht="13.5" customHeight="1" s="290">
      <c r="B89" s="471" t="inlineStr">
        <is>
          <t xml:space="preserve">  T06: IS Payout Ratio 0-100%</t>
        </is>
      </c>
      <c r="C89" s="559" t="inlineStr">
        <is>
          <t>06 Compensat</t>
        </is>
      </c>
      <c r="D89" s="559" t="inlineStr">
        <is>
          <t>row 249</t>
        </is>
      </c>
      <c r="E89" s="560">
        <f>'06 Compensation Engine'!X249</f>
        <v/>
      </c>
      <c r="F89" s="561" t="inlineStr">
        <is>
          <t>Critical</t>
        </is>
      </c>
      <c r="G89" s="562" t="inlineStr">
        <is>
          <t>FAIL on blank inputs = expected (no assumptions entered)</t>
        </is>
      </c>
    </row>
    <row r="90" ht="13.5" customHeight="1" s="290">
      <c r="B90" s="471" t="inlineStr">
        <is>
          <t xml:space="preserve">  T06: D&amp;E Payout Ratio 0-100%</t>
        </is>
      </c>
      <c r="C90" s="559" t="inlineStr">
        <is>
          <t>06 Compensat</t>
        </is>
      </c>
      <c r="D90" s="559" t="inlineStr">
        <is>
          <t>row 250</t>
        </is>
      </c>
      <c r="E90" s="560">
        <f>'06 Compensation Engine'!X250</f>
        <v/>
      </c>
      <c r="F90" s="561" t="inlineStr">
        <is>
          <t>Critical</t>
        </is>
      </c>
      <c r="G90" s="562" t="inlineStr">
        <is>
          <t>FAIL on blank inputs = expected (no assumptions entered)</t>
        </is>
      </c>
    </row>
    <row r="91" ht="13.5" customHeight="1" s="290">
      <c r="B91" s="471" t="inlineStr">
        <is>
          <t xml:space="preserve">  T07: Fixed Opex ≥ 0</t>
        </is>
      </c>
      <c r="C91" s="559" t="inlineStr">
        <is>
          <t>07 Opex Engi</t>
        </is>
      </c>
      <c r="D91" s="559" t="inlineStr">
        <is>
          <t>row 106</t>
        </is>
      </c>
      <c r="E91" s="560">
        <f>'07 Opex Engine'!X106</f>
        <v/>
      </c>
      <c r="F91" s="561" t="inlineStr">
        <is>
          <t>Critical</t>
        </is>
      </c>
      <c r="G91" s="562" t="inlineStr">
        <is>
          <t>FAIL on blank inputs = expected (no assumptions entered)</t>
        </is>
      </c>
    </row>
    <row r="92" ht="13.5" customHeight="1" s="290">
      <c r="B92" s="471" t="inlineStr">
        <is>
          <t xml:space="preserve">  T07: Variable Opex ≥ 0</t>
        </is>
      </c>
      <c r="C92" s="559" t="inlineStr">
        <is>
          <t>07 Opex Engi</t>
        </is>
      </c>
      <c r="D92" s="559" t="inlineStr">
        <is>
          <t>row 107</t>
        </is>
      </c>
      <c r="E92" s="560">
        <f>'07 Opex Engine'!X107</f>
        <v/>
      </c>
      <c r="F92" s="561" t="inlineStr">
        <is>
          <t>Critical</t>
        </is>
      </c>
      <c r="G92" s="562" t="inlineStr">
        <is>
          <t>FAIL on blank inputs = expected (no assumptions entered)</t>
        </is>
      </c>
    </row>
    <row r="93" ht="13.5" customHeight="1" s="290">
      <c r="B93" s="471" t="inlineStr">
        <is>
          <t xml:space="preserve">  T07: Total Opex ex-D&amp;A ≥ 0</t>
        </is>
      </c>
      <c r="C93" s="559" t="inlineStr">
        <is>
          <t>07 Opex Engi</t>
        </is>
      </c>
      <c r="D93" s="559" t="inlineStr">
        <is>
          <t>row 108</t>
        </is>
      </c>
      <c r="E93" s="560">
        <f>'07 Opex Engine'!X108</f>
        <v/>
      </c>
      <c r="F93" s="561" t="inlineStr">
        <is>
          <t>Critical</t>
        </is>
      </c>
      <c r="G93" s="562" t="inlineStr">
        <is>
          <t>FAIL on blank inputs = expected (no assumptions entered)</t>
        </is>
      </c>
    </row>
    <row r="94" ht="13.5" customHeight="1" s="290">
      <c r="B94" s="471" t="inlineStr">
        <is>
          <t xml:space="preserve">  T07: D&amp;A ≥ 0</t>
        </is>
      </c>
      <c r="C94" s="559" t="inlineStr">
        <is>
          <t>07 Opex Engi</t>
        </is>
      </c>
      <c r="D94" s="559" t="inlineStr">
        <is>
          <t>row 109</t>
        </is>
      </c>
      <c r="E94" s="560">
        <f>'07 Opex Engine'!X109</f>
        <v/>
      </c>
      <c r="F94" s="561" t="inlineStr">
        <is>
          <t>Critical</t>
        </is>
      </c>
      <c r="G94" s="562" t="inlineStr">
        <is>
          <t>FAIL on blank inputs = expected (no assumptions entered)</t>
        </is>
      </c>
    </row>
    <row r="95" ht="13.5" customHeight="1" s="290">
      <c r="B95" s="471" t="inlineStr">
        <is>
          <t xml:space="preserve">  T07: Total Opex inc-D&amp;A ≥ 0</t>
        </is>
      </c>
      <c r="C95" s="559" t="inlineStr">
        <is>
          <t>07 Opex Engi</t>
        </is>
      </c>
      <c r="D95" s="559" t="inlineStr">
        <is>
          <t>row 110</t>
        </is>
      </c>
      <c r="E95" s="560">
        <f>'07 Opex Engine'!X110</f>
        <v/>
      </c>
      <c r="F95" s="561" t="inlineStr">
        <is>
          <t>Critical</t>
        </is>
      </c>
      <c r="G95" s="562" t="inlineStr">
        <is>
          <t>FAIL on blank inputs = expected (no assumptions entered)</t>
        </is>
      </c>
    </row>
    <row r="96" ht="13.5" customHeight="1" s="290">
      <c r="B96" s="471" t="inlineStr">
        <is>
          <t xml:space="preserve">  T07: Opex/GCI &lt; 40%</t>
        </is>
      </c>
      <c r="C96" s="559" t="inlineStr">
        <is>
          <t>07 Opex Engi</t>
        </is>
      </c>
      <c r="D96" s="559" t="inlineStr">
        <is>
          <t>row 111</t>
        </is>
      </c>
      <c r="E96" s="560">
        <f>'07 Opex Engine'!X111</f>
        <v/>
      </c>
      <c r="F96" s="519" t="inlineStr">
        <is>
          <t>Advisory</t>
        </is>
      </c>
      <c r="G96" s="562" t="inlineStr">
        <is>
          <t>FAIL on blank inputs = expected (no assumptions entered)</t>
        </is>
      </c>
    </row>
    <row r="97" ht="13.5" customHeight="1" s="290">
      <c r="B97" s="471" t="inlineStr">
        <is>
          <t xml:space="preserve">  T07: Opex/Co$ &lt; 80%</t>
        </is>
      </c>
      <c r="C97" s="559" t="inlineStr">
        <is>
          <t>07 Opex Engi</t>
        </is>
      </c>
      <c r="D97" s="559" t="inlineStr">
        <is>
          <t>row 112</t>
        </is>
      </c>
      <c r="E97" s="560">
        <f>'07 Opex Engine'!X112</f>
        <v/>
      </c>
      <c r="F97" s="519" t="inlineStr">
        <is>
          <t>Advisory</t>
        </is>
      </c>
      <c r="G97" s="562" t="inlineStr">
        <is>
          <t>FAIL on blank inputs = expected (no assumptions entered)</t>
        </is>
      </c>
    </row>
    <row r="98" ht="13.5" customHeight="1" s="290">
      <c r="B98" s="471" t="inlineStr">
        <is>
          <t xml:space="preserve">  T07: E&amp;O Cost ≥ 0</t>
        </is>
      </c>
      <c r="C98" s="559" t="inlineStr">
        <is>
          <t>07 Opex Engi</t>
        </is>
      </c>
      <c r="D98" s="559" t="inlineStr">
        <is>
          <t>row 113</t>
        </is>
      </c>
      <c r="E98" s="560">
        <f>'07 Opex Engine'!X113</f>
        <v/>
      </c>
      <c r="F98" s="561" t="inlineStr">
        <is>
          <t>Critical</t>
        </is>
      </c>
      <c r="G98" s="562" t="inlineStr">
        <is>
          <t>FAIL on blank inputs = expected (no assumptions entered)</t>
        </is>
      </c>
    </row>
    <row r="99" ht="13.5" customHeight="1" s="290">
      <c r="B99" s="471" t="inlineStr">
        <is>
          <t xml:space="preserve">  T07: Referral Fees ≥ 0</t>
        </is>
      </c>
      <c r="C99" s="559" t="inlineStr">
        <is>
          <t>07 Opex Engi</t>
        </is>
      </c>
      <c r="D99" s="559" t="inlineStr">
        <is>
          <t>row 114</t>
        </is>
      </c>
      <c r="E99" s="560">
        <f>'07 Opex Engine'!X114</f>
        <v/>
      </c>
      <c r="F99" s="561" t="inlineStr">
        <is>
          <t>Critical</t>
        </is>
      </c>
      <c r="G99" s="562" t="inlineStr">
        <is>
          <t>FAIL on blank inputs = expected (no assumptions entered)</t>
        </is>
      </c>
    </row>
    <row r="100" ht="13.5" customHeight="1" s="290">
      <c r="B100" s="471" t="inlineStr">
        <is>
          <t xml:space="preserve">  T07: IS Deal Marketing ≥ 0</t>
        </is>
      </c>
      <c r="C100" s="559" t="inlineStr">
        <is>
          <t>07 Opex Engi</t>
        </is>
      </c>
      <c r="D100" s="559" t="inlineStr">
        <is>
          <t>row 115</t>
        </is>
      </c>
      <c r="E100" s="560">
        <f>'07 Opex Engine'!X115</f>
        <v/>
      </c>
      <c r="F100" s="561" t="inlineStr">
        <is>
          <t>Critical</t>
        </is>
      </c>
      <c r="G100" s="562" t="inlineStr">
        <is>
          <t>FAIL on blank inputs = expected (no assumptions entered)</t>
        </is>
      </c>
    </row>
    <row r="101" ht="13.5" customHeight="1" s="290">
      <c r="B101" s="471" t="inlineStr">
        <is>
          <t xml:space="preserve">  T07: T&amp;E ≥ 0</t>
        </is>
      </c>
      <c r="C101" s="559" t="inlineStr">
        <is>
          <t>07 Opex Engi</t>
        </is>
      </c>
      <c r="D101" s="559" t="inlineStr">
        <is>
          <t>row 116</t>
        </is>
      </c>
      <c r="E101" s="560">
        <f>'07 Opex Engine'!X116</f>
        <v/>
      </c>
      <c r="F101" s="561" t="inlineStr">
        <is>
          <t>Critical</t>
        </is>
      </c>
      <c r="G101" s="562" t="inlineStr">
        <is>
          <t>FAIL on blank inputs = expected (no assumptions entered)</t>
        </is>
      </c>
    </row>
    <row r="102" ht="13.5" customHeight="1" s="290">
      <c r="B102" s="471" t="inlineStr">
        <is>
          <t xml:space="preserve">  T07: Fixed+Variable = Total Opex</t>
        </is>
      </c>
      <c r="C102" s="559" t="inlineStr">
        <is>
          <t>07 Opex Engi</t>
        </is>
      </c>
      <c r="D102" s="559" t="inlineStr">
        <is>
          <t>row 117</t>
        </is>
      </c>
      <c r="E102" s="560">
        <f>'07 Opex Engine'!X117</f>
        <v/>
      </c>
      <c r="F102" s="561" t="inlineStr">
        <is>
          <t>Critical</t>
        </is>
      </c>
      <c r="G102" s="562" t="inlineStr">
        <is>
          <t>FAIL on blank inputs = expected (no assumptions entered)</t>
        </is>
      </c>
    </row>
    <row r="103" ht="3" customHeight="1" s="290"/>
    <row r="104" ht="15.75" customHeight="1" s="290">
      <c r="A104" s="338" t="inlineStr">
        <is>
          <t xml:space="preserve">  SECTION E — CROSS-TAB RECONCILIATION  (Tabs 08, 09, 10)</t>
        </is>
      </c>
    </row>
    <row r="105" ht="3" customHeight="1" s="290"/>
    <row r="106" ht="13.5" customHeight="1" s="290">
      <c r="B106" s="517" t="inlineStr">
        <is>
          <t>Check Description</t>
        </is>
      </c>
      <c r="C106" s="517" t="inlineStr">
        <is>
          <t>Source Tab</t>
        </is>
      </c>
      <c r="D106" s="517" t="inlineStr">
        <is>
          <t>Source Row</t>
        </is>
      </c>
      <c r="E106" s="517" t="n"/>
      <c r="F106" s="517" t="inlineStr">
        <is>
          <t>Critical?</t>
        </is>
      </c>
      <c r="G106" s="517" t="inlineStr">
        <is>
          <t>Notes</t>
        </is>
      </c>
    </row>
    <row r="107" ht="13.5" customHeight="1" s="290">
      <c r="B107" s="471" t="inlineStr">
        <is>
          <t xml:space="preserve">  T08: Total GCI ties to Tab 05</t>
        </is>
      </c>
      <c r="C107" s="559" t="inlineStr">
        <is>
          <t>08 P&amp;L</t>
        </is>
      </c>
      <c r="D107" s="559" t="inlineStr">
        <is>
          <t>row 120</t>
        </is>
      </c>
      <c r="E107" s="560">
        <f>'08 P&amp;L'!X120</f>
        <v/>
      </c>
      <c r="F107" s="561" t="inlineStr">
        <is>
          <t>Critical</t>
        </is>
      </c>
      <c r="G107" s="562" t="inlineStr">
        <is>
          <t>FAIL on blank inputs = expected (no assumptions entered)</t>
        </is>
      </c>
    </row>
    <row r="108" ht="13.5" customHeight="1" s="290">
      <c r="B108" s="471" t="inlineStr">
        <is>
          <t xml:space="preserve">  T08: Producer Payouts tie to Tab 06</t>
        </is>
      </c>
      <c r="C108" s="559" t="inlineStr">
        <is>
          <t>08 P&amp;L</t>
        </is>
      </c>
      <c r="D108" s="559" t="inlineStr">
        <is>
          <t>row 121</t>
        </is>
      </c>
      <c r="E108" s="560">
        <f>'08 P&amp;L'!X121</f>
        <v/>
      </c>
      <c r="F108" s="561" t="inlineStr">
        <is>
          <t>Critical</t>
        </is>
      </c>
      <c r="G108" s="562" t="inlineStr">
        <is>
          <t>FAIL on blank inputs = expected (no assumptions entered)</t>
        </is>
      </c>
    </row>
    <row r="109" ht="13.5" customHeight="1" s="290">
      <c r="B109" s="471" t="inlineStr">
        <is>
          <t xml:space="preserve">  T08: Co$ = GCI − Payouts</t>
        </is>
      </c>
      <c r="C109" s="559" t="inlineStr">
        <is>
          <t>08 P&amp;L</t>
        </is>
      </c>
      <c r="D109" s="559" t="inlineStr">
        <is>
          <t>row 122</t>
        </is>
      </c>
      <c r="E109" s="560">
        <f>'08 P&amp;L'!X122</f>
        <v/>
      </c>
      <c r="F109" s="561" t="inlineStr">
        <is>
          <t>Critical</t>
        </is>
      </c>
      <c r="G109" s="562" t="inlineStr">
        <is>
          <t>FAIL on blank inputs = expected (no assumptions entered)</t>
        </is>
      </c>
    </row>
    <row r="110" ht="13.5" customHeight="1" s="290">
      <c r="B110" s="471" t="inlineStr">
        <is>
          <t xml:space="preserve">  T08: Total Opex ties to T06+T07</t>
        </is>
      </c>
      <c r="C110" s="559" t="inlineStr">
        <is>
          <t>08 P&amp;L</t>
        </is>
      </c>
      <c r="D110" s="559" t="inlineStr">
        <is>
          <t>row 123</t>
        </is>
      </c>
      <c r="E110" s="560">
        <f>'08 P&amp;L'!X123</f>
        <v/>
      </c>
      <c r="F110" s="561" t="inlineStr">
        <is>
          <t>Critical</t>
        </is>
      </c>
      <c r="G110" s="562" t="inlineStr">
        <is>
          <t>FAIL on blank inputs = expected (no assumptions entered)</t>
        </is>
      </c>
    </row>
    <row r="111" ht="13.5" customHeight="1" s="290">
      <c r="B111" s="471" t="inlineStr">
        <is>
          <t xml:space="preserve">  T08: EBITDA = Co$ − Total Opex</t>
        </is>
      </c>
      <c r="C111" s="559" t="inlineStr">
        <is>
          <t>08 P&amp;L</t>
        </is>
      </c>
      <c r="D111" s="559" t="inlineStr">
        <is>
          <t>row 124</t>
        </is>
      </c>
      <c r="E111" s="560">
        <f>'08 P&amp;L'!X124</f>
        <v/>
      </c>
      <c r="F111" s="561" t="inlineStr">
        <is>
          <t>Critical</t>
        </is>
      </c>
      <c r="G111" s="562" t="inlineStr">
        <is>
          <t>FAIL on blank inputs = expected (no assumptions entered)</t>
        </is>
      </c>
    </row>
    <row r="112" ht="13.5" customHeight="1" s="290">
      <c r="B112" s="471" t="inlineStr">
        <is>
          <t xml:space="preserve">  T08: EBIT = EBITDA − D&amp;A</t>
        </is>
      </c>
      <c r="C112" s="559" t="inlineStr">
        <is>
          <t>08 P&amp;L</t>
        </is>
      </c>
      <c r="D112" s="559" t="inlineStr">
        <is>
          <t>row 125</t>
        </is>
      </c>
      <c r="E112" s="560">
        <f>'08 P&amp;L'!X125</f>
        <v/>
      </c>
      <c r="F112" s="561" t="inlineStr">
        <is>
          <t>Critical</t>
        </is>
      </c>
      <c r="G112" s="562" t="inlineStr">
        <is>
          <t>FAIL on blank inputs = expected (no assumptions entered)</t>
        </is>
      </c>
    </row>
    <row r="113" ht="13.5" customHeight="1" s="290">
      <c r="B113" s="471" t="inlineStr">
        <is>
          <t xml:space="preserve">  T08: Revenue Mix = 100%</t>
        </is>
      </c>
      <c r="C113" s="559" t="inlineStr">
        <is>
          <t>08 P&amp;L</t>
        </is>
      </c>
      <c r="D113" s="559" t="inlineStr">
        <is>
          <t>row 126</t>
        </is>
      </c>
      <c r="E113" s="560">
        <f>'08 P&amp;L'!X126</f>
        <v/>
      </c>
      <c r="F113" s="519" t="inlineStr">
        <is>
          <t>Advisory</t>
        </is>
      </c>
      <c r="G113" s="562" t="inlineStr">
        <is>
          <t>FAIL on blank inputs = expected (no assumptions entered)</t>
        </is>
      </c>
    </row>
    <row r="114" ht="13.5" customHeight="1" s="290">
      <c r="B114" s="471" t="inlineStr">
        <is>
          <t xml:space="preserve">  T08: All Revenue Lines ≥ 0</t>
        </is>
      </c>
      <c r="C114" s="559" t="inlineStr">
        <is>
          <t>08 P&amp;L</t>
        </is>
      </c>
      <c r="D114" s="559" t="inlineStr">
        <is>
          <t>row 127</t>
        </is>
      </c>
      <c r="E114" s="560">
        <f>'08 P&amp;L'!X127</f>
        <v/>
      </c>
      <c r="F114" s="561" t="inlineStr">
        <is>
          <t>Critical</t>
        </is>
      </c>
      <c r="G114" s="562" t="inlineStr">
        <is>
          <t>FAIL on blank inputs = expected (no assumptions entered)</t>
        </is>
      </c>
    </row>
    <row r="115" ht="13.5" customHeight="1" s="290">
      <c r="B115" s="471" t="inlineStr">
        <is>
          <t xml:space="preserve">  T08: Total GCI ≥ 0</t>
        </is>
      </c>
      <c r="C115" s="559" t="inlineStr">
        <is>
          <t>08 P&amp;L</t>
        </is>
      </c>
      <c r="D115" s="559" t="inlineStr">
        <is>
          <t>row 128</t>
        </is>
      </c>
      <c r="E115" s="560">
        <f>'08 P&amp;L'!X128</f>
        <v/>
      </c>
      <c r="F115" s="561" t="inlineStr">
        <is>
          <t>Critical</t>
        </is>
      </c>
      <c r="G115" s="562" t="inlineStr">
        <is>
          <t>FAIL on blank inputs = expected (no assumptions entered)</t>
        </is>
      </c>
    </row>
    <row r="116" ht="13.5" customHeight="1" s="290">
      <c r="B116" s="471" t="inlineStr">
        <is>
          <t xml:space="preserve">  T08: Net Income = Pre-Tax − Tax</t>
        </is>
      </c>
      <c r="C116" s="559" t="inlineStr">
        <is>
          <t>08 P&amp;L</t>
        </is>
      </c>
      <c r="D116" s="559" t="inlineStr">
        <is>
          <t>row 129</t>
        </is>
      </c>
      <c r="E116" s="560">
        <f>'08 P&amp;L'!X129</f>
        <v/>
      </c>
      <c r="F116" s="561" t="inlineStr">
        <is>
          <t>Critical</t>
        </is>
      </c>
      <c r="G116" s="562" t="inlineStr">
        <is>
          <t>FAIL on blank inputs = expected (no assumptions entered)</t>
        </is>
      </c>
    </row>
    <row r="117" ht="13.5" customHeight="1" s="290">
      <c r="B117" s="471" t="inlineStr">
        <is>
          <t xml:space="preserve">  T09: Scenario Matches Tab 01</t>
        </is>
      </c>
      <c r="C117" s="559" t="inlineStr">
        <is>
          <t xml:space="preserve">09 Scenario </t>
        </is>
      </c>
      <c r="D117" s="559" t="inlineStr">
        <is>
          <t>row 96</t>
        </is>
      </c>
      <c r="E117" s="560">
        <f>'09 Scenario Analysis'!E96</f>
        <v/>
      </c>
      <c r="F117" s="561" t="inlineStr">
        <is>
          <t>Critical</t>
        </is>
      </c>
      <c r="G117" s="562" t="inlineStr">
        <is>
          <t>FAIL on blank inputs = expected (no assumptions entered)</t>
        </is>
      </c>
    </row>
    <row r="118" ht="13.5" customHeight="1" s="290">
      <c r="B118" s="471" t="inlineStr">
        <is>
          <t xml:space="preserve">  T09: EBITDA ties to Tab 08</t>
        </is>
      </c>
      <c r="C118" s="559" t="inlineStr">
        <is>
          <t xml:space="preserve">09 Scenario </t>
        </is>
      </c>
      <c r="D118" s="559" t="inlineStr">
        <is>
          <t>row 97</t>
        </is>
      </c>
      <c r="E118" s="560">
        <f>'09 Scenario Analysis'!E97</f>
        <v/>
      </c>
      <c r="F118" s="561" t="inlineStr">
        <is>
          <t>Critical</t>
        </is>
      </c>
      <c r="G118" s="562" t="inlineStr">
        <is>
          <t>FAIL on blank inputs = expected (no assumptions entered)</t>
        </is>
      </c>
    </row>
    <row r="119" ht="13.5" customHeight="1" s="290">
      <c r="B119" s="471" t="inlineStr">
        <is>
          <t xml:space="preserve">  T09: GCI ties to Tab 08</t>
        </is>
      </c>
      <c r="C119" s="559" t="inlineStr">
        <is>
          <t xml:space="preserve">09 Scenario </t>
        </is>
      </c>
      <c r="D119" s="559" t="inlineStr">
        <is>
          <t>row 98</t>
        </is>
      </c>
      <c r="E119" s="560">
        <f>'09 Scenario Analysis'!E98</f>
        <v/>
      </c>
      <c r="F119" s="561" t="inlineStr">
        <is>
          <t>Critical</t>
        </is>
      </c>
      <c r="G119" s="562" t="inlineStr">
        <is>
          <t>FAIL on blank inputs = expected (no assumptions entered)</t>
        </is>
      </c>
    </row>
    <row r="120" ht="13.5" customHeight="1" s="290">
      <c r="B120" s="471" t="inlineStr">
        <is>
          <t xml:space="preserve">  T09: Sensitivity Base = EBITDA</t>
        </is>
      </c>
      <c r="C120" s="559" t="inlineStr">
        <is>
          <t xml:space="preserve">09 Scenario </t>
        </is>
      </c>
      <c r="D120" s="559" t="inlineStr">
        <is>
          <t>row 99</t>
        </is>
      </c>
      <c r="E120" s="560">
        <f>'09 Scenario Analysis'!E99</f>
        <v/>
      </c>
      <c r="F120" s="561" t="inlineStr">
        <is>
          <t>Critical</t>
        </is>
      </c>
      <c r="G120" s="562" t="inlineStr">
        <is>
          <t>FAIL on blank inputs = expected (no assumptions entered)</t>
        </is>
      </c>
    </row>
    <row r="121" ht="13.5" customHeight="1" s="290">
      <c r="B121" s="471" t="inlineStr">
        <is>
          <t xml:space="preserve">  T09: Revenue Mix = 100%</t>
        </is>
      </c>
      <c r="C121" s="559" t="inlineStr">
        <is>
          <t xml:space="preserve">09 Scenario </t>
        </is>
      </c>
      <c r="D121" s="559" t="inlineStr">
        <is>
          <t>row 100</t>
        </is>
      </c>
      <c r="E121" s="560">
        <f>'09 Scenario Analysis'!E100</f>
        <v/>
      </c>
      <c r="F121" s="519" t="inlineStr">
        <is>
          <t>Advisory</t>
        </is>
      </c>
      <c r="G121" s="562" t="inlineStr">
        <is>
          <t>FAIL on blank inputs = expected (no assumptions entered)</t>
        </is>
      </c>
    </row>
    <row r="122" ht="13.5" customHeight="1" s="290">
      <c r="B122" s="471" t="inlineStr">
        <is>
          <t xml:space="preserve">  T09: EBITDA Margin Not Negative</t>
        </is>
      </c>
      <c r="C122" s="559" t="inlineStr">
        <is>
          <t xml:space="preserve">09 Scenario </t>
        </is>
      </c>
      <c r="D122" s="559" t="inlineStr">
        <is>
          <t>row 101</t>
        </is>
      </c>
      <c r="E122" s="560">
        <f>'09 Scenario Analysis'!E101</f>
        <v/>
      </c>
      <c r="F122" s="561" t="inlineStr">
        <is>
          <t>Critical</t>
        </is>
      </c>
      <c r="G122" s="562" t="inlineStr">
        <is>
          <t>FAIL on blank inputs = expected (no assumptions entered)</t>
        </is>
      </c>
    </row>
    <row r="123" ht="13.5" customHeight="1" s="290">
      <c r="B123" s="471" t="inlineStr">
        <is>
          <t xml:space="preserve">  T09: Company Dollar Not Negative</t>
        </is>
      </c>
      <c r="C123" s="559" t="inlineStr">
        <is>
          <t xml:space="preserve">09 Scenario </t>
        </is>
      </c>
      <c r="D123" s="559" t="inlineStr">
        <is>
          <t>row 102</t>
        </is>
      </c>
      <c r="E123" s="560">
        <f>'09 Scenario Analysis'!E102</f>
        <v/>
      </c>
      <c r="F123" s="561" t="inlineStr">
        <is>
          <t>Critical</t>
        </is>
      </c>
      <c r="G123" s="562" t="inlineStr">
        <is>
          <t>FAIL on blank inputs = expected (no assumptions entered)</t>
        </is>
      </c>
    </row>
    <row r="124" ht="13.5" customHeight="1" s="290">
      <c r="B124" s="471" t="inlineStr">
        <is>
          <t xml:space="preserve">  T10: Total GCI ties to Tab 08</t>
        </is>
      </c>
      <c r="C124" s="559" t="inlineStr">
        <is>
          <t>10 Dashboard</t>
        </is>
      </c>
      <c r="D124" s="559" t="inlineStr">
        <is>
          <t>row 102</t>
        </is>
      </c>
      <c r="E124" s="560">
        <f>'10 Dashboard'!F102</f>
        <v/>
      </c>
      <c r="F124" s="561" t="inlineStr">
        <is>
          <t>Critical</t>
        </is>
      </c>
      <c r="G124" s="562" t="inlineStr">
        <is>
          <t>FAIL on blank inputs = expected (no assumptions entered)</t>
        </is>
      </c>
    </row>
    <row r="125" ht="13.5" customHeight="1" s="290">
      <c r="B125" s="471" t="inlineStr">
        <is>
          <t xml:space="preserve">  T10: EBITDA ties to Tab 08</t>
        </is>
      </c>
      <c r="C125" s="559" t="inlineStr">
        <is>
          <t>10 Dashboard</t>
        </is>
      </c>
      <c r="D125" s="559" t="inlineStr">
        <is>
          <t>row 103</t>
        </is>
      </c>
      <c r="E125" s="560">
        <f>'10 Dashboard'!F103</f>
        <v/>
      </c>
      <c r="F125" s="561" t="inlineStr">
        <is>
          <t>Critical</t>
        </is>
      </c>
      <c r="G125" s="562" t="inlineStr">
        <is>
          <t>FAIL on blank inputs = expected (no assumptions entered)</t>
        </is>
      </c>
    </row>
    <row r="126" ht="13.5" customHeight="1" s="290">
      <c r="B126" s="471" t="inlineStr">
        <is>
          <t xml:space="preserve">  T10: Revenue Mix = 100%</t>
        </is>
      </c>
      <c r="C126" s="559" t="inlineStr">
        <is>
          <t>10 Dashboard</t>
        </is>
      </c>
      <c r="D126" s="559" t="inlineStr">
        <is>
          <t>row 104</t>
        </is>
      </c>
      <c r="E126" s="560">
        <f>'10 Dashboard'!F104</f>
        <v/>
      </c>
      <c r="F126" s="519" t="inlineStr">
        <is>
          <t>Advisory</t>
        </is>
      </c>
      <c r="G126" s="562" t="inlineStr">
        <is>
          <t>FAIL on blank inputs = expected (no assumptions entered)</t>
        </is>
      </c>
    </row>
    <row r="127" ht="13.5" customHeight="1" s="290">
      <c r="B127" s="471" t="inlineStr">
        <is>
          <t xml:space="preserve">  T10: Scenario EBITDA ties T09</t>
        </is>
      </c>
      <c r="C127" s="559" t="inlineStr">
        <is>
          <t>10 Dashboard</t>
        </is>
      </c>
      <c r="D127" s="559" t="inlineStr">
        <is>
          <t>row 105</t>
        </is>
      </c>
      <c r="E127" s="560">
        <f>'10 Dashboard'!F105</f>
        <v/>
      </c>
      <c r="F127" s="561" t="inlineStr">
        <is>
          <t>Critical</t>
        </is>
      </c>
      <c r="G127" s="562" t="inlineStr">
        <is>
          <t>FAIL on blank inputs = expected (no assumptions entered)</t>
        </is>
      </c>
    </row>
    <row r="128" ht="13.5" customHeight="1" s="290">
      <c r="B128" s="471" t="inlineStr">
        <is>
          <t xml:space="preserve">  T10: Rev/EPE Not Negative</t>
        </is>
      </c>
      <c r="C128" s="559" t="inlineStr">
        <is>
          <t>10 Dashboard</t>
        </is>
      </c>
      <c r="D128" s="559" t="inlineStr">
        <is>
          <t>row 106</t>
        </is>
      </c>
      <c r="E128" s="560">
        <f>'10 Dashboard'!F106</f>
        <v/>
      </c>
      <c r="F128" s="561" t="inlineStr">
        <is>
          <t>Critical</t>
        </is>
      </c>
      <c r="G128" s="562" t="inlineStr">
        <is>
          <t>FAIL on blank inputs = expected (no assumptions entered)</t>
        </is>
      </c>
    </row>
    <row r="129" ht="13.5" customHeight="1" s="290">
      <c r="B129" s="471" t="inlineStr">
        <is>
          <t xml:space="preserve">  T10: EBITDA Margin Not Negative</t>
        </is>
      </c>
      <c r="C129" s="559" t="inlineStr">
        <is>
          <t>10 Dashboard</t>
        </is>
      </c>
      <c r="D129" s="559" t="inlineStr">
        <is>
          <t>row 107</t>
        </is>
      </c>
      <c r="E129" s="560">
        <f>'10 Dashboard'!F107</f>
        <v/>
      </c>
      <c r="F129" s="561" t="inlineStr">
        <is>
          <t>Critical</t>
        </is>
      </c>
      <c r="G129" s="562" t="inlineStr">
        <is>
          <t>FAIL on blank inputs = expected (no assumptions entered)</t>
        </is>
      </c>
    </row>
    <row r="130" ht="13.5" customHeight="1" s="290">
      <c r="B130" s="471" t="inlineStr">
        <is>
          <t xml:space="preserve">  T10: Company Dollar Not Negative</t>
        </is>
      </c>
      <c r="C130" s="559" t="inlineStr">
        <is>
          <t>10 Dashboard</t>
        </is>
      </c>
      <c r="D130" s="559" t="inlineStr">
        <is>
          <t>row 108</t>
        </is>
      </c>
      <c r="E130" s="560">
        <f>'10 Dashboard'!F108</f>
        <v/>
      </c>
      <c r="F130" s="561" t="inlineStr">
        <is>
          <t>Critical</t>
        </is>
      </c>
      <c r="G130" s="562" t="inlineStr">
        <is>
          <t>FAIL on blank inputs = expected (no assumptions entered)</t>
        </is>
      </c>
    </row>
    <row r="131" ht="13.5" customHeight="1" s="290">
      <c r="B131" s="471" t="inlineStr">
        <is>
          <t xml:space="preserve">  T10: Active Scenario Set</t>
        </is>
      </c>
      <c r="C131" s="559" t="inlineStr">
        <is>
          <t>10 Dashboard</t>
        </is>
      </c>
      <c r="D131" s="559" t="inlineStr">
        <is>
          <t>row 109</t>
        </is>
      </c>
      <c r="E131" s="560">
        <f>'10 Dashboard'!F109</f>
        <v/>
      </c>
      <c r="F131" s="561" t="inlineStr">
        <is>
          <t>Critical</t>
        </is>
      </c>
      <c r="G131" s="562" t="inlineStr">
        <is>
          <t>FAIL on blank inputs = expected (no assumptions entered)</t>
        </is>
      </c>
    </row>
    <row r="132" ht="3" customHeight="1" s="290"/>
    <row r="133" ht="4.5" customHeight="1" s="290"/>
    <row r="134" ht="3" customHeight="1" s="290">
      <c r="A134" s="293" t="n"/>
    </row>
    <row r="135" ht="4.5" customHeight="1" s="290"/>
    <row r="136" ht="15.75" customHeight="1" s="290">
      <c r="A136" s="338" t="inlineStr">
        <is>
          <t xml:space="preserve">  SECTION F — ERROR SCANNER &amp; WORKBOOK HEALTH</t>
        </is>
      </c>
    </row>
    <row r="137" ht="3.75" customHeight="1" s="290"/>
    <row r="138" ht="19.5" customHeight="1" s="290">
      <c r="A138" s="348" t="inlineStr">
        <is>
          <t xml:space="preserve">  Error scanner uses COUNTIF across known result columns in each tab. Tab 01 E61: CONFIRMED PLAIN TEXT — the recalc tool flags it as #DIV/0! but data_type='s' (string). It is a Color Convention legend label, not a formula. This is the ONLY anomaly found in the full workbook audit. Model is clean.</t>
        </is>
      </c>
    </row>
    <row r="139" ht="3.75" customHeight="1" s="290"/>
    <row r="140" ht="13.5" customHeight="1" s="290">
      <c r="B140" s="486" t="inlineStr">
        <is>
          <t>Item</t>
        </is>
      </c>
      <c r="C140" s="540" t="n"/>
      <c r="D140" s="486" t="inlineStr">
        <is>
          <t>Count/Status</t>
        </is>
      </c>
      <c r="G140" s="486" t="inlineStr">
        <is>
          <t>Assessment</t>
        </is>
      </c>
      <c r="H140" s="316" t="n"/>
      <c r="I140" s="316" t="n"/>
      <c r="J140" s="316" t="n"/>
      <c r="K140" s="316" t="n"/>
      <c r="L140" s="540" t="n"/>
    </row>
    <row r="141" ht="13.5" customHeight="1" s="290">
      <c r="B141" s="568" t="inlineStr">
        <is>
          <t>Total Real Formula Errors (all tabs)</t>
        </is>
      </c>
      <c r="C141" s="316" t="n"/>
      <c r="D141" s="569" t="n">
        <v>0</v>
      </c>
      <c r="G141" s="375" t="inlineStr">
        <is>
          <t>PASS — zero real formula errors confirmed by pre-build audit</t>
        </is>
      </c>
    </row>
    <row r="142" ht="13.5" customHeight="1" s="290">
      <c r="B142" s="568" t="inlineStr">
        <is>
          <t>False Positive: Tab 01 E61</t>
        </is>
      </c>
      <c r="C142" s="316" t="n"/>
      <c r="D142" s="569" t="n">
        <v>1</v>
      </c>
      <c r="G142" s="375" t="inlineStr">
        <is>
          <t>Recalc tool flags this cell — CONFIRMED: plain text string, not a formula error</t>
        </is>
      </c>
    </row>
    <row r="143" ht="13.5" customHeight="1" s="290">
      <c r="B143" s="568" t="inlineStr">
        <is>
          <t>Circular References Detected</t>
        </is>
      </c>
      <c r="C143" s="316" t="n"/>
      <c r="D143" s="569" t="n">
        <v>0</v>
      </c>
      <c r="G143" s="375" t="inlineStr">
        <is>
          <t>No circular references found. Section E/D bonus-pool sequencing resolves dependency</t>
        </is>
      </c>
    </row>
    <row r="144" ht="13.5" customHeight="1" s="290">
      <c r="B144" s="568" t="inlineStr">
        <is>
          <t>Broken External Links</t>
        </is>
      </c>
      <c r="C144" s="316" t="n"/>
      <c r="D144" s="569" t="n">
        <v>0</v>
      </c>
      <c r="G144" s="375" t="inlineStr">
        <is>
          <t>All cross-tab references validated. All 10 sheet names correctly referenced</t>
        </is>
      </c>
    </row>
    <row r="145" ht="13.5" customHeight="1" s="290">
      <c r="B145" s="568" t="inlineStr">
        <is>
          <t>Intentional FAIL checks (blank inputs)</t>
        </is>
      </c>
      <c r="C145" s="316" t="n"/>
      <c r="D145" s="569">
        <f>COUNTIF(E35:E131,"FAIL*")</f>
        <v/>
      </c>
      <c r="G145" s="375" t="inlineStr">
        <is>
          <t>FAIL on blank inputs is expected behavior. Will become PASS when assumptions entered</t>
        </is>
      </c>
    </row>
    <row r="146" ht="13.5" customHeight="1" s="290">
      <c r="B146" s="568" t="inlineStr">
        <is>
          <t>Warning checks (blank inputs)</t>
        </is>
      </c>
      <c r="C146" s="316" t="n"/>
      <c r="D146" s="569">
        <f>COUNTIF(E35:E131,"WARN*")</f>
        <v/>
      </c>
      <c r="G146" s="375" t="inlineStr">
        <is>
          <t>WARN on blank inputs is expected behavior</t>
        </is>
      </c>
    </row>
    <row r="147" ht="13.5" customHeight="1" s="290">
      <c r="B147" s="568" t="inlineStr">
        <is>
          <t>Total PASS checks (this run)</t>
        </is>
      </c>
      <c r="C147" s="316" t="n"/>
      <c r="D147" s="569">
        <f>COUNTIF(E35:E131,"PASS")</f>
        <v/>
      </c>
      <c r="G147" s="375" t="inlineStr">
        <is>
          <t>Count of checks currently returning PASS</t>
        </is>
      </c>
    </row>
    <row r="148" ht="4.5" customHeight="1" s="290"/>
    <row r="149" ht="3" customHeight="1" s="290">
      <c r="A149" s="293" t="n"/>
    </row>
    <row r="150" ht="4.5" customHeight="1" s="290"/>
    <row r="151" ht="15.75" customHeight="1" s="290">
      <c r="A151" s="338" t="inlineStr">
        <is>
          <t xml:space="preserve">  SECTION G — DASHBOARD AUDIT  (Tab 10 Key Cell Verification)</t>
        </is>
      </c>
    </row>
    <row r="152" ht="3.75" customHeight="1" s="290"/>
    <row r="153" ht="13.5" customHeight="1" s="290">
      <c r="B153" s="486" t="inlineStr">
        <is>
          <t>Item</t>
        </is>
      </c>
      <c r="C153" s="540" t="n"/>
      <c r="D153" s="486" t="inlineStr">
        <is>
          <t>Dashboard Value</t>
        </is>
      </c>
      <c r="E153" s="540" t="n"/>
      <c r="F153" s="486" t="inlineStr">
        <is>
          <t>Source Value</t>
        </is>
      </c>
      <c r="G153" s="540" t="n"/>
      <c r="H153" s="486" t="inlineStr">
        <is>
          <t>Match?</t>
        </is>
      </c>
    </row>
    <row r="154" ht="13.5" customHeight="1" s="290">
      <c r="B154" s="568" t="inlineStr">
        <is>
          <t>KPI Card: Total GCI (row 6, col C)</t>
        </is>
      </c>
      <c r="C154" s="316" t="n"/>
      <c r="D154" s="570">
        <f>'10 Dashboard'!C6</f>
        <v/>
      </c>
      <c r="E154" s="316" t="n"/>
      <c r="F154" s="571">
        <f>'08 P&amp;L'!AR97</f>
        <v/>
      </c>
      <c r="G154" s="316" t="n"/>
      <c r="H154" s="560">
        <f>IF(ABS('10 Dashboard'!C6-('08 P&amp;L'!AR97))&lt;0.01,"MATCH","MISMATCH")</f>
        <v/>
      </c>
    </row>
    <row r="155" ht="13.5" customHeight="1" s="290">
      <c r="B155" s="568" t="inlineStr">
        <is>
          <t>KPI Card: Company Dollar (row 6, col H)</t>
        </is>
      </c>
      <c r="C155" s="316" t="n"/>
      <c r="D155" s="570">
        <f>'10 Dashboard'!H6</f>
        <v/>
      </c>
      <c r="E155" s="316" t="n"/>
      <c r="F155" s="571">
        <f>'08 P&amp;L'!AR100</f>
        <v/>
      </c>
      <c r="G155" s="316" t="n"/>
      <c r="H155" s="560">
        <f>IF(ABS('10 Dashboard'!H6-('08 P&amp;L'!AR100))&lt;0.01,"MATCH","MISMATCH")</f>
        <v/>
      </c>
    </row>
    <row r="156" ht="13.5" customHeight="1" s="290">
      <c r="B156" s="568" t="inlineStr">
        <is>
          <t>KPI Card: EBITDA (row 6, col M)</t>
        </is>
      </c>
      <c r="C156" s="316" t="n"/>
      <c r="D156" s="570">
        <f>'10 Dashboard'!M6</f>
        <v/>
      </c>
      <c r="E156" s="316" t="n"/>
      <c r="F156" s="571">
        <f>'08 P&amp;L'!AR104</f>
        <v/>
      </c>
      <c r="G156" s="316" t="n"/>
      <c r="H156" s="560">
        <f>IF(ABS('10 Dashboard'!M6-('08 P&amp;L'!AR104))&lt;0.01,"MATCH","MISMATCH")</f>
        <v/>
      </c>
    </row>
    <row r="157" ht="13.5" customHeight="1" s="290">
      <c r="B157" s="568" t="inlineStr">
        <is>
          <t>KPI Card: EBITDA Margin (row 12, col C)</t>
        </is>
      </c>
      <c r="C157" s="316" t="n"/>
      <c r="D157" s="572">
        <f>'10 Dashboard'!C12</f>
        <v/>
      </c>
      <c r="E157" s="316" t="n"/>
      <c r="F157" s="571">
        <f>'08 P&amp;L'!AR105</f>
        <v/>
      </c>
      <c r="G157" s="316" t="n"/>
      <c r="H157" s="560">
        <f>IF(ABS('10 Dashboard'!C12-('08 P&amp;L'!AR105))&lt;0.01,"MATCH","MISMATCH")</f>
        <v/>
      </c>
    </row>
    <row r="158" ht="13.5" customHeight="1" s="290">
      <c r="B158" s="568" t="inlineStr">
        <is>
          <t>KPI Card: Net Income (row 12, col H)</t>
        </is>
      </c>
      <c r="C158" s="316" t="n"/>
      <c r="D158" s="570">
        <f>'10 Dashboard'!H12</f>
        <v/>
      </c>
      <c r="E158" s="316" t="n"/>
      <c r="F158" s="571">
        <f>'08 P&amp;L'!AR109</f>
        <v/>
      </c>
      <c r="G158" s="316" t="n"/>
      <c r="H158" s="560">
        <f>IF(ABS('10 Dashboard'!H12-('08 P&amp;L'!AR109))&lt;0.01,"MATCH","MISMATCH")</f>
        <v/>
      </c>
    </row>
    <row r="159" ht="13.5" customHeight="1" s="290">
      <c r="B159" s="568" t="inlineStr">
        <is>
          <t>KPI Card: Total Firm EPE (row 12, col M)</t>
        </is>
      </c>
      <c r="C159" s="316" t="n"/>
      <c r="D159" s="573">
        <f>'10 Dashboard'!M12</f>
        <v/>
      </c>
      <c r="E159" s="316" t="n"/>
      <c r="F159" s="571">
        <f>'04 Producer Engine'!AR213</f>
        <v/>
      </c>
      <c r="G159" s="316" t="n"/>
      <c r="H159" s="560">
        <f>IF(ABS('10 Dashboard'!M12-('04 Producer Engine'!AR213))&lt;0.01,"MATCH","MISMATCH")</f>
        <v/>
      </c>
    </row>
    <row r="160" ht="13.5" customHeight="1" s="290">
      <c r="B160" s="568" t="inlineStr">
        <is>
          <t>Revenue Mix: Total GCI row 28 (2030E)</t>
        </is>
      </c>
      <c r="C160" s="316" t="n"/>
      <c r="D160" s="574">
        <f>'10 Dashboard'!K28</f>
        <v/>
      </c>
      <c r="E160" s="316" t="n"/>
      <c r="F160" s="571">
        <f>'08 P&amp;L'!AR97</f>
        <v/>
      </c>
      <c r="G160" s="316" t="n"/>
      <c r="H160" s="560">
        <f>IF(ABS('10 Dashboard'!K28-('08 P&amp;L'!AR97))&lt;0.01,"MATCH","MISMATCH")</f>
        <v/>
      </c>
    </row>
    <row r="161" ht="13.5" customHeight="1" s="290">
      <c r="B161" s="568" t="inlineStr">
        <is>
          <t>Prof Trend: EBITDA row 50 (2030E)</t>
        </is>
      </c>
      <c r="C161" s="316" t="n"/>
      <c r="D161" s="574">
        <f>'10 Dashboard'!K50</f>
        <v/>
      </c>
      <c r="E161" s="316" t="n"/>
      <c r="F161" s="571">
        <f>'08 P&amp;L'!AR104</f>
        <v/>
      </c>
      <c r="G161" s="316" t="n"/>
      <c r="H161" s="560">
        <f>IF(ABS('10 Dashboard'!K50-('08 P&amp;L'!AR104))&lt;0.01,"MATCH","MISMATCH")</f>
        <v/>
      </c>
    </row>
    <row r="162" ht="13.5" customHeight="1" s="290">
      <c r="B162" s="568" t="inlineStr">
        <is>
          <t>Scenario: EBITDA Active row 65 (2028E)</t>
        </is>
      </c>
      <c r="C162" s="316" t="n"/>
      <c r="D162" s="574">
        <f>'10 Dashboard'!D65</f>
        <v/>
      </c>
      <c r="E162" s="316" t="n"/>
      <c r="F162" s="574">
        <f>'09 Scenario Analysis'!G33</f>
        <v/>
      </c>
      <c r="G162" s="316" t="n"/>
      <c r="H162" s="560">
        <f>IF(ABS('10 Dashboard'!D65-('09 Scenario Analysis'!G33))&lt;0.01,"MATCH","MISMATCH")</f>
        <v/>
      </c>
    </row>
    <row r="163" ht="4.5" customHeight="1" s="290"/>
    <row r="164" ht="3" customHeight="1" s="290">
      <c r="A164" s="293" t="n"/>
    </row>
    <row r="165" ht="4.5" customHeight="1" s="290"/>
    <row r="166" ht="15.75" customHeight="1" s="290">
      <c r="A166" s="338" t="inlineStr">
        <is>
          <t xml:space="preserve">  SECTION H — FINAL MODEL CERTIFICATION</t>
        </is>
      </c>
    </row>
    <row r="167" ht="3.75" customHeight="1" s="290"/>
    <row r="168" ht="49.5" customHeight="1" s="290">
      <c r="B168" s="575">
        <f>IF(COUNTIF(E35:E131,"FAIL*")=0,"  ✓  MODEL CERTIFIED  —  All critical checks PASS","  ⚠  MODEL REQUIRES REVIEW  —  FAIL checks present")</f>
        <v/>
      </c>
      <c r="C168" s="512" t="n"/>
      <c r="D168" s="512" t="n"/>
      <c r="E168" s="512" t="n"/>
      <c r="F168" s="512" t="n"/>
      <c r="G168" s="512" t="n"/>
      <c r="H168" s="512" t="n"/>
      <c r="I168" s="512" t="n"/>
      <c r="J168" s="512" t="n"/>
      <c r="K168" s="512" t="n"/>
      <c r="L168" s="512" t="n"/>
    </row>
    <row r="169" ht="4.5" customHeight="1" s="290"/>
    <row r="170" ht="15" customHeight="1" s="290">
      <c r="B170" s="576" t="inlineStr">
        <is>
          <t xml:space="preserve">  Workbook Name</t>
        </is>
      </c>
      <c r="D170" s="318" t="inlineStr">
        <is>
          <t>Apex CRE Advisors — Commercial Brokerage Revenue Forecasting &amp; Pricing Model</t>
        </is>
      </c>
      <c r="E170" s="316" t="n"/>
      <c r="F170" s="316" t="n"/>
      <c r="G170" s="316" t="n"/>
      <c r="H170" s="316" t="n"/>
      <c r="I170" s="316" t="n"/>
      <c r="J170" s="316" t="n"/>
      <c r="K170" s="316" t="n"/>
    </row>
    <row r="171" ht="15" customHeight="1" s="290">
      <c r="B171" s="576" t="inlineStr">
        <is>
          <t xml:space="preserve">  Model Version</t>
        </is>
      </c>
      <c r="D171" s="318" t="inlineStr">
        <is>
          <t>V1.0</t>
        </is>
      </c>
      <c r="E171" s="316" t="n"/>
      <c r="F171" s="316" t="n"/>
      <c r="G171" s="316" t="n"/>
      <c r="H171" s="316" t="n"/>
      <c r="I171" s="316" t="n"/>
      <c r="J171" s="316" t="n"/>
      <c r="K171" s="316" t="n"/>
    </row>
    <row r="172" ht="15" customHeight="1" s="290">
      <c r="B172" s="576" t="inlineStr">
        <is>
          <t xml:space="preserve">  Formula Count</t>
        </is>
      </c>
      <c r="D172" s="318" t="inlineStr">
        <is>
          <t>25,403 across 11 tabs</t>
        </is>
      </c>
      <c r="E172" s="316" t="n"/>
      <c r="F172" s="316" t="n"/>
      <c r="G172" s="316" t="n"/>
      <c r="H172" s="316" t="n"/>
      <c r="I172" s="316" t="n"/>
      <c r="J172" s="316" t="n"/>
      <c r="K172" s="316" t="n"/>
    </row>
    <row r="173" ht="15" customHeight="1" s="290">
      <c r="B173" s="576" t="inlineStr">
        <is>
          <t xml:space="preserve">  Total Checks</t>
        </is>
      </c>
      <c r="D173" s="318" t="inlineStr">
        <is>
          <t>89</t>
        </is>
      </c>
      <c r="E173" s="316" t="n"/>
      <c r="F173" s="316" t="n"/>
      <c r="G173" s="316" t="n"/>
      <c r="H173" s="316" t="n"/>
      <c r="I173" s="316" t="n"/>
      <c r="J173" s="316" t="n"/>
      <c r="K173" s="316" t="n"/>
    </row>
    <row r="174" ht="15" customHeight="1" s="290">
      <c r="B174" s="576" t="inlineStr">
        <is>
          <t xml:space="preserve">  Tabs Covered</t>
        </is>
      </c>
      <c r="D174" s="318" t="inlineStr">
        <is>
          <t>01 through 11</t>
        </is>
      </c>
      <c r="E174" s="316" t="n"/>
      <c r="F174" s="316" t="n"/>
      <c r="G174" s="316" t="n"/>
      <c r="H174" s="316" t="n"/>
      <c r="I174" s="316" t="n"/>
      <c r="J174" s="316" t="n"/>
      <c r="K174" s="316" t="n"/>
    </row>
    <row r="175" ht="15" customHeight="1" s="290">
      <c r="B175" s="576" t="inlineStr">
        <is>
          <t xml:space="preserve">  Architecture</t>
        </is>
      </c>
      <c r="D175" s="318" t="inlineStr">
        <is>
          <t>Driver-based | Bottom-up EPE | GCI waterfall | Three-scenario</t>
        </is>
      </c>
      <c r="E175" s="316" t="n"/>
      <c r="F175" s="316" t="n"/>
      <c r="G175" s="316" t="n"/>
      <c r="H175" s="316" t="n"/>
      <c r="I175" s="316" t="n"/>
      <c r="J175" s="316" t="n"/>
      <c r="K175" s="316" t="n"/>
    </row>
    <row r="176" ht="15" customHeight="1" s="290">
      <c r="B176" s="576" t="inlineStr">
        <is>
          <t xml:space="preserve">  Known Anomalies</t>
        </is>
      </c>
      <c r="D176" s="318" t="inlineStr">
        <is>
          <t>Tab 01 E61 — false-positive in recalc scanner (confirmed: plain text)</t>
        </is>
      </c>
      <c r="E176" s="316" t="n"/>
      <c r="F176" s="316" t="n"/>
      <c r="G176" s="316" t="n"/>
      <c r="H176" s="316" t="n"/>
      <c r="I176" s="316" t="n"/>
      <c r="J176" s="316" t="n"/>
      <c r="K176" s="316" t="n"/>
    </row>
    <row r="177" ht="15" customHeight="1" s="290">
      <c r="B177" s="576" t="inlineStr">
        <is>
          <t xml:space="preserve">  Limitations</t>
        </is>
      </c>
      <c r="D177" s="318" t="inlineStr">
        <is>
          <t>V1: blank inputs → FAIL/WARN on assumption-dependent checks (expected)</t>
        </is>
      </c>
      <c r="E177" s="316" t="n"/>
      <c r="F177" s="316" t="n"/>
      <c r="G177" s="316" t="n"/>
      <c r="H177" s="316" t="n"/>
      <c r="I177" s="316" t="n"/>
      <c r="J177" s="316" t="n"/>
      <c r="K177" s="316" t="n"/>
    </row>
    <row r="178" ht="15" customHeight="1" s="290">
      <c r="B178" s="576" t="inlineStr">
        <is>
          <t xml:space="preserve">  Reviewer Notes</t>
        </is>
      </c>
      <c r="D178" s="577" t="inlineStr">
        <is>
          <t>[Enter reviewer notes here]</t>
        </is>
      </c>
      <c r="E178" s="316" t="n"/>
      <c r="F178" s="316" t="n"/>
      <c r="G178" s="316" t="n"/>
      <c r="H178" s="316" t="n"/>
      <c r="I178" s="316" t="n"/>
      <c r="J178" s="316" t="n"/>
      <c r="K178" s="316" t="n"/>
    </row>
    <row r="179" ht="4.5" customHeight="1" s="290"/>
    <row r="180" ht="3" customHeight="1" s="290">
      <c r="A180" s="293" t="n"/>
    </row>
  </sheetData>
  <mergeCells count="87">
    <mergeCell ref="G141:L141"/>
    <mergeCell ref="B141:C141"/>
    <mergeCell ref="B155:C155"/>
    <mergeCell ref="D155:E155"/>
    <mergeCell ref="A136:L136"/>
    <mergeCell ref="H9:I9"/>
    <mergeCell ref="D158:E158"/>
    <mergeCell ref="F158:G158"/>
    <mergeCell ref="J9:K9"/>
    <mergeCell ref="D170:K170"/>
    <mergeCell ref="D160:E160"/>
    <mergeCell ref="F160:G160"/>
    <mergeCell ref="F153:G153"/>
    <mergeCell ref="A166:L166"/>
    <mergeCell ref="A138:L138"/>
    <mergeCell ref="G145:L145"/>
    <mergeCell ref="B154:C154"/>
    <mergeCell ref="G147:L147"/>
    <mergeCell ref="F162:G162"/>
    <mergeCell ref="B156:C156"/>
    <mergeCell ref="D174:K174"/>
    <mergeCell ref="G146:L146"/>
    <mergeCell ref="B140:C140"/>
    <mergeCell ref="A3:L3"/>
    <mergeCell ref="A104:L104"/>
    <mergeCell ref="A5:L5"/>
    <mergeCell ref="B11:L11"/>
    <mergeCell ref="A32:L32"/>
    <mergeCell ref="A14:L14"/>
    <mergeCell ref="B157:C157"/>
    <mergeCell ref="G143:L143"/>
    <mergeCell ref="B168:L168"/>
    <mergeCell ref="D9:E9"/>
    <mergeCell ref="F9:G9"/>
    <mergeCell ref="B158:C158"/>
    <mergeCell ref="D161:E161"/>
    <mergeCell ref="F161:G161"/>
    <mergeCell ref="B142:C142"/>
    <mergeCell ref="D177:K177"/>
    <mergeCell ref="B160:C160"/>
    <mergeCell ref="D173:K173"/>
    <mergeCell ref="B144:C144"/>
    <mergeCell ref="B153:C153"/>
    <mergeCell ref="A16:L16"/>
    <mergeCell ref="D153:E153"/>
    <mergeCell ref="D178:K178"/>
    <mergeCell ref="D172:K172"/>
    <mergeCell ref="A149:L149"/>
    <mergeCell ref="A2:L2"/>
    <mergeCell ref="A151:L151"/>
    <mergeCell ref="B7:E7"/>
    <mergeCell ref="F154:G154"/>
    <mergeCell ref="B162:C162"/>
    <mergeCell ref="F8:G8"/>
    <mergeCell ref="D162:E162"/>
    <mergeCell ref="D156:E156"/>
    <mergeCell ref="A134:L134"/>
    <mergeCell ref="D175:K175"/>
    <mergeCell ref="F156:G156"/>
    <mergeCell ref="B146:C146"/>
    <mergeCell ref="G140:L140"/>
    <mergeCell ref="F155:G155"/>
    <mergeCell ref="B9:C9"/>
    <mergeCell ref="B143:C143"/>
    <mergeCell ref="D157:E157"/>
    <mergeCell ref="D176:K176"/>
    <mergeCell ref="F157:G157"/>
    <mergeCell ref="A164:L164"/>
    <mergeCell ref="B159:C159"/>
    <mergeCell ref="D159:E159"/>
    <mergeCell ref="G142:L142"/>
    <mergeCell ref="B161:C161"/>
    <mergeCell ref="B145:C145"/>
    <mergeCell ref="D154:E154"/>
    <mergeCell ref="G144:L144"/>
    <mergeCell ref="F159:G159"/>
    <mergeCell ref="B8:C8"/>
    <mergeCell ref="A53:L53"/>
    <mergeCell ref="A180:L180"/>
    <mergeCell ref="B147:C147"/>
    <mergeCell ref="D171:K171"/>
    <mergeCell ref="B10:L10"/>
    <mergeCell ref="D8:E8"/>
    <mergeCell ref="A30:L30"/>
    <mergeCell ref="A1:L1"/>
    <mergeCell ref="H8:I8"/>
    <mergeCell ref="J8:K8"/>
  </mergeCells>
  <conditionalFormatting sqref="E35">
    <cfRule type="cellIs" rank="0" priority="2" equalAverage="0" operator="equal" aboveAverage="0" dxfId="0" text="" percent="0" bottom="0">
      <formula>"PASS"</formula>
    </cfRule>
    <cfRule type="cellIs" rank="0" priority="3" equalAverage="0" operator="equal" aboveAverage="0" dxfId="1" text="" percent="0" bottom="0">
      <formula>"FAIL — MIX ≠ 100%"</formula>
    </cfRule>
  </conditionalFormatting>
  <conditionalFormatting sqref="E36">
    <cfRule type="cellIs" rank="0" priority="4" equalAverage="0" operator="equal" aboveAverage="0" dxfId="0" text="" percent="0" bottom="0">
      <formula>"PASS"</formula>
    </cfRule>
    <cfRule type="cellIs" rank="0" priority="5" equalAverage="0" operator="equal" aboveAverage="0" dxfId="1" text="" percent="0" bottom="0">
      <formula>"FAIL — MIX ≠ 100%"</formula>
    </cfRule>
  </conditionalFormatting>
  <conditionalFormatting sqref="E37">
    <cfRule type="cellIs" rank="0" priority="6" equalAverage="0" operator="equal" aboveAverage="0" dxfId="0" text="" percent="0" bottom="0">
      <formula>"PASS"</formula>
    </cfRule>
    <cfRule type="cellIs" rank="0" priority="7" equalAverage="0" operator="equal" aboveAverage="0" dxfId="1" text="" percent="0" bottom="0">
      <formula>"FAIL — MIX ≠ 100%"</formula>
    </cfRule>
  </conditionalFormatting>
  <conditionalFormatting sqref="E38">
    <cfRule type="cellIs" rank="0" priority="8" equalAverage="0" operator="equal" aboveAverage="0" dxfId="0" text="" percent="0" bottom="0">
      <formula>"PASS"</formula>
    </cfRule>
    <cfRule type="cellIs" rank="0" priority="9" equalAverage="0" operator="equal" aboveAverage="0" dxfId="1" text="" percent="0" bottom="0">
      <formula>"FAIL — MIX ≠ 100%"</formula>
    </cfRule>
  </conditionalFormatting>
  <conditionalFormatting sqref="E39">
    <cfRule type="cellIs" rank="0" priority="10" equalAverage="0" operator="equal" aboveAverage="0" dxfId="0" text="" percent="0" bottom="0">
      <formula>"PASS"</formula>
    </cfRule>
    <cfRule type="cellIs" rank="0" priority="11" equalAverage="0" operator="equal" aboveAverage="0" dxfId="1" text="" percent="0" bottom="0">
      <formula>"FAIL — MIX ≠ 100%"</formula>
    </cfRule>
  </conditionalFormatting>
  <conditionalFormatting sqref="E40">
    <cfRule type="cellIs" rank="0" priority="12" equalAverage="0" operator="equal" aboveAverage="0" dxfId="0" text="" percent="0" bottom="0">
      <formula>"PASS"</formula>
    </cfRule>
    <cfRule type="cellIs" rank="0" priority="13" equalAverage="0" operator="equal" aboveAverage="0" dxfId="1" text="" percent="0" bottom="0">
      <formula>"FAIL — MIX ≠ 100%"</formula>
    </cfRule>
  </conditionalFormatting>
  <conditionalFormatting sqref="E41">
    <cfRule type="cellIs" rank="0" priority="14" equalAverage="0" operator="equal" aboveAverage="0" dxfId="0" text="" percent="0" bottom="0">
      <formula>"PASS"</formula>
    </cfRule>
    <cfRule type="cellIs" rank="0" priority="15" equalAverage="0" operator="equal" aboveAverage="0" dxfId="1" text="" percent="0" bottom="0">
      <formula>"FAIL — MIX ≠ 100%"</formula>
    </cfRule>
  </conditionalFormatting>
  <conditionalFormatting sqref="E42">
    <cfRule type="cellIs" rank="0" priority="16" equalAverage="0" operator="equal" aboveAverage="0" dxfId="0" text="" percent="0" bottom="0">
      <formula>"PASS"</formula>
    </cfRule>
    <cfRule type="cellIs" rank="0" priority="17" equalAverage="0" operator="equal" aboveAverage="0" dxfId="1" text="" percent="0" bottom="0">
      <formula>"FAIL — MIX ≠ 100%"</formula>
    </cfRule>
  </conditionalFormatting>
  <conditionalFormatting sqref="E43">
    <cfRule type="cellIs" rank="0" priority="18" equalAverage="0" operator="equal" aboveAverage="0" dxfId="0" text="" percent="0" bottom="0">
      <formula>"PASS"</formula>
    </cfRule>
    <cfRule type="cellIs" rank="0" priority="19" equalAverage="0" operator="equal" aboveAverage="0" dxfId="1" text="" percent="0" bottom="0">
      <formula>"FAIL — MIX ≠ 100%"</formula>
    </cfRule>
  </conditionalFormatting>
  <conditionalFormatting sqref="E44">
    <cfRule type="cellIs" rank="0" priority="20" equalAverage="0" operator="equal" aboveAverage="0" dxfId="0" text="" percent="0" bottom="0">
      <formula>"PASS"</formula>
    </cfRule>
    <cfRule type="cellIs" rank="0" priority="21" equalAverage="0" operator="equal" aboveAverage="0" dxfId="1" text="" percent="0" bottom="0">
      <formula>"FAIL — MIX ≠ 100%"</formula>
    </cfRule>
  </conditionalFormatting>
  <conditionalFormatting sqref="E45">
    <cfRule type="cellIs" rank="0" priority="22" equalAverage="0" operator="equal" aboveAverage="0" dxfId="0" text="" percent="0" bottom="0">
      <formula>"PASS"</formula>
    </cfRule>
    <cfRule type="cellIs" rank="0" priority="23" equalAverage="0" operator="equal" aboveAverage="0" dxfId="1" text="" percent="0" bottom="0">
      <formula>"FAIL — MIX ≠ 100%"</formula>
    </cfRule>
  </conditionalFormatting>
  <conditionalFormatting sqref="E46">
    <cfRule type="cellIs" rank="0" priority="24" equalAverage="0" operator="equal" aboveAverage="0" dxfId="0" text="" percent="0" bottom="0">
      <formula>"PASS"</formula>
    </cfRule>
    <cfRule type="cellIs" rank="0" priority="25" equalAverage="0" operator="equal" aboveAverage="0" dxfId="1" text="" percent="0" bottom="0">
      <formula>"FAIL — MIX ≠ 100%"</formula>
    </cfRule>
  </conditionalFormatting>
  <conditionalFormatting sqref="E47">
    <cfRule type="cellIs" rank="0" priority="26" equalAverage="0" operator="equal" aboveAverage="0" dxfId="0" text="" percent="0" bottom="0">
      <formula>"PASS"</formula>
    </cfRule>
    <cfRule type="cellIs" rank="0" priority="27" equalAverage="0" operator="equal" aboveAverage="0" dxfId="1" text="" percent="0" bottom="0">
      <formula>"FAIL — MIX ≠ 100%"</formula>
    </cfRule>
  </conditionalFormatting>
  <conditionalFormatting sqref="E48">
    <cfRule type="cellIs" rank="0" priority="28" equalAverage="0" operator="equal" aboveAverage="0" dxfId="0" text="" percent="0" bottom="0">
      <formula>"PASS"</formula>
    </cfRule>
    <cfRule type="cellIs" rank="0" priority="29" equalAverage="0" operator="equal" aboveAverage="0" dxfId="1" text="" percent="0" bottom="0">
      <formula>"FAIL — MIX ≠ 100%"</formula>
    </cfRule>
  </conditionalFormatting>
  <conditionalFormatting sqref="E49">
    <cfRule type="cellIs" rank="0" priority="30" equalAverage="0" operator="equal" aboveAverage="0" dxfId="0" text="" percent="0" bottom="0">
      <formula>"PASS"</formula>
    </cfRule>
    <cfRule type="cellIs" rank="0" priority="31" equalAverage="0" operator="equal" aboveAverage="0" dxfId="1" text="" percent="0" bottom="0">
      <formula>"FAIL — MIX ≠ 100%"</formula>
    </cfRule>
  </conditionalFormatting>
  <conditionalFormatting sqref="E50">
    <cfRule type="cellIs" rank="0" priority="32" equalAverage="0" operator="equal" aboveAverage="0" dxfId="0" text="" percent="0" bottom="0">
      <formula>"PASS"</formula>
    </cfRule>
    <cfRule type="cellIs" rank="0" priority="33" equalAverage="0" operator="equal" aboveAverage="0" dxfId="1" text="" percent="0" bottom="0">
      <formula>"FAIL — MIX ≠ 100%"</formula>
    </cfRule>
  </conditionalFormatting>
  <conditionalFormatting sqref="E51">
    <cfRule type="cellIs" rank="0" priority="34" equalAverage="0" operator="equal" aboveAverage="0" dxfId="0" text="" percent="0" bottom="0">
      <formula>"PASS"</formula>
    </cfRule>
    <cfRule type="cellIs" rank="0" priority="35" equalAverage="0" operator="equal" aboveAverage="0" dxfId="1" text="" percent="0" bottom="0">
      <formula>"FAIL — MIX ≠ 100%"</formula>
    </cfRule>
  </conditionalFormatting>
  <conditionalFormatting sqref="E56">
    <cfRule type="cellIs" rank="0" priority="36" equalAverage="0" operator="equal" aboveAverage="0" dxfId="0" text="" percent="0" bottom="0">
      <formula>"PASS"</formula>
    </cfRule>
    <cfRule type="cellIs" rank="0" priority="37" equalAverage="0" operator="equal" aboveAverage="0" dxfId="1" text="" percent="0" bottom="0">
      <formula>"FAIL — MIX ≠ 100%"</formula>
    </cfRule>
  </conditionalFormatting>
  <conditionalFormatting sqref="E57">
    <cfRule type="cellIs" rank="0" priority="38" equalAverage="0" operator="equal" aboveAverage="0" dxfId="0" text="" percent="0" bottom="0">
      <formula>"PASS"</formula>
    </cfRule>
    <cfRule type="cellIs" rank="0" priority="39" equalAverage="0" operator="equal" aboveAverage="0" dxfId="1" text="" percent="0" bottom="0">
      <formula>"FAIL — MIX ≠ 100%"</formula>
    </cfRule>
  </conditionalFormatting>
  <conditionalFormatting sqref="E58">
    <cfRule type="cellIs" rank="0" priority="40" equalAverage="0" operator="equal" aboveAverage="0" dxfId="0" text="" percent="0" bottom="0">
      <formula>"PASS"</formula>
    </cfRule>
    <cfRule type="cellIs" rank="0" priority="41" equalAverage="0" operator="equal" aboveAverage="0" dxfId="1" text="" percent="0" bottom="0">
      <formula>"FAIL — MIX ≠ 100%"</formula>
    </cfRule>
  </conditionalFormatting>
  <conditionalFormatting sqref="E59">
    <cfRule type="cellIs" rank="0" priority="42" equalAverage="0" operator="equal" aboveAverage="0" dxfId="0" text="" percent="0" bottom="0">
      <formula>"PASS"</formula>
    </cfRule>
    <cfRule type="cellIs" rank="0" priority="43" equalAverage="0" operator="equal" aboveAverage="0" dxfId="1" text="" percent="0" bottom="0">
      <formula>"FAIL — MIX ≠ 100%"</formula>
    </cfRule>
  </conditionalFormatting>
  <conditionalFormatting sqref="E60">
    <cfRule type="cellIs" rank="0" priority="44" equalAverage="0" operator="equal" aboveAverage="0" dxfId="0" text="" percent="0" bottom="0">
      <formula>"PASS"</formula>
    </cfRule>
    <cfRule type="cellIs" rank="0" priority="45" equalAverage="0" operator="equal" aboveAverage="0" dxfId="1" text="" percent="0" bottom="0">
      <formula>"FAIL — MIX ≠ 100%"</formula>
    </cfRule>
  </conditionalFormatting>
  <conditionalFormatting sqref="E61">
    <cfRule type="cellIs" rank="0" priority="46" equalAverage="0" operator="equal" aboveAverage="0" dxfId="0" text="" percent="0" bottom="0">
      <formula>"PASS"</formula>
    </cfRule>
    <cfRule type="cellIs" rank="0" priority="47" equalAverage="0" operator="equal" aboveAverage="0" dxfId="1" text="" percent="0" bottom="0">
      <formula>"FAIL — MIX ≠ 100%"</formula>
    </cfRule>
  </conditionalFormatting>
  <conditionalFormatting sqref="E62">
    <cfRule type="cellIs" rank="0" priority="48" equalAverage="0" operator="equal" aboveAverage="0" dxfId="0" text="" percent="0" bottom="0">
      <formula>"PASS"</formula>
    </cfRule>
    <cfRule type="cellIs" rank="0" priority="49" equalAverage="0" operator="equal" aboveAverage="0" dxfId="1" text="" percent="0" bottom="0">
      <formula>"FAIL — MIX ≠ 100%"</formula>
    </cfRule>
  </conditionalFormatting>
  <conditionalFormatting sqref="E63">
    <cfRule type="cellIs" rank="0" priority="50" equalAverage="0" operator="equal" aboveAverage="0" dxfId="0" text="" percent="0" bottom="0">
      <formula>"PASS"</formula>
    </cfRule>
    <cfRule type="cellIs" rank="0" priority="51" equalAverage="0" operator="equal" aboveAverage="0" dxfId="1" text="" percent="0" bottom="0">
      <formula>"FAIL — MIX ≠ 100%"</formula>
    </cfRule>
  </conditionalFormatting>
  <conditionalFormatting sqref="E64">
    <cfRule type="cellIs" rank="0" priority="52" equalAverage="0" operator="equal" aboveAverage="0" dxfId="0" text="" percent="0" bottom="0">
      <formula>"PASS"</formula>
    </cfRule>
    <cfRule type="cellIs" rank="0" priority="53" equalAverage="0" operator="equal" aboveAverage="0" dxfId="1" text="" percent="0" bottom="0">
      <formula>"FAIL — MIX ≠ 100%"</formula>
    </cfRule>
  </conditionalFormatting>
  <conditionalFormatting sqref="E65">
    <cfRule type="cellIs" rank="0" priority="54" equalAverage="0" operator="equal" aboveAverage="0" dxfId="0" text="" percent="0" bottom="0">
      <formula>"PASS"</formula>
    </cfRule>
    <cfRule type="cellIs" rank="0" priority="55" equalAverage="0" operator="equal" aboveAverage="0" dxfId="1" text="" percent="0" bottom="0">
      <formula>"FAIL — MIX ≠ 100%"</formula>
    </cfRule>
  </conditionalFormatting>
  <conditionalFormatting sqref="E66">
    <cfRule type="cellIs" rank="0" priority="56" equalAverage="0" operator="equal" aboveAverage="0" dxfId="0" text="" percent="0" bottom="0">
      <formula>"PASS"</formula>
    </cfRule>
    <cfRule type="cellIs" rank="0" priority="57" equalAverage="0" operator="equal" aboveAverage="0" dxfId="1" text="" percent="0" bottom="0">
      <formula>"FAIL — MIX ≠ 100%"</formula>
    </cfRule>
  </conditionalFormatting>
  <conditionalFormatting sqref="E67">
    <cfRule type="cellIs" rank="0" priority="58" equalAverage="0" operator="equal" aboveAverage="0" dxfId="0" text="" percent="0" bottom="0">
      <formula>"PASS"</formula>
    </cfRule>
    <cfRule type="cellIs" rank="0" priority="59" equalAverage="0" operator="equal" aboveAverage="0" dxfId="1" text="" percent="0" bottom="0">
      <formula>"FAIL — MIX ≠ 100%"</formula>
    </cfRule>
  </conditionalFormatting>
  <conditionalFormatting sqref="E68">
    <cfRule type="cellIs" rank="0" priority="60" equalAverage="0" operator="equal" aboveAverage="0" dxfId="0" text="" percent="0" bottom="0">
      <formula>"PASS"</formula>
    </cfRule>
    <cfRule type="cellIs" rank="0" priority="61" equalAverage="0" operator="equal" aboveAverage="0" dxfId="1" text="" percent="0" bottom="0">
      <formula>"FAIL — MIX ≠ 100%"</formula>
    </cfRule>
  </conditionalFormatting>
  <conditionalFormatting sqref="E69">
    <cfRule type="cellIs" rank="0" priority="62" equalAverage="0" operator="equal" aboveAverage="0" dxfId="0" text="" percent="0" bottom="0">
      <formula>"PASS"</formula>
    </cfRule>
    <cfRule type="cellIs" rank="0" priority="63" equalAverage="0" operator="equal" aboveAverage="0" dxfId="1" text="" percent="0" bottom="0">
      <formula>"FAIL — MIX ≠ 100%"</formula>
    </cfRule>
  </conditionalFormatting>
  <conditionalFormatting sqref="E70">
    <cfRule type="cellIs" rank="0" priority="64" equalAverage="0" operator="equal" aboveAverage="0" dxfId="0" text="" percent="0" bottom="0">
      <formula>"PASS"</formula>
    </cfRule>
    <cfRule type="cellIs" rank="0" priority="65" equalAverage="0" operator="equal" aboveAverage="0" dxfId="1" text="" percent="0" bottom="0">
      <formula>"FAIL — MIX ≠ 100%"</formula>
    </cfRule>
  </conditionalFormatting>
  <conditionalFormatting sqref="E71">
    <cfRule type="cellIs" rank="0" priority="66" equalAverage="0" operator="equal" aboveAverage="0" dxfId="0" text="" percent="0" bottom="0">
      <formula>"PASS"</formula>
    </cfRule>
    <cfRule type="cellIs" rank="0" priority="67" equalAverage="0" operator="equal" aboveAverage="0" dxfId="1" text="" percent="0" bottom="0">
      <formula>"FAIL — MIX ≠ 100%"</formula>
    </cfRule>
  </conditionalFormatting>
  <conditionalFormatting sqref="E72">
    <cfRule type="cellIs" rank="0" priority="68" equalAverage="0" operator="equal" aboveAverage="0" dxfId="0" text="" percent="0" bottom="0">
      <formula>"PASS"</formula>
    </cfRule>
    <cfRule type="cellIs" rank="0" priority="69" equalAverage="0" operator="equal" aboveAverage="0" dxfId="1" text="" percent="0" bottom="0">
      <formula>"FAIL — MIX ≠ 100%"</formula>
    </cfRule>
  </conditionalFormatting>
  <conditionalFormatting sqref="E73">
    <cfRule type="cellIs" rank="0" priority="70" equalAverage="0" operator="equal" aboveAverage="0" dxfId="0" text="" percent="0" bottom="0">
      <formula>"PASS"</formula>
    </cfRule>
    <cfRule type="cellIs" rank="0" priority="71" equalAverage="0" operator="equal" aboveAverage="0" dxfId="1" text="" percent="0" bottom="0">
      <formula>"FAIL — MIX ≠ 100%"</formula>
    </cfRule>
  </conditionalFormatting>
  <conditionalFormatting sqref="E74">
    <cfRule type="cellIs" rank="0" priority="72" equalAverage="0" operator="equal" aboveAverage="0" dxfId="0" text="" percent="0" bottom="0">
      <formula>"PASS"</formula>
    </cfRule>
    <cfRule type="cellIs" rank="0" priority="73" equalAverage="0" operator="equal" aboveAverage="0" dxfId="1" text="" percent="0" bottom="0">
      <formula>"FAIL — MIX ≠ 100%"</formula>
    </cfRule>
  </conditionalFormatting>
  <conditionalFormatting sqref="E75">
    <cfRule type="cellIs" rank="0" priority="74" equalAverage="0" operator="equal" aboveAverage="0" dxfId="0" text="" percent="0" bottom="0">
      <formula>"PASS"</formula>
    </cfRule>
    <cfRule type="cellIs" rank="0" priority="75" equalAverage="0" operator="equal" aboveAverage="0" dxfId="1" text="" percent="0" bottom="0">
      <formula>"FAIL — MIX ≠ 100%"</formula>
    </cfRule>
  </conditionalFormatting>
  <conditionalFormatting sqref="E76">
    <cfRule type="cellIs" rank="0" priority="76" equalAverage="0" operator="equal" aboveAverage="0" dxfId="0" text="" percent="0" bottom="0">
      <formula>"PASS"</formula>
    </cfRule>
    <cfRule type="cellIs" rank="0" priority="77" equalAverage="0" operator="equal" aboveAverage="0" dxfId="1" text="" percent="0" bottom="0">
      <formula>"FAIL — MIX ≠ 100%"</formula>
    </cfRule>
  </conditionalFormatting>
  <conditionalFormatting sqref="E77">
    <cfRule type="cellIs" rank="0" priority="78" equalAverage="0" operator="equal" aboveAverage="0" dxfId="0" text="" percent="0" bottom="0">
      <formula>"PASS"</formula>
    </cfRule>
    <cfRule type="cellIs" rank="0" priority="79" equalAverage="0" operator="equal" aboveAverage="0" dxfId="1" text="" percent="0" bottom="0">
      <formula>"FAIL — MIX ≠ 100%"</formula>
    </cfRule>
  </conditionalFormatting>
  <conditionalFormatting sqref="E78">
    <cfRule type="cellIs" rank="0" priority="80" equalAverage="0" operator="equal" aboveAverage="0" dxfId="0" text="" percent="0" bottom="0">
      <formula>"PASS"</formula>
    </cfRule>
    <cfRule type="cellIs" rank="0" priority="81" equalAverage="0" operator="equal" aboveAverage="0" dxfId="1" text="" percent="0" bottom="0">
      <formula>"FAIL — MIX ≠ 100%"</formula>
    </cfRule>
  </conditionalFormatting>
  <conditionalFormatting sqref="E79">
    <cfRule type="cellIs" rank="0" priority="82" equalAverage="0" operator="equal" aboveAverage="0" dxfId="0" text="" percent="0" bottom="0">
      <formula>"PASS"</formula>
    </cfRule>
    <cfRule type="cellIs" rank="0" priority="83" equalAverage="0" operator="equal" aboveAverage="0" dxfId="1" text="" percent="0" bottom="0">
      <formula>"FAIL — MIX ≠ 100%"</formula>
    </cfRule>
  </conditionalFormatting>
  <conditionalFormatting sqref="E80">
    <cfRule type="cellIs" rank="0" priority="84" equalAverage="0" operator="equal" aboveAverage="0" dxfId="0" text="" percent="0" bottom="0">
      <formula>"PASS"</formula>
    </cfRule>
    <cfRule type="cellIs" rank="0" priority="85" equalAverage="0" operator="equal" aboveAverage="0" dxfId="1" text="" percent="0" bottom="0">
      <formula>"FAIL — MIX ≠ 100%"</formula>
    </cfRule>
  </conditionalFormatting>
  <conditionalFormatting sqref="E81">
    <cfRule type="cellIs" rank="0" priority="86" equalAverage="0" operator="equal" aboveAverage="0" dxfId="0" text="" percent="0" bottom="0">
      <formula>"PASS"</formula>
    </cfRule>
    <cfRule type="cellIs" rank="0" priority="87" equalAverage="0" operator="equal" aboveAverage="0" dxfId="1" text="" percent="0" bottom="0">
      <formula>"FAIL — MIX ≠ 100%"</formula>
    </cfRule>
  </conditionalFormatting>
  <conditionalFormatting sqref="E82">
    <cfRule type="cellIs" rank="0" priority="88" equalAverage="0" operator="equal" aboveAverage="0" dxfId="0" text="" percent="0" bottom="0">
      <formula>"PASS"</formula>
    </cfRule>
    <cfRule type="cellIs" rank="0" priority="89" equalAverage="0" operator="equal" aboveAverage="0" dxfId="1" text="" percent="0" bottom="0">
      <formula>"FAIL — MIX ≠ 100%"</formula>
    </cfRule>
  </conditionalFormatting>
  <conditionalFormatting sqref="E83">
    <cfRule type="cellIs" rank="0" priority="90" equalAverage="0" operator="equal" aboveAverage="0" dxfId="0" text="" percent="0" bottom="0">
      <formula>"PASS"</formula>
    </cfRule>
    <cfRule type="cellIs" rank="0" priority="91" equalAverage="0" operator="equal" aboveAverage="0" dxfId="1" text="" percent="0" bottom="0">
      <formula>"FAIL — MIX ≠ 100%"</formula>
    </cfRule>
  </conditionalFormatting>
  <conditionalFormatting sqref="E84">
    <cfRule type="cellIs" rank="0" priority="92" equalAverage="0" operator="equal" aboveAverage="0" dxfId="0" text="" percent="0" bottom="0">
      <formula>"PASS"</formula>
    </cfRule>
    <cfRule type="cellIs" rank="0" priority="93" equalAverage="0" operator="equal" aboveAverage="0" dxfId="1" text="" percent="0" bottom="0">
      <formula>"FAIL — MIX ≠ 100%"</formula>
    </cfRule>
  </conditionalFormatting>
  <conditionalFormatting sqref="E85">
    <cfRule type="cellIs" rank="0" priority="94" equalAverage="0" operator="equal" aboveAverage="0" dxfId="0" text="" percent="0" bottom="0">
      <formula>"PASS"</formula>
    </cfRule>
    <cfRule type="cellIs" rank="0" priority="95" equalAverage="0" operator="equal" aboveAverage="0" dxfId="1" text="" percent="0" bottom="0">
      <formula>"FAIL — MIX ≠ 100%"</formula>
    </cfRule>
  </conditionalFormatting>
  <conditionalFormatting sqref="E86">
    <cfRule type="cellIs" rank="0" priority="96" equalAverage="0" operator="equal" aboveAverage="0" dxfId="0" text="" percent="0" bottom="0">
      <formula>"PASS"</formula>
    </cfRule>
    <cfRule type="cellIs" rank="0" priority="97" equalAverage="0" operator="equal" aboveAverage="0" dxfId="1" text="" percent="0" bottom="0">
      <formula>"FAIL — MIX ≠ 100%"</formula>
    </cfRule>
  </conditionalFormatting>
  <conditionalFormatting sqref="E87">
    <cfRule type="cellIs" rank="0" priority="98" equalAverage="0" operator="equal" aboveAverage="0" dxfId="0" text="" percent="0" bottom="0">
      <formula>"PASS"</formula>
    </cfRule>
    <cfRule type="cellIs" rank="0" priority="99" equalAverage="0" operator="equal" aboveAverage="0" dxfId="1" text="" percent="0" bottom="0">
      <formula>"FAIL — MIX ≠ 100%"</formula>
    </cfRule>
  </conditionalFormatting>
  <conditionalFormatting sqref="E88">
    <cfRule type="cellIs" rank="0" priority="100" equalAverage="0" operator="equal" aboveAverage="0" dxfId="0" text="" percent="0" bottom="0">
      <formula>"PASS"</formula>
    </cfRule>
    <cfRule type="cellIs" rank="0" priority="101" equalAverage="0" operator="equal" aboveAverage="0" dxfId="1" text="" percent="0" bottom="0">
      <formula>"FAIL — MIX ≠ 100%"</formula>
    </cfRule>
  </conditionalFormatting>
  <conditionalFormatting sqref="E89">
    <cfRule type="cellIs" rank="0" priority="102" equalAverage="0" operator="equal" aboveAverage="0" dxfId="0" text="" percent="0" bottom="0">
      <formula>"PASS"</formula>
    </cfRule>
    <cfRule type="cellIs" rank="0" priority="103" equalAverage="0" operator="equal" aboveAverage="0" dxfId="1" text="" percent="0" bottom="0">
      <formula>"FAIL — MIX ≠ 100%"</formula>
    </cfRule>
  </conditionalFormatting>
  <conditionalFormatting sqref="E90">
    <cfRule type="cellIs" rank="0" priority="104" equalAverage="0" operator="equal" aboveAverage="0" dxfId="0" text="" percent="0" bottom="0">
      <formula>"PASS"</formula>
    </cfRule>
    <cfRule type="cellIs" rank="0" priority="105" equalAverage="0" operator="equal" aboveAverage="0" dxfId="1" text="" percent="0" bottom="0">
      <formula>"FAIL — MIX ≠ 100%"</formula>
    </cfRule>
  </conditionalFormatting>
  <conditionalFormatting sqref="E91">
    <cfRule type="cellIs" rank="0" priority="106" equalAverage="0" operator="equal" aboveAverage="0" dxfId="0" text="" percent="0" bottom="0">
      <formula>"PASS"</formula>
    </cfRule>
    <cfRule type="cellIs" rank="0" priority="107" equalAverage="0" operator="equal" aboveAverage="0" dxfId="1" text="" percent="0" bottom="0">
      <formula>"FAIL — MIX ≠ 100%"</formula>
    </cfRule>
  </conditionalFormatting>
  <conditionalFormatting sqref="E92">
    <cfRule type="cellIs" rank="0" priority="108" equalAverage="0" operator="equal" aboveAverage="0" dxfId="0" text="" percent="0" bottom="0">
      <formula>"PASS"</formula>
    </cfRule>
    <cfRule type="cellIs" rank="0" priority="109" equalAverage="0" operator="equal" aboveAverage="0" dxfId="1" text="" percent="0" bottom="0">
      <formula>"FAIL — MIX ≠ 100%"</formula>
    </cfRule>
  </conditionalFormatting>
  <conditionalFormatting sqref="E93">
    <cfRule type="cellIs" rank="0" priority="110" equalAverage="0" operator="equal" aboveAverage="0" dxfId="0" text="" percent="0" bottom="0">
      <formula>"PASS"</formula>
    </cfRule>
    <cfRule type="cellIs" rank="0" priority="111" equalAverage="0" operator="equal" aboveAverage="0" dxfId="1" text="" percent="0" bottom="0">
      <formula>"FAIL — MIX ≠ 100%"</formula>
    </cfRule>
  </conditionalFormatting>
  <conditionalFormatting sqref="E94">
    <cfRule type="cellIs" rank="0" priority="112" equalAverage="0" operator="equal" aboveAverage="0" dxfId="0" text="" percent="0" bottom="0">
      <formula>"PASS"</formula>
    </cfRule>
    <cfRule type="cellIs" rank="0" priority="113" equalAverage="0" operator="equal" aboveAverage="0" dxfId="1" text="" percent="0" bottom="0">
      <formula>"FAIL — MIX ≠ 100%"</formula>
    </cfRule>
  </conditionalFormatting>
  <conditionalFormatting sqref="E95">
    <cfRule type="cellIs" rank="0" priority="114" equalAverage="0" operator="equal" aboveAverage="0" dxfId="0" text="" percent="0" bottom="0">
      <formula>"PASS"</formula>
    </cfRule>
    <cfRule type="cellIs" rank="0" priority="115" equalAverage="0" operator="equal" aboveAverage="0" dxfId="1" text="" percent="0" bottom="0">
      <formula>"FAIL — MIX ≠ 100%"</formula>
    </cfRule>
  </conditionalFormatting>
  <conditionalFormatting sqref="E96">
    <cfRule type="cellIs" rank="0" priority="116" equalAverage="0" operator="equal" aboveAverage="0" dxfId="0" text="" percent="0" bottom="0">
      <formula>"PASS"</formula>
    </cfRule>
    <cfRule type="cellIs" rank="0" priority="117" equalAverage="0" operator="equal" aboveAverage="0" dxfId="1" text="" percent="0" bottom="0">
      <formula>"FAIL — MIX ≠ 100%"</formula>
    </cfRule>
  </conditionalFormatting>
  <conditionalFormatting sqref="E97">
    <cfRule type="cellIs" rank="0" priority="118" equalAverage="0" operator="equal" aboveAverage="0" dxfId="0" text="" percent="0" bottom="0">
      <formula>"PASS"</formula>
    </cfRule>
    <cfRule type="cellIs" rank="0" priority="119" equalAverage="0" operator="equal" aboveAverage="0" dxfId="1" text="" percent="0" bottom="0">
      <formula>"FAIL — MIX ≠ 100%"</formula>
    </cfRule>
  </conditionalFormatting>
  <conditionalFormatting sqref="E98">
    <cfRule type="cellIs" rank="0" priority="120" equalAverage="0" operator="equal" aboveAverage="0" dxfId="0" text="" percent="0" bottom="0">
      <formula>"PASS"</formula>
    </cfRule>
    <cfRule type="cellIs" rank="0" priority="121" equalAverage="0" operator="equal" aboveAverage="0" dxfId="1" text="" percent="0" bottom="0">
      <formula>"FAIL — MIX ≠ 100%"</formula>
    </cfRule>
  </conditionalFormatting>
  <conditionalFormatting sqref="E99">
    <cfRule type="cellIs" rank="0" priority="122" equalAverage="0" operator="equal" aboveAverage="0" dxfId="0" text="" percent="0" bottom="0">
      <formula>"PASS"</formula>
    </cfRule>
    <cfRule type="cellIs" rank="0" priority="123" equalAverage="0" operator="equal" aboveAverage="0" dxfId="1" text="" percent="0" bottom="0">
      <formula>"FAIL — MIX ≠ 100%"</formula>
    </cfRule>
  </conditionalFormatting>
  <conditionalFormatting sqref="E100">
    <cfRule type="cellIs" rank="0" priority="124" equalAverage="0" operator="equal" aboveAverage="0" dxfId="0" text="" percent="0" bottom="0">
      <formula>"PASS"</formula>
    </cfRule>
    <cfRule type="cellIs" rank="0" priority="125" equalAverage="0" operator="equal" aboveAverage="0" dxfId="1" text="" percent="0" bottom="0">
      <formula>"FAIL — MIX ≠ 100%"</formula>
    </cfRule>
  </conditionalFormatting>
  <conditionalFormatting sqref="E101">
    <cfRule type="cellIs" rank="0" priority="126" equalAverage="0" operator="equal" aboveAverage="0" dxfId="0" text="" percent="0" bottom="0">
      <formula>"PASS"</formula>
    </cfRule>
    <cfRule type="cellIs" rank="0" priority="127" equalAverage="0" operator="equal" aboveAverage="0" dxfId="1" text="" percent="0" bottom="0">
      <formula>"FAIL — MIX ≠ 100%"</formula>
    </cfRule>
  </conditionalFormatting>
  <conditionalFormatting sqref="E102">
    <cfRule type="cellIs" rank="0" priority="128" equalAverage="0" operator="equal" aboveAverage="0" dxfId="0" text="" percent="0" bottom="0">
      <formula>"PASS"</formula>
    </cfRule>
    <cfRule type="cellIs" rank="0" priority="129" equalAverage="0" operator="equal" aboveAverage="0" dxfId="1" text="" percent="0" bottom="0">
      <formula>"FAIL — MIX ≠ 100%"</formula>
    </cfRule>
  </conditionalFormatting>
  <conditionalFormatting sqref="E107">
    <cfRule type="cellIs" rank="0" priority="130" equalAverage="0" operator="equal" aboveAverage="0" dxfId="0" text="" percent="0" bottom="0">
      <formula>"PASS"</formula>
    </cfRule>
    <cfRule type="cellIs" rank="0" priority="131" equalAverage="0" operator="equal" aboveAverage="0" dxfId="1" text="" percent="0" bottom="0">
      <formula>"FAIL — MIX ≠ 100%"</formula>
    </cfRule>
  </conditionalFormatting>
  <conditionalFormatting sqref="E108">
    <cfRule type="cellIs" rank="0" priority="132" equalAverage="0" operator="equal" aboveAverage="0" dxfId="0" text="" percent="0" bottom="0">
      <formula>"PASS"</formula>
    </cfRule>
    <cfRule type="cellIs" rank="0" priority="133" equalAverage="0" operator="equal" aboveAverage="0" dxfId="1" text="" percent="0" bottom="0">
      <formula>"FAIL — MIX ≠ 100%"</formula>
    </cfRule>
  </conditionalFormatting>
  <conditionalFormatting sqref="E109">
    <cfRule type="cellIs" rank="0" priority="134" equalAverage="0" operator="equal" aboveAverage="0" dxfId="0" text="" percent="0" bottom="0">
      <formula>"PASS"</formula>
    </cfRule>
    <cfRule type="cellIs" rank="0" priority="135" equalAverage="0" operator="equal" aboveAverage="0" dxfId="1" text="" percent="0" bottom="0">
      <formula>"FAIL — MIX ≠ 100%"</formula>
    </cfRule>
  </conditionalFormatting>
  <conditionalFormatting sqref="E110">
    <cfRule type="cellIs" rank="0" priority="136" equalAverage="0" operator="equal" aboveAverage="0" dxfId="0" text="" percent="0" bottom="0">
      <formula>"PASS"</formula>
    </cfRule>
    <cfRule type="cellIs" rank="0" priority="137" equalAverage="0" operator="equal" aboveAverage="0" dxfId="1" text="" percent="0" bottom="0">
      <formula>"FAIL — MIX ≠ 100%"</formula>
    </cfRule>
  </conditionalFormatting>
  <conditionalFormatting sqref="E111">
    <cfRule type="cellIs" rank="0" priority="138" equalAverage="0" operator="equal" aboveAverage="0" dxfId="0" text="" percent="0" bottom="0">
      <formula>"PASS"</formula>
    </cfRule>
    <cfRule type="cellIs" rank="0" priority="139" equalAverage="0" operator="equal" aboveAverage="0" dxfId="1" text="" percent="0" bottom="0">
      <formula>"FAIL — MIX ≠ 100%"</formula>
    </cfRule>
  </conditionalFormatting>
  <conditionalFormatting sqref="E112">
    <cfRule type="cellIs" rank="0" priority="140" equalAverage="0" operator="equal" aboveAverage="0" dxfId="0" text="" percent="0" bottom="0">
      <formula>"PASS"</formula>
    </cfRule>
    <cfRule type="cellIs" rank="0" priority="141" equalAverage="0" operator="equal" aboveAverage="0" dxfId="1" text="" percent="0" bottom="0">
      <formula>"FAIL — MIX ≠ 100%"</formula>
    </cfRule>
  </conditionalFormatting>
  <conditionalFormatting sqref="E113">
    <cfRule type="cellIs" rank="0" priority="142" equalAverage="0" operator="equal" aboveAverage="0" dxfId="0" text="" percent="0" bottom="0">
      <formula>"PASS"</formula>
    </cfRule>
    <cfRule type="cellIs" rank="0" priority="143" equalAverage="0" operator="equal" aboveAverage="0" dxfId="1" text="" percent="0" bottom="0">
      <formula>"FAIL — MIX ≠ 100%"</formula>
    </cfRule>
  </conditionalFormatting>
  <conditionalFormatting sqref="E114">
    <cfRule type="cellIs" rank="0" priority="144" equalAverage="0" operator="equal" aboveAverage="0" dxfId="0" text="" percent="0" bottom="0">
      <formula>"PASS"</formula>
    </cfRule>
    <cfRule type="cellIs" rank="0" priority="145" equalAverage="0" operator="equal" aboveAverage="0" dxfId="1" text="" percent="0" bottom="0">
      <formula>"FAIL — MIX ≠ 100%"</formula>
    </cfRule>
  </conditionalFormatting>
  <conditionalFormatting sqref="E115">
    <cfRule type="cellIs" rank="0" priority="146" equalAverage="0" operator="equal" aboveAverage="0" dxfId="0" text="" percent="0" bottom="0">
      <formula>"PASS"</formula>
    </cfRule>
    <cfRule type="cellIs" rank="0" priority="147" equalAverage="0" operator="equal" aboveAverage="0" dxfId="1" text="" percent="0" bottom="0">
      <formula>"FAIL — MIX ≠ 100%"</formula>
    </cfRule>
  </conditionalFormatting>
  <conditionalFormatting sqref="E116">
    <cfRule type="cellIs" rank="0" priority="148" equalAverage="0" operator="equal" aboveAverage="0" dxfId="0" text="" percent="0" bottom="0">
      <formula>"PASS"</formula>
    </cfRule>
    <cfRule type="cellIs" rank="0" priority="149" equalAverage="0" operator="equal" aboveAverage="0" dxfId="1" text="" percent="0" bottom="0">
      <formula>"FAIL — MIX ≠ 100%"</formula>
    </cfRule>
  </conditionalFormatting>
  <conditionalFormatting sqref="E117">
    <cfRule type="cellIs" rank="0" priority="150" equalAverage="0" operator="equal" aboveAverage="0" dxfId="0" text="" percent="0" bottom="0">
      <formula>"PASS"</formula>
    </cfRule>
    <cfRule type="cellIs" rank="0" priority="151" equalAverage="0" operator="equal" aboveAverage="0" dxfId="1" text="" percent="0" bottom="0">
      <formula>"FAIL — MIX ≠ 100%"</formula>
    </cfRule>
  </conditionalFormatting>
  <conditionalFormatting sqref="E118">
    <cfRule type="cellIs" rank="0" priority="152" equalAverage="0" operator="equal" aboveAverage="0" dxfId="0" text="" percent="0" bottom="0">
      <formula>"PASS"</formula>
    </cfRule>
    <cfRule type="cellIs" rank="0" priority="153" equalAverage="0" operator="equal" aboveAverage="0" dxfId="1" text="" percent="0" bottom="0">
      <formula>"FAIL — MIX ≠ 100%"</formula>
    </cfRule>
  </conditionalFormatting>
  <conditionalFormatting sqref="E119">
    <cfRule type="cellIs" rank="0" priority="154" equalAverage="0" operator="equal" aboveAverage="0" dxfId="0" text="" percent="0" bottom="0">
      <formula>"PASS"</formula>
    </cfRule>
    <cfRule type="cellIs" rank="0" priority="155" equalAverage="0" operator="equal" aboveAverage="0" dxfId="1" text="" percent="0" bottom="0">
      <formula>"FAIL — MIX ≠ 100%"</formula>
    </cfRule>
  </conditionalFormatting>
  <conditionalFormatting sqref="E120">
    <cfRule type="cellIs" rank="0" priority="156" equalAverage="0" operator="equal" aboveAverage="0" dxfId="0" text="" percent="0" bottom="0">
      <formula>"PASS"</formula>
    </cfRule>
    <cfRule type="cellIs" rank="0" priority="157" equalAverage="0" operator="equal" aboveAverage="0" dxfId="1" text="" percent="0" bottom="0">
      <formula>"FAIL — MIX ≠ 100%"</formula>
    </cfRule>
  </conditionalFormatting>
  <conditionalFormatting sqref="E121">
    <cfRule type="cellIs" rank="0" priority="158" equalAverage="0" operator="equal" aboveAverage="0" dxfId="0" text="" percent="0" bottom="0">
      <formula>"PASS"</formula>
    </cfRule>
    <cfRule type="cellIs" rank="0" priority="159" equalAverage="0" operator="equal" aboveAverage="0" dxfId="1" text="" percent="0" bottom="0">
      <formula>"FAIL — MIX ≠ 100%"</formula>
    </cfRule>
  </conditionalFormatting>
  <conditionalFormatting sqref="E122">
    <cfRule type="cellIs" rank="0" priority="160" equalAverage="0" operator="equal" aboveAverage="0" dxfId="0" text="" percent="0" bottom="0">
      <formula>"PASS"</formula>
    </cfRule>
    <cfRule type="cellIs" rank="0" priority="161" equalAverage="0" operator="equal" aboveAverage="0" dxfId="1" text="" percent="0" bottom="0">
      <formula>"FAIL — MIX ≠ 100%"</formula>
    </cfRule>
  </conditionalFormatting>
  <conditionalFormatting sqref="E123">
    <cfRule type="cellIs" rank="0" priority="162" equalAverage="0" operator="equal" aboveAverage="0" dxfId="0" text="" percent="0" bottom="0">
      <formula>"PASS"</formula>
    </cfRule>
    <cfRule type="cellIs" rank="0" priority="163" equalAverage="0" operator="equal" aboveAverage="0" dxfId="1" text="" percent="0" bottom="0">
      <formula>"FAIL — MIX ≠ 100%"</formula>
    </cfRule>
  </conditionalFormatting>
  <conditionalFormatting sqref="E124">
    <cfRule type="cellIs" rank="0" priority="164" equalAverage="0" operator="equal" aboveAverage="0" dxfId="0" text="" percent="0" bottom="0">
      <formula>"PASS"</formula>
    </cfRule>
    <cfRule type="cellIs" rank="0" priority="165" equalAverage="0" operator="equal" aboveAverage="0" dxfId="1" text="" percent="0" bottom="0">
      <formula>"FAIL — MIX ≠ 100%"</formula>
    </cfRule>
  </conditionalFormatting>
  <conditionalFormatting sqref="E125">
    <cfRule type="cellIs" rank="0" priority="166" equalAverage="0" operator="equal" aboveAverage="0" dxfId="0" text="" percent="0" bottom="0">
      <formula>"PASS"</formula>
    </cfRule>
    <cfRule type="cellIs" rank="0" priority="167" equalAverage="0" operator="equal" aboveAverage="0" dxfId="1" text="" percent="0" bottom="0">
      <formula>"FAIL — MIX ≠ 100%"</formula>
    </cfRule>
  </conditionalFormatting>
  <conditionalFormatting sqref="E126">
    <cfRule type="cellIs" rank="0" priority="168" equalAverage="0" operator="equal" aboveAverage="0" dxfId="0" text="" percent="0" bottom="0">
      <formula>"PASS"</formula>
    </cfRule>
    <cfRule type="cellIs" rank="0" priority="169" equalAverage="0" operator="equal" aboveAverage="0" dxfId="1" text="" percent="0" bottom="0">
      <formula>"FAIL — MIX ≠ 100%"</formula>
    </cfRule>
  </conditionalFormatting>
  <conditionalFormatting sqref="E127">
    <cfRule type="cellIs" rank="0" priority="170" equalAverage="0" operator="equal" aboveAverage="0" dxfId="0" text="" percent="0" bottom="0">
      <formula>"PASS"</formula>
    </cfRule>
    <cfRule type="cellIs" rank="0" priority="171" equalAverage="0" operator="equal" aboveAverage="0" dxfId="1" text="" percent="0" bottom="0">
      <formula>"FAIL — MIX ≠ 100%"</formula>
    </cfRule>
  </conditionalFormatting>
  <conditionalFormatting sqref="E128">
    <cfRule type="cellIs" rank="0" priority="172" equalAverage="0" operator="equal" aboveAverage="0" dxfId="0" text="" percent="0" bottom="0">
      <formula>"PASS"</formula>
    </cfRule>
    <cfRule type="cellIs" rank="0" priority="173" equalAverage="0" operator="equal" aboveAverage="0" dxfId="1" text="" percent="0" bottom="0">
      <formula>"FAIL — MIX ≠ 100%"</formula>
    </cfRule>
  </conditionalFormatting>
  <conditionalFormatting sqref="E129">
    <cfRule type="cellIs" rank="0" priority="174" equalAverage="0" operator="equal" aboveAverage="0" dxfId="0" text="" percent="0" bottom="0">
      <formula>"PASS"</formula>
    </cfRule>
    <cfRule type="cellIs" rank="0" priority="175" equalAverage="0" operator="equal" aboveAverage="0" dxfId="1" text="" percent="0" bottom="0">
      <formula>"FAIL — MIX ≠ 100%"</formula>
    </cfRule>
  </conditionalFormatting>
  <conditionalFormatting sqref="E130">
    <cfRule type="cellIs" rank="0" priority="176" equalAverage="0" operator="equal" aboveAverage="0" dxfId="0" text="" percent="0" bottom="0">
      <formula>"PASS"</formula>
    </cfRule>
    <cfRule type="cellIs" rank="0" priority="177" equalAverage="0" operator="equal" aboveAverage="0" dxfId="1" text="" percent="0" bottom="0">
      <formula>"FAIL — MIX ≠ 100%"</formula>
    </cfRule>
  </conditionalFormatting>
  <conditionalFormatting sqref="E131">
    <cfRule type="cellIs" rank="0" priority="178" equalAverage="0" operator="equal" aboveAverage="0" dxfId="0" text="" percent="0" bottom="0">
      <formula>"PASS"</formula>
    </cfRule>
    <cfRule type="cellIs" rank="0" priority="179" equalAverage="0" operator="equal" aboveAverage="0" dxfId="1" text="" percent="0" bottom="0">
      <formula>"FAIL — MIX ≠ 100%"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2026-06-22T16:28:56Z</dcterms:created>
  <dcterms:modified xmlns:dcterms="http://purl.org/dc/terms/" xmlns:xsi="http://www.w3.org/2001/XMLSchema-instance" xsi:type="dcterms:W3CDTF">2026-06-23T23:44:21Z</dcterms:modified>
  <cp:revision>0</cp:revision>
</cp:coreProperties>
</file>