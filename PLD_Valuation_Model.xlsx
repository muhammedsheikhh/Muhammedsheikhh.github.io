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tabishsheikh/Desktop/Portfolio/"/>
    </mc:Choice>
  </mc:AlternateContent>
  <xr:revisionPtr revIDLastSave="0" documentId="13_ncr:1_{11DFBD4F-9099-E64D-B6B8-38A1EDCCC8B9}" xr6:coauthVersionLast="47" xr6:coauthVersionMax="47" xr10:uidLastSave="{00000000-0000-0000-0000-000000000000}"/>
  <bookViews>
    <workbookView xWindow="0" yWindow="780" windowWidth="34200" windowHeight="19860" tabRatio="500" activeTab="1" xr2:uid="{00000000-000D-0000-FFFF-FFFF00000000}"/>
  </bookViews>
  <sheets>
    <sheet name="Cover" sheetId="1" r:id="rId1"/>
    <sheet name="ReadMe" sheetId="2" r:id="rId2"/>
    <sheet name="Data_Collection" sheetId="3" r:id="rId3"/>
    <sheet name="Historicals" sheetId="4" r:id="rId4"/>
    <sheet name="FFO_Recon" sheetId="5" r:id="rId5"/>
    <sheet name="Drivers" sheetId="6" r:id="rId6"/>
    <sheet name="Development" sheetId="7" r:id="rId7"/>
    <sheet name="Strategic_Capital" sheetId="8" r:id="rId8"/>
    <sheet name="Capital_Deployment" sheetId="9" r:id="rId9"/>
    <sheet name="Debt" sheetId="10" r:id="rId10"/>
    <sheet name="Share_Count" sheetId="11" r:id="rId11"/>
    <sheet name="Audit" sheetId="12" r:id="rId12"/>
    <sheet name="Assumptions" sheetId="13" r:id="rId13"/>
    <sheet name="Model" sheetId="14" r:id="rId14"/>
    <sheet name="DCF" sheetId="15" r:id="rId15"/>
    <sheet name="NAV" sheetId="16" r:id="rId16"/>
    <sheet name="Comps" sheetId="17" r:id="rId17"/>
    <sheet name="Football_Field" sheetId="18" r:id="rId18"/>
    <sheet name="Scenarios" sheetId="19" r:id="rId19"/>
    <sheet name="Summary" sheetId="20" r:id="rId2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1" i="20" l="1"/>
  <c r="C41" i="20"/>
  <c r="D40" i="20"/>
  <c r="C40" i="20"/>
  <c r="D39" i="20"/>
  <c r="C39" i="20"/>
  <c r="D38" i="20"/>
  <c r="C38" i="20"/>
  <c r="D37" i="20"/>
  <c r="C37" i="20"/>
  <c r="C31" i="20"/>
  <c r="C24" i="20"/>
  <c r="D42" i="19"/>
  <c r="C42" i="19"/>
  <c r="B42" i="19"/>
  <c r="D41" i="19"/>
  <c r="C41" i="19"/>
  <c r="B41" i="19"/>
  <c r="D40" i="19"/>
  <c r="C40" i="19"/>
  <c r="B40" i="19"/>
  <c r="D38" i="19"/>
  <c r="C38" i="19"/>
  <c r="B38" i="19"/>
  <c r="D37" i="19"/>
  <c r="C37" i="19"/>
  <c r="B37" i="19"/>
  <c r="D35" i="19"/>
  <c r="C35" i="19"/>
  <c r="B35" i="19"/>
  <c r="D34" i="19"/>
  <c r="C34" i="19"/>
  <c r="B34" i="19"/>
  <c r="D33" i="19"/>
  <c r="C33" i="19"/>
  <c r="B33" i="19"/>
  <c r="D32" i="19"/>
  <c r="C32" i="19"/>
  <c r="B32" i="19"/>
  <c r="D30" i="19"/>
  <c r="C30" i="19"/>
  <c r="B30" i="19"/>
  <c r="D29" i="19"/>
  <c r="C29" i="19"/>
  <c r="B29" i="19"/>
  <c r="D28" i="19"/>
  <c r="C28" i="19"/>
  <c r="B28" i="19"/>
  <c r="D27" i="19"/>
  <c r="C27" i="19"/>
  <c r="B27" i="19"/>
  <c r="B20" i="19"/>
  <c r="J8" i="19" s="1"/>
  <c r="I8" i="19"/>
  <c r="J7" i="19"/>
  <c r="I6" i="19"/>
  <c r="B20" i="18"/>
  <c r="K9" i="18"/>
  <c r="J9" i="18"/>
  <c r="C9" i="18"/>
  <c r="Q18" i="17"/>
  <c r="Q17" i="17"/>
  <c r="Q16" i="17"/>
  <c r="I16" i="17"/>
  <c r="Q15" i="17"/>
  <c r="Q14" i="17"/>
  <c r="I14" i="17"/>
  <c r="O11" i="17"/>
  <c r="N11" i="17"/>
  <c r="M11" i="17"/>
  <c r="K11" i="17"/>
  <c r="I11" i="17"/>
  <c r="G11" i="17"/>
  <c r="P11" i="17" s="1"/>
  <c r="E11" i="17"/>
  <c r="P10" i="17"/>
  <c r="O10" i="17"/>
  <c r="N10" i="17"/>
  <c r="M10" i="17"/>
  <c r="K10" i="17"/>
  <c r="I10" i="17"/>
  <c r="E10" i="17"/>
  <c r="G10" i="17" s="1"/>
  <c r="P9" i="17"/>
  <c r="O9" i="17"/>
  <c r="N9" i="17"/>
  <c r="N16" i="17" s="1"/>
  <c r="M9" i="17"/>
  <c r="K9" i="17"/>
  <c r="I9" i="17"/>
  <c r="G9" i="17"/>
  <c r="E9" i="17"/>
  <c r="N8" i="17"/>
  <c r="M8" i="17"/>
  <c r="O8" i="17" s="1"/>
  <c r="O14" i="17" s="1"/>
  <c r="K8" i="17"/>
  <c r="K17" i="17" s="1"/>
  <c r="I8" i="17"/>
  <c r="G8" i="17"/>
  <c r="P8" i="17" s="1"/>
  <c r="E8" i="17"/>
  <c r="N7" i="17"/>
  <c r="M7" i="17"/>
  <c r="O7" i="17" s="1"/>
  <c r="K7" i="17"/>
  <c r="K15" i="17" s="1"/>
  <c r="C33" i="17" s="1"/>
  <c r="I7" i="17"/>
  <c r="E7" i="17"/>
  <c r="G7" i="17" s="1"/>
  <c r="P7" i="17" s="1"/>
  <c r="K6" i="17"/>
  <c r="K18" i="17" s="1"/>
  <c r="F6" i="17"/>
  <c r="D6" i="17"/>
  <c r="C6" i="17"/>
  <c r="D83" i="16"/>
  <c r="C83" i="16"/>
  <c r="B83" i="16"/>
  <c r="D79" i="16"/>
  <c r="C79" i="16"/>
  <c r="B50" i="16"/>
  <c r="D50" i="16" s="1"/>
  <c r="D49" i="16"/>
  <c r="B49" i="16"/>
  <c r="C49" i="16" s="1"/>
  <c r="B48" i="16"/>
  <c r="C48" i="16" s="1"/>
  <c r="B47" i="16"/>
  <c r="D46" i="16"/>
  <c r="C46" i="16"/>
  <c r="B46" i="16"/>
  <c r="D45" i="16"/>
  <c r="C45" i="16"/>
  <c r="B45" i="16"/>
  <c r="D43" i="16"/>
  <c r="C43" i="16"/>
  <c r="D42" i="16"/>
  <c r="C42" i="16"/>
  <c r="B42" i="16"/>
  <c r="D37" i="16"/>
  <c r="C37" i="16"/>
  <c r="C32" i="16"/>
  <c r="D31" i="16"/>
  <c r="C31" i="16"/>
  <c r="D30" i="16"/>
  <c r="C30" i="16"/>
  <c r="B30" i="16"/>
  <c r="B32" i="16" s="1"/>
  <c r="D32" i="16" s="1"/>
  <c r="D26" i="16"/>
  <c r="D25" i="16"/>
  <c r="C25" i="16"/>
  <c r="B25" i="16"/>
  <c r="B24" i="16"/>
  <c r="D21" i="16"/>
  <c r="C21" i="16"/>
  <c r="B21" i="16"/>
  <c r="B20" i="16"/>
  <c r="D18" i="16"/>
  <c r="C18" i="16"/>
  <c r="D17" i="16"/>
  <c r="C17" i="16"/>
  <c r="B16" i="16"/>
  <c r="D16" i="16" s="1"/>
  <c r="C13" i="16"/>
  <c r="C86" i="16" s="1"/>
  <c r="D12" i="16"/>
  <c r="D13" i="16" s="1"/>
  <c r="C12" i="16"/>
  <c r="B12" i="16"/>
  <c r="D9" i="16"/>
  <c r="C9" i="16"/>
  <c r="B36" i="15"/>
  <c r="B8" i="15"/>
  <c r="B78" i="14"/>
  <c r="B74" i="14"/>
  <c r="B70" i="14"/>
  <c r="B69" i="14"/>
  <c r="B63" i="14"/>
  <c r="B62" i="14"/>
  <c r="B61" i="14"/>
  <c r="B60" i="14"/>
  <c r="B59" i="14"/>
  <c r="B58" i="14"/>
  <c r="B55" i="14"/>
  <c r="F50" i="14"/>
  <c r="B49" i="14"/>
  <c r="B46" i="14"/>
  <c r="G45" i="14"/>
  <c r="F45" i="14"/>
  <c r="E45" i="14"/>
  <c r="D45" i="14"/>
  <c r="C45" i="14"/>
  <c r="B45" i="14"/>
  <c r="B41" i="14"/>
  <c r="B40" i="14"/>
  <c r="B34" i="14"/>
  <c r="B33" i="14"/>
  <c r="B32" i="14"/>
  <c r="B31" i="14"/>
  <c r="G30" i="14"/>
  <c r="F30" i="14"/>
  <c r="E30" i="14"/>
  <c r="D30" i="14"/>
  <c r="B30" i="14"/>
  <c r="C29" i="14"/>
  <c r="B29" i="14"/>
  <c r="D28" i="14"/>
  <c r="B26" i="14"/>
  <c r="B23" i="14"/>
  <c r="B18" i="14"/>
  <c r="F16" i="14"/>
  <c r="E16" i="14"/>
  <c r="B12" i="14"/>
  <c r="B10" i="14"/>
  <c r="B9" i="14"/>
  <c r="B8" i="14"/>
  <c r="B7" i="14"/>
  <c r="B6" i="14"/>
  <c r="E12" i="12"/>
  <c r="E11" i="12"/>
  <c r="E10" i="12"/>
  <c r="E15" i="11"/>
  <c r="D15" i="11"/>
  <c r="C15" i="11"/>
  <c r="B15" i="11"/>
  <c r="E14" i="11"/>
  <c r="D14" i="11"/>
  <c r="C14" i="11"/>
  <c r="B14" i="11"/>
  <c r="B11" i="11"/>
  <c r="E9" i="11"/>
  <c r="D9" i="11"/>
  <c r="C9" i="11"/>
  <c r="B9" i="11"/>
  <c r="E8" i="11"/>
  <c r="E11" i="11" s="1"/>
  <c r="D8" i="11"/>
  <c r="B32" i="15" s="1"/>
  <c r="C8" i="11"/>
  <c r="C11" i="11" s="1"/>
  <c r="B8" i="11"/>
  <c r="B10" i="11" s="1"/>
  <c r="E7" i="11"/>
  <c r="D7" i="11"/>
  <c r="C7" i="11"/>
  <c r="B7" i="11"/>
  <c r="E6" i="11"/>
  <c r="D6" i="11"/>
  <c r="C6" i="11"/>
  <c r="B6" i="11"/>
  <c r="E21" i="10"/>
  <c r="D21" i="10"/>
  <c r="C21" i="10"/>
  <c r="B21" i="10"/>
  <c r="E20" i="10"/>
  <c r="D20" i="10"/>
  <c r="C20" i="10"/>
  <c r="B20" i="10"/>
  <c r="E17" i="10"/>
  <c r="D17" i="10"/>
  <c r="C17" i="10"/>
  <c r="B17" i="10"/>
  <c r="E16" i="10"/>
  <c r="D16" i="10"/>
  <c r="C16" i="10"/>
  <c r="B16" i="10"/>
  <c r="E15" i="10"/>
  <c r="D15" i="10"/>
  <c r="B65" i="14" s="1"/>
  <c r="C15" i="10"/>
  <c r="B15" i="10"/>
  <c r="E14" i="10"/>
  <c r="D14" i="10"/>
  <c r="C14" i="10"/>
  <c r="B14" i="10"/>
  <c r="E13" i="10"/>
  <c r="D13" i="10"/>
  <c r="C13" i="10"/>
  <c r="B13" i="10"/>
  <c r="E12" i="10"/>
  <c r="D12" i="10"/>
  <c r="C12" i="10"/>
  <c r="B12" i="10"/>
  <c r="E11" i="10"/>
  <c r="D11" i="10"/>
  <c r="C11" i="10"/>
  <c r="B11" i="10"/>
  <c r="E11" i="9"/>
  <c r="D11" i="9"/>
  <c r="B61" i="13" s="1"/>
  <c r="C11" i="9"/>
  <c r="B11" i="9"/>
  <c r="E10" i="9"/>
  <c r="D10" i="9"/>
  <c r="C10" i="9"/>
  <c r="B10" i="9"/>
  <c r="E7" i="9"/>
  <c r="D7" i="9"/>
  <c r="C7" i="9"/>
  <c r="B7" i="9"/>
  <c r="E6" i="9"/>
  <c r="D6" i="9"/>
  <c r="B48" i="14" s="1"/>
  <c r="C48" i="14" s="1"/>
  <c r="C6" i="9"/>
  <c r="B6" i="9"/>
  <c r="E21" i="8"/>
  <c r="D21" i="8"/>
  <c r="C21" i="8"/>
  <c r="B21" i="8"/>
  <c r="E20" i="8"/>
  <c r="D20" i="8"/>
  <c r="C20" i="8"/>
  <c r="B20" i="8"/>
  <c r="E17" i="8"/>
  <c r="D17" i="8"/>
  <c r="C17" i="8"/>
  <c r="B17" i="8"/>
  <c r="E14" i="8"/>
  <c r="D14" i="8"/>
  <c r="C14" i="8"/>
  <c r="B14" i="8"/>
  <c r="E13" i="8"/>
  <c r="E12" i="8"/>
  <c r="D12" i="8"/>
  <c r="B43" i="14" s="1"/>
  <c r="C43" i="14" s="1"/>
  <c r="D43" i="14" s="1"/>
  <c r="E43" i="14" s="1"/>
  <c r="F43" i="14" s="1"/>
  <c r="G43" i="14" s="1"/>
  <c r="C12" i="8"/>
  <c r="B12" i="8"/>
  <c r="E11" i="8"/>
  <c r="D11" i="8"/>
  <c r="B42" i="14" s="1"/>
  <c r="C11" i="8"/>
  <c r="C13" i="8" s="1"/>
  <c r="B11" i="8"/>
  <c r="B13" i="8" s="1"/>
  <c r="E8" i="8"/>
  <c r="E22" i="8" s="1"/>
  <c r="B8" i="8"/>
  <c r="B22" i="8" s="1"/>
  <c r="E7" i="8"/>
  <c r="D7" i="8"/>
  <c r="C7" i="8"/>
  <c r="B7" i="8"/>
  <c r="E6" i="8"/>
  <c r="D6" i="8"/>
  <c r="C6" i="8"/>
  <c r="C8" i="8" s="1"/>
  <c r="C22" i="8" s="1"/>
  <c r="B6" i="8"/>
  <c r="E30" i="7"/>
  <c r="D30" i="7"/>
  <c r="C30" i="7"/>
  <c r="B30" i="7"/>
  <c r="E27" i="7"/>
  <c r="D27" i="7"/>
  <c r="C27" i="7"/>
  <c r="B27" i="7"/>
  <c r="E26" i="7"/>
  <c r="D26" i="7"/>
  <c r="C26" i="7"/>
  <c r="B26" i="7"/>
  <c r="E25" i="7"/>
  <c r="D25" i="7"/>
  <c r="C25" i="7"/>
  <c r="B25" i="7"/>
  <c r="E24" i="7"/>
  <c r="D24" i="7"/>
  <c r="C24" i="7"/>
  <c r="B24" i="7"/>
  <c r="E21" i="7"/>
  <c r="D21" i="7"/>
  <c r="C21" i="7"/>
  <c r="B21" i="7"/>
  <c r="E20" i="7"/>
  <c r="D20" i="7"/>
  <c r="B24" i="14" s="1"/>
  <c r="C20" i="7"/>
  <c r="B20" i="7"/>
  <c r="E19" i="7"/>
  <c r="D19" i="7"/>
  <c r="C19" i="7"/>
  <c r="B19" i="7"/>
  <c r="E18" i="7"/>
  <c r="D18" i="7"/>
  <c r="B25" i="14" s="1"/>
  <c r="C18" i="7"/>
  <c r="B18" i="7"/>
  <c r="B14" i="7"/>
  <c r="E13" i="7"/>
  <c r="B28" i="14" s="1"/>
  <c r="C31" i="14" s="1"/>
  <c r="C32" i="14" s="1"/>
  <c r="D13" i="7"/>
  <c r="C13" i="7"/>
  <c r="B13" i="7"/>
  <c r="E10" i="7"/>
  <c r="D10" i="7"/>
  <c r="C10" i="7"/>
  <c r="B10" i="7"/>
  <c r="E9" i="7"/>
  <c r="D9" i="7"/>
  <c r="C9" i="7"/>
  <c r="B9" i="7"/>
  <c r="E8" i="7"/>
  <c r="D8" i="7"/>
  <c r="C8" i="7"/>
  <c r="B8" i="7"/>
  <c r="E7" i="7"/>
  <c r="D7" i="7"/>
  <c r="C7" i="7"/>
  <c r="B7" i="7"/>
  <c r="E6" i="7"/>
  <c r="E14" i="7" s="1"/>
  <c r="D6" i="7"/>
  <c r="D15" i="7" s="1"/>
  <c r="C6" i="7"/>
  <c r="C15" i="7" s="1"/>
  <c r="B6" i="7"/>
  <c r="E31" i="6"/>
  <c r="D31" i="6"/>
  <c r="C31" i="6"/>
  <c r="B31" i="6"/>
  <c r="E30" i="6"/>
  <c r="D30" i="6"/>
  <c r="B22" i="13" s="1"/>
  <c r="C30" i="6"/>
  <c r="B30" i="6"/>
  <c r="E27" i="6"/>
  <c r="D27" i="6"/>
  <c r="C27" i="6"/>
  <c r="B27" i="6"/>
  <c r="E26" i="6"/>
  <c r="D26" i="6"/>
  <c r="C26" i="6"/>
  <c r="B26" i="6"/>
  <c r="E25" i="6"/>
  <c r="D25" i="6"/>
  <c r="C25" i="6"/>
  <c r="B25" i="6"/>
  <c r="E24" i="6"/>
  <c r="D24" i="6"/>
  <c r="C24" i="6"/>
  <c r="B24" i="6"/>
  <c r="E23" i="6"/>
  <c r="D23" i="6"/>
  <c r="B11" i="14" s="1"/>
  <c r="C23" i="6"/>
  <c r="B23" i="6"/>
  <c r="E20" i="6"/>
  <c r="D20" i="6"/>
  <c r="C20" i="6"/>
  <c r="B20" i="6"/>
  <c r="E19" i="6"/>
  <c r="D19" i="6"/>
  <c r="C19" i="6"/>
  <c r="B19" i="6"/>
  <c r="E18" i="6"/>
  <c r="D18" i="6"/>
  <c r="C18" i="6"/>
  <c r="B18" i="6"/>
  <c r="E17" i="6"/>
  <c r="D17" i="6"/>
  <c r="C17" i="6"/>
  <c r="B17" i="6"/>
  <c r="E14" i="6"/>
  <c r="D14" i="6"/>
  <c r="B25" i="13" s="1"/>
  <c r="C14" i="6"/>
  <c r="B14" i="6"/>
  <c r="E13" i="6"/>
  <c r="D13" i="6"/>
  <c r="C13" i="6"/>
  <c r="B13" i="6"/>
  <c r="E12" i="6"/>
  <c r="D12" i="6"/>
  <c r="B13" i="14" s="1"/>
  <c r="C12" i="6"/>
  <c r="B12" i="6"/>
  <c r="E9" i="6"/>
  <c r="D9" i="6"/>
  <c r="C9" i="6"/>
  <c r="B9" i="6"/>
  <c r="E8" i="6"/>
  <c r="D8" i="6"/>
  <c r="C8" i="6"/>
  <c r="B8" i="6"/>
  <c r="E7" i="6"/>
  <c r="D7" i="6"/>
  <c r="C7" i="6"/>
  <c r="B7" i="6"/>
  <c r="E6" i="6"/>
  <c r="D6" i="6"/>
  <c r="C6" i="6"/>
  <c r="B6" i="6"/>
  <c r="E44" i="5"/>
  <c r="D44" i="5"/>
  <c r="C44" i="5"/>
  <c r="B44" i="5"/>
  <c r="E43" i="5"/>
  <c r="D43" i="5"/>
  <c r="C43" i="5"/>
  <c r="B43" i="5"/>
  <c r="E42" i="5"/>
  <c r="D42" i="5"/>
  <c r="C42" i="5"/>
  <c r="B42" i="5"/>
  <c r="E41" i="5"/>
  <c r="D41" i="5"/>
  <c r="C41" i="5"/>
  <c r="B41" i="5"/>
  <c r="E40" i="5"/>
  <c r="D40" i="5"/>
  <c r="C40" i="5"/>
  <c r="B40" i="5"/>
  <c r="E39" i="5"/>
  <c r="D39" i="5"/>
  <c r="C39" i="5"/>
  <c r="B39" i="5"/>
  <c r="E38" i="5"/>
  <c r="D38" i="5"/>
  <c r="C38" i="5"/>
  <c r="B38" i="5"/>
  <c r="E37" i="5"/>
  <c r="D37" i="5"/>
  <c r="C37" i="5"/>
  <c r="B37" i="5"/>
  <c r="E36" i="5"/>
  <c r="D36" i="5"/>
  <c r="C36" i="5"/>
  <c r="B36" i="5"/>
  <c r="E32" i="5"/>
  <c r="D32" i="5"/>
  <c r="C32" i="5"/>
  <c r="B32" i="5"/>
  <c r="E27" i="5"/>
  <c r="D27" i="5"/>
  <c r="C27" i="5"/>
  <c r="B27" i="5"/>
  <c r="E26" i="5"/>
  <c r="D26" i="5"/>
  <c r="C26" i="5"/>
  <c r="B26" i="5"/>
  <c r="E25" i="5"/>
  <c r="D25" i="5"/>
  <c r="C25" i="5"/>
  <c r="B25" i="5"/>
  <c r="E24" i="5"/>
  <c r="D24" i="5"/>
  <c r="C24" i="5"/>
  <c r="B24" i="5"/>
  <c r="E23" i="5"/>
  <c r="D23" i="5"/>
  <c r="C23" i="5"/>
  <c r="B23" i="5"/>
  <c r="E18" i="5"/>
  <c r="D18" i="5"/>
  <c r="C18" i="5"/>
  <c r="B18" i="5"/>
  <c r="E17" i="5"/>
  <c r="D17" i="5"/>
  <c r="C17" i="5"/>
  <c r="B17" i="5"/>
  <c r="E16" i="5"/>
  <c r="D16" i="5"/>
  <c r="C16" i="5"/>
  <c r="B16" i="5"/>
  <c r="E15" i="5"/>
  <c r="D15" i="5"/>
  <c r="C15" i="5"/>
  <c r="B15" i="5"/>
  <c r="E9" i="5"/>
  <c r="D9" i="5"/>
  <c r="C9" i="5"/>
  <c r="B9" i="5"/>
  <c r="E8" i="5"/>
  <c r="D8" i="5"/>
  <c r="C8" i="5"/>
  <c r="B8" i="5"/>
  <c r="E7" i="5"/>
  <c r="E10" i="5" s="1"/>
  <c r="D7" i="5"/>
  <c r="C7" i="5"/>
  <c r="B7" i="5"/>
  <c r="E6" i="5"/>
  <c r="D6" i="5"/>
  <c r="D10" i="5" s="1"/>
  <c r="C6" i="5"/>
  <c r="B6" i="5"/>
  <c r="E5" i="5"/>
  <c r="D5" i="5"/>
  <c r="C5" i="5"/>
  <c r="C10" i="5" s="1"/>
  <c r="B5" i="5"/>
  <c r="E73" i="4"/>
  <c r="D73" i="4"/>
  <c r="C73" i="4"/>
  <c r="B73" i="4"/>
  <c r="E71" i="4"/>
  <c r="D71" i="4"/>
  <c r="C71" i="4"/>
  <c r="B71" i="4"/>
  <c r="E70" i="4"/>
  <c r="D70" i="4"/>
  <c r="C70" i="4"/>
  <c r="B70" i="4"/>
  <c r="E69" i="4"/>
  <c r="D69" i="4"/>
  <c r="C69" i="4"/>
  <c r="B69" i="4"/>
  <c r="E68" i="4"/>
  <c r="D68" i="4"/>
  <c r="C68" i="4"/>
  <c r="B68" i="4"/>
  <c r="E67" i="4"/>
  <c r="D67" i="4"/>
  <c r="D72" i="4" s="1"/>
  <c r="D74" i="4" s="1"/>
  <c r="D75" i="4" s="1"/>
  <c r="C67" i="4"/>
  <c r="C72" i="4" s="1"/>
  <c r="B67" i="4"/>
  <c r="B72" i="4" s="1"/>
  <c r="E66" i="4"/>
  <c r="D66" i="4"/>
  <c r="C66" i="4"/>
  <c r="B66" i="4"/>
  <c r="E64" i="4"/>
  <c r="D64" i="4"/>
  <c r="C64" i="4"/>
  <c r="B64" i="4"/>
  <c r="E63" i="4"/>
  <c r="D63" i="4"/>
  <c r="C63" i="4"/>
  <c r="B63" i="4"/>
  <c r="E62" i="4"/>
  <c r="D62" i="4"/>
  <c r="C62" i="4"/>
  <c r="B62" i="4"/>
  <c r="B65" i="4" s="1"/>
  <c r="E61" i="4"/>
  <c r="E65" i="4" s="1"/>
  <c r="D61" i="4"/>
  <c r="D65" i="4" s="1"/>
  <c r="C61" i="4"/>
  <c r="C65" i="4" s="1"/>
  <c r="B61" i="4"/>
  <c r="E60" i="4"/>
  <c r="D60" i="4"/>
  <c r="C60" i="4"/>
  <c r="B60" i="4"/>
  <c r="E59" i="4"/>
  <c r="D59" i="4"/>
  <c r="C59" i="4"/>
  <c r="B59" i="4"/>
  <c r="E58" i="4"/>
  <c r="D58" i="4"/>
  <c r="C58" i="4"/>
  <c r="B58" i="4"/>
  <c r="E57" i="4"/>
  <c r="D57" i="4"/>
  <c r="C57" i="4"/>
  <c r="B57" i="4"/>
  <c r="E56" i="4"/>
  <c r="D56" i="4"/>
  <c r="C56" i="4"/>
  <c r="B56" i="4"/>
  <c r="E55" i="4"/>
  <c r="D55" i="4"/>
  <c r="C55" i="4"/>
  <c r="B55" i="4"/>
  <c r="E51" i="4"/>
  <c r="E50" i="4"/>
  <c r="D50" i="4"/>
  <c r="C50" i="4"/>
  <c r="B50" i="4"/>
  <c r="B51" i="4" s="1"/>
  <c r="E49" i="4"/>
  <c r="D49" i="4"/>
  <c r="D51" i="4" s="1"/>
  <c r="C49" i="4"/>
  <c r="C51" i="4" s="1"/>
  <c r="B49" i="4"/>
  <c r="E48" i="4"/>
  <c r="D48" i="4"/>
  <c r="C48" i="4"/>
  <c r="B48" i="4"/>
  <c r="B47" i="4"/>
  <c r="E46" i="4"/>
  <c r="E47" i="4" s="1"/>
  <c r="D46" i="4"/>
  <c r="C46" i="4"/>
  <c r="B46" i="4"/>
  <c r="E45" i="4"/>
  <c r="D45" i="4"/>
  <c r="C45" i="4"/>
  <c r="B45" i="4"/>
  <c r="E44" i="4"/>
  <c r="D44" i="4"/>
  <c r="D47" i="4" s="1"/>
  <c r="C44" i="4"/>
  <c r="C47" i="4" s="1"/>
  <c r="B44" i="4"/>
  <c r="E42" i="4"/>
  <c r="D42" i="4"/>
  <c r="C42" i="4"/>
  <c r="B42" i="4"/>
  <c r="E41" i="4"/>
  <c r="D41" i="4"/>
  <c r="C41" i="4"/>
  <c r="B41" i="4"/>
  <c r="E39" i="4"/>
  <c r="D39" i="4"/>
  <c r="C39" i="4"/>
  <c r="B39" i="4"/>
  <c r="E38" i="4"/>
  <c r="D38" i="4"/>
  <c r="C38" i="4"/>
  <c r="B38" i="4"/>
  <c r="D37" i="4"/>
  <c r="D40" i="4" s="1"/>
  <c r="D43" i="4" s="1"/>
  <c r="B37" i="4"/>
  <c r="B40" i="4" s="1"/>
  <c r="B43" i="4" s="1"/>
  <c r="E36" i="4"/>
  <c r="E37" i="4" s="1"/>
  <c r="E40" i="4" s="1"/>
  <c r="E43" i="4" s="1"/>
  <c r="E52" i="4" s="1"/>
  <c r="D36" i="4"/>
  <c r="C36" i="4"/>
  <c r="B36" i="4"/>
  <c r="E35" i="4"/>
  <c r="D35" i="4"/>
  <c r="C35" i="4"/>
  <c r="C37" i="4" s="1"/>
  <c r="C40" i="4" s="1"/>
  <c r="C43" i="4" s="1"/>
  <c r="B35" i="4"/>
  <c r="E28" i="4"/>
  <c r="D28" i="4"/>
  <c r="C28" i="4"/>
  <c r="B28" i="4"/>
  <c r="E27" i="4"/>
  <c r="D27" i="4"/>
  <c r="C27" i="4"/>
  <c r="B27" i="4"/>
  <c r="E25" i="4"/>
  <c r="D25" i="4"/>
  <c r="C25" i="4"/>
  <c r="B25" i="4"/>
  <c r="E23" i="4"/>
  <c r="D23" i="4"/>
  <c r="C23" i="4"/>
  <c r="B23" i="4"/>
  <c r="E22" i="4"/>
  <c r="D22" i="4"/>
  <c r="C22" i="4"/>
  <c r="B22" i="4"/>
  <c r="E21" i="4"/>
  <c r="D21" i="4"/>
  <c r="C21" i="4"/>
  <c r="B21" i="4"/>
  <c r="E20" i="4"/>
  <c r="D20" i="4"/>
  <c r="B64" i="14" s="1"/>
  <c r="C20" i="4"/>
  <c r="B20" i="4"/>
  <c r="E19" i="4"/>
  <c r="D19" i="4"/>
  <c r="B54" i="14" s="1"/>
  <c r="G54" i="14" s="1"/>
  <c r="C19" i="4"/>
  <c r="B19" i="4"/>
  <c r="E17" i="4"/>
  <c r="E14" i="4"/>
  <c r="D14" i="4"/>
  <c r="C14" i="4"/>
  <c r="B14" i="4"/>
  <c r="E13" i="4"/>
  <c r="D13" i="4"/>
  <c r="C13" i="4"/>
  <c r="B13" i="4"/>
  <c r="E12" i="4"/>
  <c r="D12" i="4"/>
  <c r="B53" i="14" s="1"/>
  <c r="C53" i="14" s="1"/>
  <c r="D53" i="14" s="1"/>
  <c r="E53" i="14" s="1"/>
  <c r="F53" i="14" s="1"/>
  <c r="G53" i="14" s="1"/>
  <c r="C12" i="4"/>
  <c r="B12" i="4"/>
  <c r="E11" i="4"/>
  <c r="D11" i="4"/>
  <c r="B44" i="14" s="1"/>
  <c r="C11" i="4"/>
  <c r="B11" i="4"/>
  <c r="E10" i="4"/>
  <c r="E15" i="4" s="1"/>
  <c r="D10" i="4"/>
  <c r="B16" i="14" s="1"/>
  <c r="C10" i="4"/>
  <c r="C15" i="4" s="1"/>
  <c r="B10" i="4"/>
  <c r="B31" i="4" s="1"/>
  <c r="B9" i="4"/>
  <c r="E8" i="4"/>
  <c r="E9" i="4" s="1"/>
  <c r="E16" i="4" s="1"/>
  <c r="E18" i="4" s="1"/>
  <c r="E24" i="4" s="1"/>
  <c r="E26" i="4" s="1"/>
  <c r="E29" i="4" s="1"/>
  <c r="D8" i="4"/>
  <c r="C8" i="4"/>
  <c r="B8" i="4"/>
  <c r="E7" i="4"/>
  <c r="D7" i="4"/>
  <c r="C7" i="4"/>
  <c r="B7" i="4"/>
  <c r="E6" i="4"/>
  <c r="E31" i="4" s="1"/>
  <c r="D6" i="4"/>
  <c r="D31" i="4" s="1"/>
  <c r="C6" i="4"/>
  <c r="C31" i="4" s="1"/>
  <c r="B6" i="4"/>
  <c r="B174" i="3"/>
  <c r="E78" i="3"/>
  <c r="D78" i="3"/>
  <c r="C78" i="3"/>
  <c r="B78" i="3"/>
  <c r="E66" i="3"/>
  <c r="D66" i="3"/>
  <c r="C66" i="3"/>
  <c r="B66" i="3"/>
  <c r="E64" i="3"/>
  <c r="D64" i="3"/>
  <c r="C64" i="3"/>
  <c r="B64" i="3"/>
  <c r="D12" i="3"/>
  <c r="D17" i="4" s="1"/>
  <c r="C12" i="3"/>
  <c r="C17" i="4" s="1"/>
  <c r="B12" i="3"/>
  <c r="B17" i="4" s="1"/>
  <c r="F62" i="13"/>
  <c r="B6" i="15" s="1"/>
  <c r="F61" i="13"/>
  <c r="F60" i="13"/>
  <c r="B9" i="15" s="1"/>
  <c r="F59" i="13"/>
  <c r="B5" i="15" s="1"/>
  <c r="F58" i="13"/>
  <c r="B58" i="13"/>
  <c r="F55" i="13"/>
  <c r="B55" i="13"/>
  <c r="F54" i="13"/>
  <c r="F53" i="13"/>
  <c r="F52" i="13"/>
  <c r="F49" i="13"/>
  <c r="C50" i="14" s="1"/>
  <c r="F48" i="13"/>
  <c r="F47" i="13"/>
  <c r="B47" i="13"/>
  <c r="F46" i="13"/>
  <c r="B46" i="13"/>
  <c r="F45" i="13"/>
  <c r="B45" i="13"/>
  <c r="F42" i="13"/>
  <c r="F41" i="13"/>
  <c r="F40" i="13"/>
  <c r="B40" i="13"/>
  <c r="F39" i="13"/>
  <c r="F38" i="13"/>
  <c r="C40" i="14" s="1"/>
  <c r="D40" i="14" s="1"/>
  <c r="E40" i="14" s="1"/>
  <c r="F40" i="14" s="1"/>
  <c r="G40" i="14" s="1"/>
  <c r="F37" i="13"/>
  <c r="F34" i="13"/>
  <c r="F33" i="13"/>
  <c r="F32" i="13"/>
  <c r="C30" i="14" s="1"/>
  <c r="F31" i="13"/>
  <c r="F30" i="13"/>
  <c r="F29" i="13"/>
  <c r="C28" i="14" s="1"/>
  <c r="D31" i="14" s="1"/>
  <c r="D34" i="14" s="1"/>
  <c r="D49" i="14" s="1"/>
  <c r="D60" i="14" s="1"/>
  <c r="B29" i="13"/>
  <c r="F28" i="13"/>
  <c r="C24" i="14" s="1"/>
  <c r="B28" i="13"/>
  <c r="F27" i="13"/>
  <c r="C23" i="14" s="1"/>
  <c r="B27" i="13"/>
  <c r="F26" i="13"/>
  <c r="D22" i="14" s="1"/>
  <c r="F25" i="13"/>
  <c r="C22" i="14" s="1"/>
  <c r="D25" i="14" s="1"/>
  <c r="F22" i="13"/>
  <c r="F21" i="13"/>
  <c r="B21" i="13"/>
  <c r="F20" i="13"/>
  <c r="F11" i="14" s="1"/>
  <c r="B20" i="13"/>
  <c r="F19" i="13"/>
  <c r="G10" i="14" s="1"/>
  <c r="F18" i="13"/>
  <c r="C10" i="14" s="1"/>
  <c r="B18" i="13"/>
  <c r="F15" i="13"/>
  <c r="C16" i="14" s="1"/>
  <c r="F13" i="13"/>
  <c r="D9" i="14" s="1"/>
  <c r="F12" i="13"/>
  <c r="G8" i="14" s="1"/>
  <c r="F11" i="13"/>
  <c r="F8" i="14" s="1"/>
  <c r="F10" i="13"/>
  <c r="F6" i="14" s="1"/>
  <c r="B10" i="13"/>
  <c r="B6" i="13"/>
  <c r="H4" i="14" s="1"/>
  <c r="C74" i="4" l="1"/>
  <c r="C75" i="4" s="1"/>
  <c r="B17" i="15"/>
  <c r="D17" i="15"/>
  <c r="F17" i="15"/>
  <c r="B24" i="15" s="1"/>
  <c r="E17" i="15"/>
  <c r="C17" i="15"/>
  <c r="B7" i="15"/>
  <c r="B32" i="4"/>
  <c r="P16" i="17"/>
  <c r="P14" i="17"/>
  <c r="P15" i="17"/>
  <c r="C31" i="17" s="1"/>
  <c r="P17" i="17"/>
  <c r="B52" i="4"/>
  <c r="E5" i="12" s="1"/>
  <c r="D52" i="4"/>
  <c r="B56" i="14"/>
  <c r="B15" i="14"/>
  <c r="B36" i="14"/>
  <c r="E11" i="5"/>
  <c r="E14" i="5"/>
  <c r="E19" i="5" s="1"/>
  <c r="D86" i="16"/>
  <c r="D40" i="16"/>
  <c r="D14" i="5"/>
  <c r="D19" i="5" s="1"/>
  <c r="D11" i="5"/>
  <c r="B75" i="14"/>
  <c r="D48" i="14"/>
  <c r="E48" i="14" s="1"/>
  <c r="F48" i="14" s="1"/>
  <c r="G48" i="14" s="1"/>
  <c r="C58" i="14"/>
  <c r="D13" i="14"/>
  <c r="E25" i="14"/>
  <c r="E22" i="14"/>
  <c r="C52" i="4"/>
  <c r="C11" i="5"/>
  <c r="C14" i="5"/>
  <c r="C19" i="5" s="1"/>
  <c r="C12" i="14"/>
  <c r="B74" i="4"/>
  <c r="B75" i="4" s="1"/>
  <c r="C10" i="11"/>
  <c r="D8" i="14"/>
  <c r="F10" i="14"/>
  <c r="F12" i="14" s="1"/>
  <c r="D24" i="14"/>
  <c r="D54" i="14"/>
  <c r="C26" i="16"/>
  <c r="B26" i="16"/>
  <c r="C40" i="16"/>
  <c r="C44" i="16" s="1"/>
  <c r="O16" i="17"/>
  <c r="O15" i="17"/>
  <c r="C32" i="4"/>
  <c r="D32" i="4"/>
  <c r="D10" i="11"/>
  <c r="C6" i="14"/>
  <c r="C7" i="14" s="1"/>
  <c r="E24" i="14"/>
  <c r="B50" i="14"/>
  <c r="F54" i="14"/>
  <c r="C24" i="16"/>
  <c r="D25" i="17"/>
  <c r="B33" i="17"/>
  <c r="C9" i="4"/>
  <c r="C16" i="4" s="1"/>
  <c r="C18" i="4" s="1"/>
  <c r="C24" i="4" s="1"/>
  <c r="C26" i="4" s="1"/>
  <c r="C29" i="4" s="1"/>
  <c r="E32" i="4"/>
  <c r="E10" i="11"/>
  <c r="G16" i="14"/>
  <c r="F24" i="14"/>
  <c r="D24" i="16"/>
  <c r="C50" i="16"/>
  <c r="D9" i="4"/>
  <c r="C54" i="14"/>
  <c r="E54" i="14"/>
  <c r="C11" i="14"/>
  <c r="B17" i="14"/>
  <c r="G24" i="14"/>
  <c r="E31" i="14"/>
  <c r="E28" i="14"/>
  <c r="G55" i="14"/>
  <c r="F55" i="14"/>
  <c r="B22" i="16"/>
  <c r="B27" i="16" s="1"/>
  <c r="B41" i="16" s="1"/>
  <c r="D22" i="16"/>
  <c r="D27" i="16" s="1"/>
  <c r="D41" i="16" s="1"/>
  <c r="D33" i="17"/>
  <c r="B10" i="5"/>
  <c r="C14" i="7"/>
  <c r="C9" i="14"/>
  <c r="C55" i="14"/>
  <c r="C20" i="16"/>
  <c r="K14" i="17"/>
  <c r="K16" i="17"/>
  <c r="C20" i="19"/>
  <c r="C22" i="19" s="1"/>
  <c r="D11" i="11"/>
  <c r="E9" i="12" s="1"/>
  <c r="D55" i="14"/>
  <c r="D20" i="16"/>
  <c r="D47" i="16"/>
  <c r="C47" i="16"/>
  <c r="N14" i="17"/>
  <c r="D20" i="19"/>
  <c r="D22" i="19" s="1"/>
  <c r="G9" i="14"/>
  <c r="F9" i="14"/>
  <c r="E72" i="4"/>
  <c r="E74" i="4" s="1"/>
  <c r="E75" i="4" s="1"/>
  <c r="D14" i="7"/>
  <c r="B22" i="14" s="1"/>
  <c r="C25" i="14" s="1"/>
  <c r="D8" i="8"/>
  <c r="D13" i="8"/>
  <c r="E9" i="14"/>
  <c r="E55" i="14"/>
  <c r="B68" i="14"/>
  <c r="D15" i="4"/>
  <c r="G23" i="14"/>
  <c r="F23" i="14"/>
  <c r="E6" i="14"/>
  <c r="E7" i="14" s="1"/>
  <c r="D6" i="14"/>
  <c r="D7" i="14" s="1"/>
  <c r="G6" i="14"/>
  <c r="G7" i="14" s="1"/>
  <c r="E11" i="14"/>
  <c r="D11" i="14"/>
  <c r="G11" i="14"/>
  <c r="G12" i="14" s="1"/>
  <c r="C8" i="14"/>
  <c r="E8" i="14"/>
  <c r="B15" i="4"/>
  <c r="B16" i="4" s="1"/>
  <c r="B18" i="4" s="1"/>
  <c r="B24" i="4" s="1"/>
  <c r="B26" i="4" s="1"/>
  <c r="B29" i="4" s="1"/>
  <c r="B14" i="13"/>
  <c r="B49" i="13"/>
  <c r="E15" i="7"/>
  <c r="E50" i="14"/>
  <c r="D50" i="14"/>
  <c r="G50" i="14"/>
  <c r="I15" i="17"/>
  <c r="C32" i="17" s="1"/>
  <c r="I17" i="17"/>
  <c r="N15" i="17"/>
  <c r="N17" i="17"/>
  <c r="D23" i="14"/>
  <c r="D26" i="14" s="1"/>
  <c r="D48" i="16"/>
  <c r="B53" i="16"/>
  <c r="G29" i="14"/>
  <c r="F29" i="14"/>
  <c r="D10" i="14"/>
  <c r="D12" i="14" s="1"/>
  <c r="E23" i="14"/>
  <c r="D29" i="14"/>
  <c r="D32" i="14" s="1"/>
  <c r="C16" i="16"/>
  <c r="E6" i="17"/>
  <c r="G6" i="17" s="1"/>
  <c r="B52" i="13"/>
  <c r="B15" i="7"/>
  <c r="E10" i="14"/>
  <c r="E12" i="14" s="1"/>
  <c r="D16" i="14"/>
  <c r="E29" i="14"/>
  <c r="C22" i="16"/>
  <c r="C27" i="16" s="1"/>
  <c r="C41" i="16" s="1"/>
  <c r="O17" i="17"/>
  <c r="J6" i="19"/>
  <c r="D53" i="16" l="1"/>
  <c r="C53" i="16"/>
  <c r="D58" i="14"/>
  <c r="D22" i="8"/>
  <c r="B37" i="13" s="1"/>
  <c r="B39" i="14"/>
  <c r="C34" i="14"/>
  <c r="C49" i="14" s="1"/>
  <c r="C60" i="14" s="1"/>
  <c r="C26" i="14"/>
  <c r="C33" i="14" s="1"/>
  <c r="B14" i="5"/>
  <c r="B19" i="5" s="1"/>
  <c r="B11" i="5"/>
  <c r="E6" i="12" s="1"/>
  <c r="E34" i="14"/>
  <c r="E49" i="14" s="1"/>
  <c r="E60" i="14" s="1"/>
  <c r="E26" i="14"/>
  <c r="E22" i="5"/>
  <c r="E28" i="5" s="1"/>
  <c r="E20" i="5"/>
  <c r="F7" i="14"/>
  <c r="F13" i="14" s="1"/>
  <c r="B23" i="17"/>
  <c r="C30" i="17"/>
  <c r="B22" i="17"/>
  <c r="C29" i="17"/>
  <c r="G13" i="14"/>
  <c r="D16" i="4"/>
  <c r="D18" i="4" s="1"/>
  <c r="D24" i="4" s="1"/>
  <c r="D26" i="4" s="1"/>
  <c r="D29" i="4" s="1"/>
  <c r="C85" i="16"/>
  <c r="C51" i="16"/>
  <c r="C69" i="14"/>
  <c r="F31" i="14"/>
  <c r="F32" i="14" s="1"/>
  <c r="F28" i="14"/>
  <c r="E13" i="14"/>
  <c r="E32" i="14"/>
  <c r="D22" i="5"/>
  <c r="D28" i="5" s="1"/>
  <c r="D20" i="5"/>
  <c r="C22" i="5"/>
  <c r="C28" i="5" s="1"/>
  <c r="C20" i="5"/>
  <c r="C13" i="14"/>
  <c r="C15" i="14" s="1"/>
  <c r="E58" i="14"/>
  <c r="F25" i="14"/>
  <c r="F22" i="14"/>
  <c r="D44" i="16"/>
  <c r="C36" i="14" l="1"/>
  <c r="D15" i="14"/>
  <c r="B22" i="5"/>
  <c r="B28" i="5" s="1"/>
  <c r="B20" i="5"/>
  <c r="G31" i="14"/>
  <c r="G32" i="14" s="1"/>
  <c r="G28" i="14"/>
  <c r="C35" i="5"/>
  <c r="C45" i="5" s="1"/>
  <c r="C46" i="5" s="1"/>
  <c r="C30" i="5"/>
  <c r="C31" i="5" s="1"/>
  <c r="C29" i="5"/>
  <c r="D30" i="5"/>
  <c r="B72" i="14"/>
  <c r="D35" i="5"/>
  <c r="D45" i="5" s="1"/>
  <c r="D29" i="5"/>
  <c r="B8" i="16"/>
  <c r="D33" i="14"/>
  <c r="E33" i="14" s="1"/>
  <c r="F33" i="14" s="1"/>
  <c r="C54" i="16"/>
  <c r="C52" i="16"/>
  <c r="C57" i="16"/>
  <c r="C58" i="16" s="1"/>
  <c r="C39" i="14"/>
  <c r="C41" i="14" s="1"/>
  <c r="C42" i="14" s="1"/>
  <c r="D51" i="16"/>
  <c r="D85" i="16"/>
  <c r="G25" i="14"/>
  <c r="F58" i="14"/>
  <c r="G22" i="14"/>
  <c r="E29" i="5"/>
  <c r="E35" i="5"/>
  <c r="E45" i="5" s="1"/>
  <c r="E46" i="5" s="1"/>
  <c r="E30" i="5"/>
  <c r="E31" i="5" s="1"/>
  <c r="F34" i="14"/>
  <c r="F49" i="14" s="1"/>
  <c r="F60" i="14" s="1"/>
  <c r="F26" i="14"/>
  <c r="C44" i="14" l="1"/>
  <c r="C46" i="14" s="1"/>
  <c r="D52" i="16"/>
  <c r="D57" i="16"/>
  <c r="D58" i="16" s="1"/>
  <c r="D54" i="16"/>
  <c r="E15" i="14"/>
  <c r="D36" i="14"/>
  <c r="G58" i="14"/>
  <c r="B7" i="16"/>
  <c r="B9" i="16" s="1"/>
  <c r="C17" i="14"/>
  <c r="C18" i="14" s="1"/>
  <c r="G34" i="14"/>
  <c r="G49" i="14" s="1"/>
  <c r="G60" i="14" s="1"/>
  <c r="G26" i="14"/>
  <c r="G33" i="14"/>
  <c r="B77" i="14"/>
  <c r="B76" i="14"/>
  <c r="C59" i="14" s="1"/>
  <c r="D46" i="5"/>
  <c r="D39" i="14"/>
  <c r="D41" i="14"/>
  <c r="D42" i="14" s="1"/>
  <c r="B73" i="14"/>
  <c r="D31" i="5"/>
  <c r="B30" i="5"/>
  <c r="B31" i="5" s="1"/>
  <c r="E7" i="12" s="1"/>
  <c r="B35" i="5"/>
  <c r="B45" i="5" s="1"/>
  <c r="B46" i="5" s="1"/>
  <c r="B29" i="5"/>
  <c r="C78" i="16"/>
  <c r="C14" i="19"/>
  <c r="D6" i="18"/>
  <c r="D20" i="20"/>
  <c r="B35" i="16" l="1"/>
  <c r="C56" i="14"/>
  <c r="H6" i="17" s="1"/>
  <c r="F6" i="18"/>
  <c r="D44" i="14"/>
  <c r="D46" i="14"/>
  <c r="D56" i="14" s="1"/>
  <c r="H8" i="19"/>
  <c r="C17" i="19"/>
  <c r="C21" i="19"/>
  <c r="E39" i="14"/>
  <c r="E41" i="14"/>
  <c r="E42" i="14" s="1"/>
  <c r="F15" i="14"/>
  <c r="E36" i="14"/>
  <c r="C62" i="14"/>
  <c r="C61" i="14"/>
  <c r="C63" i="14" s="1"/>
  <c r="D17" i="14"/>
  <c r="D18" i="14" s="1"/>
  <c r="C14" i="1"/>
  <c r="C81" i="16"/>
  <c r="C80" i="16"/>
  <c r="C84" i="16"/>
  <c r="D78" i="16"/>
  <c r="B6" i="18"/>
  <c r="K8" i="18" s="1"/>
  <c r="B20" i="20"/>
  <c r="D14" i="19"/>
  <c r="E8" i="12"/>
  <c r="D61" i="16"/>
  <c r="C61" i="16"/>
  <c r="F61" i="16"/>
  <c r="E61" i="16"/>
  <c r="B61" i="16"/>
  <c r="B13" i="16"/>
  <c r="C70" i="14" l="1"/>
  <c r="C68" i="14"/>
  <c r="E17" i="14"/>
  <c r="E18" i="14" s="1"/>
  <c r="D21" i="19"/>
  <c r="H6" i="19"/>
  <c r="D17" i="19"/>
  <c r="C65" i="14"/>
  <c r="C64" i="14"/>
  <c r="C72" i="14" s="1"/>
  <c r="G15" i="14"/>
  <c r="G36" i="14" s="1"/>
  <c r="F36" i="14"/>
  <c r="B30" i="20"/>
  <c r="D30" i="20" s="1"/>
  <c r="C23" i="19"/>
  <c r="I6" i="17"/>
  <c r="P6" i="17"/>
  <c r="E6" i="18"/>
  <c r="J8" i="18"/>
  <c r="D81" i="16"/>
  <c r="D80" i="16"/>
  <c r="D84" i="16"/>
  <c r="E44" i="14"/>
  <c r="E46" i="14"/>
  <c r="B40" i="16"/>
  <c r="B44" i="16" s="1"/>
  <c r="B86" i="16"/>
  <c r="F39" i="14"/>
  <c r="F41" i="14"/>
  <c r="F42" i="14" s="1"/>
  <c r="D69" i="16"/>
  <c r="C69" i="16"/>
  <c r="F69" i="16"/>
  <c r="B69" i="16"/>
  <c r="E69" i="16"/>
  <c r="B37" i="16"/>
  <c r="B43" i="16" s="1"/>
  <c r="B51" i="16" l="1"/>
  <c r="B85" i="16"/>
  <c r="F44" i="14"/>
  <c r="F46" i="14"/>
  <c r="B31" i="17"/>
  <c r="D31" i="17"/>
  <c r="P18" i="17"/>
  <c r="E56" i="14"/>
  <c r="G39" i="14"/>
  <c r="G41" i="14" s="1"/>
  <c r="G42" i="14" s="1"/>
  <c r="F17" i="14"/>
  <c r="F18" i="14" s="1"/>
  <c r="G17" i="14"/>
  <c r="B7" i="19"/>
  <c r="B38" i="20" s="1"/>
  <c r="B32" i="17"/>
  <c r="I18" i="17"/>
  <c r="D32" i="17"/>
  <c r="B28" i="20"/>
  <c r="D28" i="20" s="1"/>
  <c r="D23" i="19"/>
  <c r="B13" i="15"/>
  <c r="C73" i="14"/>
  <c r="C75" i="14"/>
  <c r="C74" i="14"/>
  <c r="C76" i="14"/>
  <c r="D69" i="14"/>
  <c r="G44" i="14" l="1"/>
  <c r="G46" i="14"/>
  <c r="L6" i="17"/>
  <c r="B14" i="15"/>
  <c r="B6" i="19"/>
  <c r="B37" i="20" s="1"/>
  <c r="G18" i="14"/>
  <c r="B54" i="16"/>
  <c r="B57" i="16"/>
  <c r="B52" i="16"/>
  <c r="B11" i="15"/>
  <c r="C78" i="14"/>
  <c r="D59" i="14" s="1"/>
  <c r="C77" i="14"/>
  <c r="F56" i="14"/>
  <c r="D61" i="14" l="1"/>
  <c r="D63" i="14" s="1"/>
  <c r="D62" i="14"/>
  <c r="B58" i="16"/>
  <c r="C62" i="16"/>
  <c r="D65" i="16"/>
  <c r="D63" i="16"/>
  <c r="D66" i="16"/>
  <c r="B62" i="16"/>
  <c r="D62" i="16"/>
  <c r="F65" i="16"/>
  <c r="B64" i="16"/>
  <c r="E64" i="16"/>
  <c r="F63" i="16"/>
  <c r="B63" i="16"/>
  <c r="E66" i="16"/>
  <c r="F64" i="16"/>
  <c r="C64" i="16"/>
  <c r="C66" i="16"/>
  <c r="D64" i="16"/>
  <c r="B66" i="16"/>
  <c r="E63" i="16"/>
  <c r="E62" i="16"/>
  <c r="C63" i="16"/>
  <c r="F66" i="16"/>
  <c r="B65" i="16"/>
  <c r="E65" i="16"/>
  <c r="C65" i="16"/>
  <c r="F62" i="16"/>
  <c r="C6" i="18"/>
  <c r="B22" i="18" s="1"/>
  <c r="B14" i="19"/>
  <c r="B78" i="16"/>
  <c r="C20" i="20"/>
  <c r="M6" i="17"/>
  <c r="B12" i="15"/>
  <c r="C22" i="17"/>
  <c r="D22" i="17" s="1"/>
  <c r="N6" i="17"/>
  <c r="B18" i="15"/>
  <c r="G56" i="14"/>
  <c r="B21" i="19" l="1"/>
  <c r="H7" i="19"/>
  <c r="D32" i="20"/>
  <c r="C22" i="20"/>
  <c r="B16" i="19"/>
  <c r="D24" i="17"/>
  <c r="E22" i="17"/>
  <c r="D22" i="20"/>
  <c r="D8" i="18"/>
  <c r="N18" i="17"/>
  <c r="D29" i="17"/>
  <c r="B29" i="17"/>
  <c r="C23" i="17"/>
  <c r="D23" i="17" s="1"/>
  <c r="O6" i="17"/>
  <c r="D70" i="14"/>
  <c r="D68" i="14"/>
  <c r="E72" i="16"/>
  <c r="E71" i="16"/>
  <c r="D70" i="16"/>
  <c r="B70" i="16"/>
  <c r="C74" i="16"/>
  <c r="F72" i="16"/>
  <c r="D71" i="16"/>
  <c r="F74" i="16"/>
  <c r="B71" i="16"/>
  <c r="C70" i="16"/>
  <c r="C72" i="16"/>
  <c r="C73" i="16"/>
  <c r="E74" i="16"/>
  <c r="F73" i="16"/>
  <c r="B72" i="16"/>
  <c r="E73" i="16"/>
  <c r="D73" i="16"/>
  <c r="B74" i="16"/>
  <c r="F71" i="16"/>
  <c r="E70" i="16"/>
  <c r="D74" i="16"/>
  <c r="B73" i="16"/>
  <c r="C71" i="16"/>
  <c r="D72" i="16"/>
  <c r="F70" i="16"/>
  <c r="B84" i="16"/>
  <c r="B81" i="16"/>
  <c r="B80" i="16"/>
  <c r="D65" i="14"/>
  <c r="D64" i="14"/>
  <c r="D72" i="14" s="1"/>
  <c r="D76" i="14" l="1"/>
  <c r="D74" i="14"/>
  <c r="D73" i="14"/>
  <c r="C14" i="15" s="1"/>
  <c r="D75" i="14"/>
  <c r="C13" i="15"/>
  <c r="K6" i="18"/>
  <c r="F8" i="18"/>
  <c r="E69" i="14"/>
  <c r="D30" i="17"/>
  <c r="B30" i="17"/>
  <c r="O18" i="17"/>
  <c r="B22" i="20"/>
  <c r="B8" i="18"/>
  <c r="E23" i="17"/>
  <c r="J6" i="18" l="1"/>
  <c r="E8" i="18"/>
  <c r="D22" i="18" s="1"/>
  <c r="C8" i="18"/>
  <c r="D78" i="14"/>
  <c r="E59" i="14" s="1"/>
  <c r="C11" i="15"/>
  <c r="D77" i="14"/>
  <c r="C12" i="15" s="1"/>
  <c r="E61" i="14" l="1"/>
  <c r="E63" i="14" s="1"/>
  <c r="E62" i="14"/>
  <c r="C18" i="15"/>
  <c r="E70" i="14" l="1"/>
  <c r="E68" i="14"/>
  <c r="E65" i="14"/>
  <c r="E64" i="14"/>
  <c r="E72" i="14" s="1"/>
  <c r="F69" i="14" l="1"/>
  <c r="E76" i="14"/>
  <c r="D13" i="15"/>
  <c r="E73" i="14"/>
  <c r="D14" i="15" s="1"/>
  <c r="E75" i="14"/>
  <c r="E74" i="14"/>
  <c r="D11" i="15" l="1"/>
  <c r="E78" i="14"/>
  <c r="F59" i="14"/>
  <c r="E77" i="14"/>
  <c r="D12" i="15" s="1"/>
  <c r="F61" i="14" l="1"/>
  <c r="F63" i="14" s="1"/>
  <c r="F62" i="14"/>
  <c r="D18" i="15"/>
  <c r="F70" i="14" l="1"/>
  <c r="F68" i="14"/>
  <c r="F65" i="14"/>
  <c r="F64" i="14"/>
  <c r="F72" i="14" s="1"/>
  <c r="F74" i="14" l="1"/>
  <c r="F76" i="14"/>
  <c r="F73" i="14"/>
  <c r="E14" i="15" s="1"/>
  <c r="F75" i="14"/>
  <c r="E13" i="15"/>
  <c r="G69" i="14"/>
  <c r="F78" i="14" l="1"/>
  <c r="E11" i="15"/>
  <c r="F77" i="14"/>
  <c r="E12" i="15" s="1"/>
  <c r="G59" i="14"/>
  <c r="G61" i="14" l="1"/>
  <c r="G63" i="14" s="1"/>
  <c r="G62" i="14"/>
  <c r="E18" i="15"/>
  <c r="G70" i="14" l="1"/>
  <c r="G68" i="14"/>
  <c r="G65" i="14"/>
  <c r="B41" i="20" s="1"/>
  <c r="G64" i="14"/>
  <c r="G72" i="14" s="1"/>
  <c r="G74" i="14" l="1"/>
  <c r="B8" i="19"/>
  <c r="G76" i="14"/>
  <c r="G73" i="14"/>
  <c r="G75" i="14"/>
  <c r="F13" i="15"/>
  <c r="B41" i="15" l="1"/>
  <c r="B42" i="15" s="1"/>
  <c r="B40" i="15"/>
  <c r="B43" i="15" s="1"/>
  <c r="B44" i="15" s="1"/>
  <c r="F14" i="15"/>
  <c r="B10" i="19"/>
  <c r="B39" i="20" s="1"/>
  <c r="G78" i="14"/>
  <c r="B9" i="19"/>
  <c r="F11" i="15"/>
  <c r="G77" i="14"/>
  <c r="F12" i="15" l="1"/>
  <c r="B11" i="19"/>
  <c r="B40" i="20" s="1"/>
  <c r="F18" i="15"/>
  <c r="G18" i="15" s="1"/>
  <c r="B29" i="15" s="1"/>
  <c r="B21" i="15"/>
  <c r="B22" i="15" s="1"/>
  <c r="B23" i="15" s="1"/>
  <c r="B51" i="15"/>
  <c r="C49" i="15"/>
  <c r="F52" i="15"/>
  <c r="E48" i="15"/>
  <c r="C51" i="15"/>
  <c r="D49" i="15"/>
  <c r="D7" i="18" s="1"/>
  <c r="F48" i="15"/>
  <c r="F51" i="15"/>
  <c r="E51" i="15"/>
  <c r="E50" i="15"/>
  <c r="C48" i="15"/>
  <c r="F49" i="15"/>
  <c r="B52" i="15"/>
  <c r="F50" i="15"/>
  <c r="D50" i="15"/>
  <c r="D52" i="15"/>
  <c r="B7" i="18" s="1"/>
  <c r="E49" i="15"/>
  <c r="C50" i="15"/>
  <c r="E52" i="15"/>
  <c r="D51" i="15"/>
  <c r="B50" i="15"/>
  <c r="C52" i="15"/>
  <c r="D48" i="15"/>
  <c r="B49" i="15"/>
  <c r="B48" i="15"/>
  <c r="E7" i="18" l="1"/>
  <c r="B19" i="18" s="1"/>
  <c r="J7" i="18"/>
  <c r="B17" i="18"/>
  <c r="B23" i="20" s="1"/>
  <c r="F7" i="18"/>
  <c r="K7" i="18"/>
  <c r="B18" i="18"/>
  <c r="D23" i="20" s="1"/>
  <c r="B26" i="15"/>
  <c r="B25" i="15"/>
  <c r="B30" i="15" s="1"/>
  <c r="B31" i="15" l="1"/>
  <c r="C23" i="20"/>
  <c r="B21" i="18"/>
  <c r="B35" i="15" l="1"/>
  <c r="B33" i="15"/>
  <c r="B34" i="15"/>
  <c r="B15" i="19" l="1"/>
  <c r="C7" i="18"/>
  <c r="C22" i="18" s="1"/>
  <c r="C21" i="20"/>
  <c r="B37" i="15"/>
  <c r="B22" i="19" l="1"/>
  <c r="I7" i="19"/>
  <c r="B17" i="19"/>
  <c r="B23" i="19" l="1"/>
  <c r="B29" i="20"/>
  <c r="D29" i="20" s="1"/>
  <c r="D31" i="20" s="1"/>
  <c r="D33" i="20" s="1"/>
</calcChain>
</file>

<file path=xl/sharedStrings.xml><?xml version="1.0" encoding="utf-8"?>
<sst xmlns="http://schemas.openxmlformats.org/spreadsheetml/2006/main" count="1261" uniqueCount="1035">
  <si>
    <t>PROLOGIS, INC. (NYSE: PLD)</t>
  </si>
  <si>
    <t>Equity Valuation - DCF, NAV &amp; Trading Comparables</t>
  </si>
  <si>
    <t>Independent analysis - public data only - not investment advice</t>
  </si>
  <si>
    <t>Prepared by:</t>
  </si>
  <si>
    <t>Muhammed Sheikh</t>
  </si>
  <si>
    <t>Date:</t>
  </si>
  <si>
    <t>Model version:</t>
  </si>
  <si>
    <t>v0.1 - skeleton</t>
  </si>
  <si>
    <t>Valuation basis:</t>
  </si>
  <si>
    <t>Prologis share unless labeled O&amp;M</t>
  </si>
  <si>
    <t>Reporting currency:</t>
  </si>
  <si>
    <t>USD ($ in thousands unless noted)</t>
  </si>
  <si>
    <t>MODEL STATUS</t>
  </si>
  <si>
    <t>Master audit flag:</t>
  </si>
  <si>
    <t>VERSION LOG</t>
  </si>
  <si>
    <t>Date</t>
  </si>
  <si>
    <t>Change / session notes</t>
  </si>
  <si>
    <t>COLOR CONVENTIONS</t>
  </si>
  <si>
    <t>Blue font</t>
  </si>
  <si>
    <t>Hardcoded input typed from a source document. Lives ONLY on Data_Collection.</t>
  </si>
  <si>
    <t>Black font</t>
  </si>
  <si>
    <t>Formula calculated within the same tab.</t>
  </si>
  <si>
    <t>Green font</t>
  </si>
  <si>
    <t>Link pulling from another tab in this workbook.</t>
  </si>
  <si>
    <t>Red font</t>
  </si>
  <si>
    <t>Flag / error / external link (avoid external links entirely).</t>
  </si>
  <si>
    <t>Peach fill</t>
  </si>
  <si>
    <t>Pre-filled by assistant from Q1'26 release — VERIFY against filing &amp; replace placeholder periods.</t>
  </si>
  <si>
    <t>CHECK ROWS</t>
  </si>
  <si>
    <t>Live IF formulas returning OK/ERROR; ERROR conditionally formatted red. Master flag on Cover.</t>
  </si>
  <si>
    <t>UNITS</t>
  </si>
  <si>
    <t>$ in millions unless a row says otherwise. Basis = Prologis share unless labeled O&amp;M.</t>
  </si>
  <si>
    <t>"n/d"</t>
  </si>
  <si>
    <t>Not disclosed in filings. Never replace with an estimate.</t>
  </si>
  <si>
    <t>SOURCE DOCUMENT INDEX (fill file names + dates as you download)</t>
  </si>
  <si>
    <t>[10-K]</t>
  </si>
  <si>
    <t>PLD Form 10-K FY2025 — SEC EDGAR CIK 1045609</t>
  </si>
  <si>
    <t>[10-K24/23]</t>
  </si>
  <si>
    <t>PLD Form 10-K FY2024 / FY2023</t>
  </si>
  <si>
    <t>[10-Q]</t>
  </si>
  <si>
    <t>PLD Form 10-Q Q1 2026</t>
  </si>
  <si>
    <t>[SUPP]</t>
  </si>
  <si>
    <t>PLD Supplemental Information Q1 2026 — ir.prologis.com</t>
  </si>
  <si>
    <t>[ER]</t>
  </si>
  <si>
    <t>PLD Q1 2026 Earnings Release — 8-K Ex.99.2, filed 2026-04-16</t>
  </si>
  <si>
    <t>BUILD ORDER</t>
  </si>
  <si>
    <t>Data_Collection → Historicals → FFO_Recon (must tie) → Drivers/Development/Strategic_Capital/Capital_Deployment/Debt/Share_Count → Audit. Then Assumptions → Model → Scenarios → DCF → NAV → Comps → Summary.</t>
  </si>
  <si>
    <t>PROLOGIS - DATA COLLECTION</t>
  </si>
  <si>
    <t>($ in thousands unless noted)</t>
  </si>
  <si>
    <t>FY2023</t>
  </si>
  <si>
    <t>FY2024</t>
  </si>
  <si>
    <t>FY2025</t>
  </si>
  <si>
    <t>Q1 2026</t>
  </si>
  <si>
    <t>Source</t>
  </si>
  <si>
    <t>Section</t>
  </si>
  <si>
    <t>Page</t>
  </si>
  <si>
    <t>GROUP 1: INCOME STATEMENT</t>
  </si>
  <si>
    <t>Rental revenue</t>
  </si>
  <si>
    <t xml:space="preserve">Source: PLD Q4 2025 10-K p.55 (FY23/FY24/FY25); Q1 2026 10Q p.55 (Q1 26). </t>
  </si>
  <si>
    <t>Strategic capital revenue</t>
  </si>
  <si>
    <t>Development management &amp; other revenue</t>
  </si>
  <si>
    <t>Rental expenses</t>
  </si>
  <si>
    <t>Strategic capital expenses</t>
  </si>
  <si>
    <t>General &amp; administrative</t>
  </si>
  <si>
    <t>Depreciation &amp; amortization</t>
  </si>
  <si>
    <t>Other expenses</t>
  </si>
  <si>
    <t>Gains on dispositions of real estate, net</t>
  </si>
  <si>
    <t>Earnings from unconsolidated entities, net</t>
  </si>
  <si>
    <t>Interest expense</t>
  </si>
  <si>
    <t>Interest and other income, net</t>
  </si>
  <si>
    <t>Foreign currency &amp; derivative gains (losses), net</t>
  </si>
  <si>
    <t>Gains (losses) on early extinguishment of debt, net</t>
  </si>
  <si>
    <t>Income tax expense</t>
  </si>
  <si>
    <t>Net earnings attributable to NCI</t>
  </si>
  <si>
    <t>Preferred dividends</t>
  </si>
  <si>
    <t>Net earnings attributable to common</t>
  </si>
  <si>
    <t>Weighted Avg Shares – Basic</t>
  </si>
  <si>
    <t>Weighted Avg Shares – Diluted</t>
  </si>
  <si>
    <t>GROUP 2: BALANCE SHEET</t>
  </si>
  <si>
    <t>Investments in real estate properties (gross)</t>
  </si>
  <si>
    <t>Accumulated depreciation</t>
  </si>
  <si>
    <t>Investments in/advances to unconsolidated entities</t>
  </si>
  <si>
    <t>Assets held for sale or contribution</t>
  </si>
  <si>
    <t>Cash and cash equivalents</t>
  </si>
  <si>
    <t>Other assets</t>
  </si>
  <si>
    <t>Total assets (reported)</t>
  </si>
  <si>
    <t>Debt (carrying value per BS)</t>
  </si>
  <si>
    <t>Accounts payable &amp; accrued expenses</t>
  </si>
  <si>
    <t>Other liabilities</t>
  </si>
  <si>
    <t>Total liabilities (reported)</t>
  </si>
  <si>
    <t>Preferred stock</t>
  </si>
  <si>
    <t>Total stockholders' equity (reported)</t>
  </si>
  <si>
    <t>Noncontrolling interests</t>
  </si>
  <si>
    <t>Total equity (reported)</t>
  </si>
  <si>
    <t>GROUP 3: CASH FLOW</t>
  </si>
  <si>
    <t>Consolidated net earnings</t>
  </si>
  <si>
    <t>Depreciation &amp; amortization (CF)</t>
  </si>
  <si>
    <t>Straight-line rent &amp; lease intangible amortization</t>
  </si>
  <si>
    <t>Equity-based compensation</t>
  </si>
  <si>
    <t>Other operating adjustments (net)</t>
  </si>
  <si>
    <t>Cash provided by operating activities</t>
  </si>
  <si>
    <t>Real estate development &amp; capital expenditures</t>
  </si>
  <si>
    <t>Real estate acquisitions (investing)</t>
  </si>
  <si>
    <t>Proceeds from dispositions &amp; contributions</t>
  </si>
  <si>
    <t>Other investing (net)</t>
  </si>
  <si>
    <t>Debt issued</t>
  </si>
  <si>
    <t>Debt repaid</t>
  </si>
  <si>
    <t>Common dividends &amp; unit distributions paid</t>
  </si>
  <si>
    <t>Equity issuance, net (ATM/other)</t>
  </si>
  <si>
    <t>NCI contributions/(distributions), net</t>
  </si>
  <si>
    <t>Other financing (net)</t>
  </si>
  <si>
    <t>FX effect on cash</t>
  </si>
  <si>
    <t>Net change in cash</t>
  </si>
  <si>
    <t>GROUP 4: FFO METRICS</t>
  </si>
  <si>
    <t>Nareit FFO ($)</t>
  </si>
  <si>
    <t>Source: PLD Q4 2025 Supp p.8 (FY24/FY25); Q1 2026 Supp p.8 (Q1 26); Q4 2023 Supp p.8 (FY23)</t>
  </si>
  <si>
    <t>Nareit FFO per diluted share/unit</t>
  </si>
  <si>
    <t>Core FFO ($)</t>
  </si>
  <si>
    <t>Core FFO per diluted share/unit</t>
  </si>
  <si>
    <t>Core FFO ex-promotes per share</t>
  </si>
  <si>
    <t>Net promote income (expense)</t>
  </si>
  <si>
    <t>PLD Core FFO adjustment - [label 1 verbatim]</t>
  </si>
  <si>
    <t>PLD Core FFO adjustment - [label 2 verbatim]</t>
  </si>
  <si>
    <t>PLD Core FFO adjustment - [label 3 verbatim]</t>
  </si>
  <si>
    <t>GROUP 5: AFFO METRICS</t>
  </si>
  <si>
    <t>AFFO ($)</t>
  </si>
  <si>
    <t>Recurring/maintenance capex</t>
  </si>
  <si>
    <t>Tenant Improvements &amp; Leasing Commissions</t>
  </si>
  <si>
    <t>Straight-line rent adjustment (AFFO basis)</t>
  </si>
  <si>
    <t>AFFO Per Diluted Share/Unit</t>
  </si>
  <si>
    <t>Dividends declared per share</t>
  </si>
  <si>
    <t>GROUP 6: SAME-STORE (label basis per row)</t>
  </si>
  <si>
    <t>SS NOI growth - cash % (PLD share)</t>
  </si>
  <si>
    <t>Source: PLD Q4 2025 Supp p.12 (FY24/FY25); Q1 2026 Supp p.12 (Q1 26); Q4 2023 Supp p.12(FY23)</t>
  </si>
  <si>
    <t>SS NOI growth - net effective % (PLD share)</t>
  </si>
  <si>
    <t>SS pool size (M sq ft)</t>
  </si>
  <si>
    <t>SS average occupancy %</t>
  </si>
  <si>
    <t>GROUP 7: OCCUPANCY</t>
  </si>
  <si>
    <t>Average occupancy % - PLD share</t>
  </si>
  <si>
    <t>Average occupancy % - O&amp;M</t>
  </si>
  <si>
    <t>Period-end occupancy % (O&amp;M)</t>
  </si>
  <si>
    <t>Leased % (if disclosed)</t>
  </si>
  <si>
    <t>GROUP 8: LEASE ROLLOVER</t>
  </si>
  <si>
    <t>Net effective rent change %</t>
  </si>
  <si>
    <t>Source: PLD Q4 2025 Supp p.10, 11, 16 (FY24/FY25); Q1 2026 Supp p.10, 11, 16 (Q1 26); Q4 2023 Supp p.10, 11, 16 (FY23)</t>
  </si>
  <si>
    <t>Cash rent change %</t>
  </si>
  <si>
    <t>Retention %</t>
  </si>
  <si>
    <t>Leases commenced/signed (M sq ft)</t>
  </si>
  <si>
    <t>Weighted avg remaining lease term (yrs)</t>
  </si>
  <si>
    <t>Lease expirations - % of NOI expiring Y1</t>
  </si>
  <si>
    <t>Lease expirations - % expiring Y2</t>
  </si>
  <si>
    <t>Lease expirations - % expiring Y3</t>
  </si>
  <si>
    <t>Lease expirations - % expiring Y4</t>
  </si>
  <si>
    <t>Lease expirations - % expiring Y5</t>
  </si>
  <si>
    <t>GROUP 9: MARK-TO-MARKET</t>
  </si>
  <si>
    <t>Lease MTM % (net effective)</t>
  </si>
  <si>
    <t>MTM embedded NOI $ (when quantified)</t>
  </si>
  <si>
    <t>N/D</t>
  </si>
  <si>
    <t>GROUP 10: DEVELOPMENT</t>
  </si>
  <si>
    <t>Dev starts - TEI ($)</t>
  </si>
  <si>
    <t>Source: PLD Q4 2025 Supp p.17, 18, 19 (FY24/FY25); Q1 2026 Supp p.17, 18, 19 (Q1 26); Q4 2023 Supp p.17, 18, 19(FY23)</t>
  </si>
  <si>
    <t>Dev starts - est. yield %</t>
  </si>
  <si>
    <t>Dev starts - est. margin %</t>
  </si>
  <si>
    <t>Dev starts - est. value creation ($)</t>
  </si>
  <si>
    <t>Dev starts - % build-to-suit</t>
  </si>
  <si>
    <t>Dev starts - data center component ($)</t>
  </si>
  <si>
    <t>Dev stabilizations - TEI ($)</t>
  </si>
  <si>
    <t>Dev stabilizations - est. yield %</t>
  </si>
  <si>
    <t>Dev stabilizations - est. margin %</t>
  </si>
  <si>
    <t>Dev stabilizations - est. value creation ($)</t>
  </si>
  <si>
    <t>CIP balance ($)</t>
  </si>
  <si>
    <t>CIP - % leased</t>
  </si>
  <si>
    <t>Land bank - book value ($)</t>
  </si>
  <si>
    <t>Land bank - buildout TEI capacity ($)</t>
  </si>
  <si>
    <t>GROUP 11: STRATEGIC CAPITAL</t>
  </si>
  <si>
    <t>Gross AUM ($B)</t>
  </si>
  <si>
    <t>Source: PLD Q4 2025 Supp p.32, 34 (FY24/FY25); Q1 2026 Supp p.32, 34 (Q1 26); Q4 2023 Supp p.32, 34(FY23)</t>
  </si>
  <si>
    <t>Prologis-share AUM ($B)</t>
  </si>
  <si>
    <t>Recurring asset management fees ($)</t>
  </si>
  <si>
    <t>Transactional fees ($)</t>
  </si>
  <si>
    <t>Net promote income (expense) ($)</t>
  </si>
  <si>
    <t>Strategic capital expenses ($)</t>
  </si>
  <si>
    <t>Contributions to ventures ($)</t>
  </si>
  <si>
    <t>PLD share of venture debt ($)</t>
  </si>
  <si>
    <t>GROUP 12: CAPITAL DEPLOYMENT</t>
  </si>
  <si>
    <t>Acquisitions ($)</t>
  </si>
  <si>
    <t>Source: PLD Q4 2025 Supp p.21, 22 (FY24/FY25); Q1 2026 Supp p.21, 22 (Q1 26); Q4 2023 Supp p.21, 22FY23)</t>
  </si>
  <si>
    <t>Acquisitions - wtd avg stabilized cap rate %</t>
  </si>
  <si>
    <t>Dispositions + contributions ($)  [NAV ANCHOR]</t>
  </si>
  <si>
    <t>Dispositions - wtd avg stabilized cap rate %  [NAV ANCHOR]</t>
  </si>
  <si>
    <t>GROUP 13: DEBT</t>
  </si>
  <si>
    <t>Total debt - gross principal ($)</t>
  </si>
  <si>
    <t>Source: PLD Q4 2025 Supp p.30, 31 (FY24/FY25); Q1 2026 Supp p.30, 31 (Q1 26); Q4 2023 Supp p.30, 31(FY23)</t>
  </si>
  <si>
    <t>Discounts/premiums &amp; issuance costs ($)</t>
  </si>
  <si>
    <t>Wtd avg interest rate % (PLD share)</t>
  </si>
  <si>
    <t>Wtd avg remaining term (yrs)</t>
  </si>
  <si>
    <t>% fixed-rate</t>
  </si>
  <si>
    <t>% secured (of gross RE assets)</t>
  </si>
  <si>
    <t>Debt / Adjusted EBITDA (x)</t>
  </si>
  <si>
    <t>Fixed charge coverage (x)</t>
  </si>
  <si>
    <t>New issuance during period ($)</t>
  </si>
  <si>
    <t xml:space="preserve">Source: PLD Q4 2025 10-K  (FY23/FY24/FY25); Q1 2026 10Q (Q1 26). </t>
  </si>
  <si>
    <t>New issuance - wtd avg rate %</t>
  </si>
  <si>
    <t>Available liquidity ($)</t>
  </si>
  <si>
    <t>GROUP 14: SHARE COUNT</t>
  </si>
  <si>
    <t>Common shares outstanding (period-end, M)</t>
  </si>
  <si>
    <t>Wtd avg diluted shares - EPS basis (M)</t>
  </si>
  <si>
    <t>Source: PLD Q4 2025 Supp (FY24/FY25); Q1 2026 Supp (Q1 26); Q4 2023 Supp (FY23)</t>
  </si>
  <si>
    <t>Wtd avg shares/units - Core FFO basis (M)</t>
  </si>
  <si>
    <t>OP/LP units outstanding (M)</t>
  </si>
  <si>
    <t>ATM issuance ($)</t>
  </si>
  <si>
    <t>ATM issuance (shares, M)</t>
  </si>
  <si>
    <t>GROUP 15: MARKET SNAPSHOT (timestamp in I)</t>
  </si>
  <si>
    <t>PLD share price ($)</t>
  </si>
  <si>
    <t>10-yr UST yield %</t>
  </si>
  <si>
    <t>Memo: EPS - net earnings per diluted share</t>
  </si>
  <si>
    <t>GROUP 16: FFO BRIDGE DETAIL (supplemental p.8)</t>
  </si>
  <si>
    <t>Net earnings to common (FFO basis)</t>
  </si>
  <si>
    <t>Source: PLD Q4 2025 Supp p.8 (FY24/FY25); Q1 2026 Supp p.8 (Q1 26). FY2023 PENDING: Q4 2023 Supp p.8 or FY2025 10-K MD&amp;A p.44.</t>
  </si>
  <si>
    <t>NAREIT: Real estate related D&amp;A</t>
  </si>
  <si>
    <t>NAREIT: Gains on other disp of RE, net of tax</t>
  </si>
  <si>
    <t>NAREIT: Adjustments related to NCI</t>
  </si>
  <si>
    <t>NAREIT: Our share adj - unconsolidated</t>
  </si>
  <si>
    <t>MOD: Unrealized FX/deriv (gains) losses, net</t>
  </si>
  <si>
    <t>MOD: Deferred income tax expense (benefit)</t>
  </si>
  <si>
    <t>MOD: Adjustments related to NCI</t>
  </si>
  <si>
    <t>MOD: Our share adj - unconsolidated</t>
  </si>
  <si>
    <t>CORE: Gains on disp dev properties &amp; land, net</t>
  </si>
  <si>
    <t>CORE: Current income tax on dispositions</t>
  </si>
  <si>
    <t>CORE: (Gains) losses early exting. of debt</t>
  </si>
  <si>
    <t>CORE: Adjustments related to NCI</t>
  </si>
  <si>
    <t>CORE: Our share adj - unconsolidated</t>
  </si>
  <si>
    <t>AFFO: Gains on disp dev props &amp; land (add back)</t>
  </si>
  <si>
    <t>AFFO: Current income tax on dispositions</t>
  </si>
  <si>
    <t>AFFO: Straight-line rents &amp; lease intang amort</t>
  </si>
  <si>
    <t>AFFO: Property improvements</t>
  </si>
  <si>
    <t>AFFO: Turnover costs (TI + LC)</t>
  </si>
  <si>
    <t>AFFO: Amort debt disc/fin costs/mgmt contracts</t>
  </si>
  <si>
    <t>AFFO: Stock compensation amortization</t>
  </si>
  <si>
    <t>AFFO: Adjustments related to NCI</t>
  </si>
  <si>
    <t>AFFO: Our share adj - unconsolidated</t>
  </si>
  <si>
    <t>Reported FFO as modified by Prologis ($)</t>
  </si>
  <si>
    <t>HISTORICALS - IS / BS / CF</t>
  </si>
  <si>
    <t>All cells link (green) to Data_Collection or calculate (black). Zero hardcodes.</t>
  </si>
  <si>
    <t>($ in millions unless noted)</t>
  </si>
  <si>
    <t>INCOME STATEMENT</t>
  </si>
  <si>
    <t>Total revenues</t>
  </si>
  <si>
    <t>Total expenses</t>
  </si>
  <si>
    <t>Operating income before gains</t>
  </si>
  <si>
    <t>Operating income</t>
  </si>
  <si>
    <t>Pre-tax earnings</t>
  </si>
  <si>
    <t>Less: net earnings attributable to NCI</t>
  </si>
  <si>
    <t>Less: preferred dividends</t>
  </si>
  <si>
    <t xml:space="preserve">   MEMO - Property NOI</t>
  </si>
  <si>
    <t xml:space="preserve">   MEMO - NOI margin %</t>
  </si>
  <si>
    <t>BALANCE SHEET</t>
  </si>
  <si>
    <t>Investments in real estate (gross)</t>
  </si>
  <si>
    <t>Less: accumulated depreciation</t>
  </si>
  <si>
    <t>Net investments in real estate properties</t>
  </si>
  <si>
    <t>Investments in/advances to unconsolidated</t>
  </si>
  <si>
    <t>Net investments in real estate</t>
  </si>
  <si>
    <t>TOTAL ASSETS</t>
  </si>
  <si>
    <t>Debt</t>
  </si>
  <si>
    <t>Accounts payable &amp; accrued</t>
  </si>
  <si>
    <t>TOTAL LIABILITIES</t>
  </si>
  <si>
    <t>Common equity (stockholders' equity)</t>
  </si>
  <si>
    <t>TOTAL EQUITY</t>
  </si>
  <si>
    <t>CHECK: Assets − (Liab + Equity)</t>
  </si>
  <si>
    <t>CASH FLOW</t>
  </si>
  <si>
    <t>Straight-line rent &amp; lease intangible amort.</t>
  </si>
  <si>
    <t>Cash from operating activities</t>
  </si>
  <si>
    <t>Development &amp; capital expenditures</t>
  </si>
  <si>
    <t>Real estate acquisitions</t>
  </si>
  <si>
    <t>Cash from investing activities</t>
  </si>
  <si>
    <t>Dividends &amp; unit distributions paid</t>
  </si>
  <si>
    <t>Equity issuance, net</t>
  </si>
  <si>
    <t>Cash from financing activities</t>
  </si>
  <si>
    <t>CHECK: CF net change vs reported (Data_Collection)</t>
  </si>
  <si>
    <t>FFO / CORE FFO / AFFO RECONCILIATION</t>
  </si>
  <si>
    <t>($ in thousands; per-share in $)</t>
  </si>
  <si>
    <t xml:space="preserve">  NAREIT FFO</t>
  </si>
  <si>
    <t>+ Real estate related depreciation &amp; amortization</t>
  </si>
  <si>
    <t>− Gains on other dispositions of RE, net of tax</t>
  </si>
  <si>
    <t>± Reconciling items attributable to NCI</t>
  </si>
  <si>
    <t>+ Our prop. share of adjustments - unconsolidated</t>
  </si>
  <si>
    <t>CHECK: vs reported NAREIT FFO</t>
  </si>
  <si>
    <t xml:space="preserve">  FFO, as modified by Prologis</t>
  </si>
  <si>
    <t xml:space="preserve">  NAREIT FFO (carryforward)</t>
  </si>
  <si>
    <t>± Unrealized FX, derivative &amp; other (gains) losses, net</t>
  </si>
  <si>
    <t>± Deferred income tax expense (benefit)</t>
  </si>
  <si>
    <t>± Adjustments related to NCI</t>
  </si>
  <si>
    <t>± Our prop. share of adjustments - unconsolidated</t>
  </si>
  <si>
    <t>CHECK: vs reported FFO as modified</t>
  </si>
  <si>
    <t xml:space="preserve">  Core FFO</t>
  </si>
  <si>
    <t xml:space="preserve">  FFO, as modified by Prologis (carryforward)</t>
  </si>
  <si>
    <t>− Gains on dispositions of dev properties &amp; land, net</t>
  </si>
  <si>
    <t>± Current income tax on dispositions</t>
  </si>
  <si>
    <t>± (Gains) losses on early extinguishment of debt</t>
  </si>
  <si>
    <t>CHECK: vs reported Core FFO ($)</t>
  </si>
  <si>
    <t>Core FFO per share</t>
  </si>
  <si>
    <t>CHECK: vs reported Core FFO/share (±$0.005)</t>
  </si>
  <si>
    <t>MEMO: Net promote income (expense)</t>
  </si>
  <si>
    <t xml:space="preserve">  AFFO</t>
  </si>
  <si>
    <t xml:space="preserve">  Core FFO (carryforward)</t>
  </si>
  <si>
    <t>+ Gains on disp dev properties &amp; land (add back)</t>
  </si>
  <si>
    <t>− Current income tax on dispositions</t>
  </si>
  <si>
    <t>− Straight-line rents &amp; lease intangible amort.</t>
  </si>
  <si>
    <t>− Property improvements</t>
  </si>
  <si>
    <t>− Turnover costs (TI + LC)</t>
  </si>
  <si>
    <t>+ Amort of debt disc/financing/mgmt contracts</t>
  </si>
  <si>
    <t>+ Stock compensation amortization</t>
  </si>
  <si>
    <t>CHECK: vs reported AFFO</t>
  </si>
  <si>
    <t>MEMO: AFFO payout ratio</t>
  </si>
  <si>
    <t>OPERATING DRIVERS</t>
  </si>
  <si>
    <t>Green = link, blue = input, black = calc.</t>
  </si>
  <si>
    <t>OCCUPANCY</t>
  </si>
  <si>
    <t>SAME-STORE NOI</t>
  </si>
  <si>
    <t>SS NOI growth - cash %</t>
  </si>
  <si>
    <t>SS NOI growth - net effective %</t>
  </si>
  <si>
    <t>RENT CHANGE ON ROLLOVER</t>
  </si>
  <si>
    <t>LEASE EXPIRATION SCHEDULE (forward, annual)</t>
  </si>
  <si>
    <t>% of NOI expiring Y1</t>
  </si>
  <si>
    <t>% expiring Y2</t>
  </si>
  <si>
    <t>% expiring Y3</t>
  </si>
  <si>
    <t>% expiring Y4</t>
  </si>
  <si>
    <t>% expiring Y5</t>
  </si>
  <si>
    <t>MARK-TO-MARKET</t>
  </si>
  <si>
    <t>MTM embedded NOI $</t>
  </si>
  <si>
    <t>NOTE: PLD same-store definition (paste verbatim) →</t>
  </si>
  <si>
    <t>DEVELOPMENT PIPELINE</t>
  </si>
  <si>
    <t>TOTAL DEVELOPMENT</t>
  </si>
  <si>
    <t>Starts - TEI ($)</t>
  </si>
  <si>
    <t>Starts - est. yield %</t>
  </si>
  <si>
    <t>Starts - est. margin %</t>
  </si>
  <si>
    <t>Starts - est. value creation ($)</t>
  </si>
  <si>
    <t>Starts - % build-to-suit</t>
  </si>
  <si>
    <t>STREAM SPLIT</t>
  </si>
  <si>
    <t>Data center starts - TEI ($)</t>
  </si>
  <si>
    <t>Logistics starts - TEI ($)</t>
  </si>
  <si>
    <t>DC % of total starts</t>
  </si>
  <si>
    <t>STABILIZATIONS</t>
  </si>
  <si>
    <t>Stabilizations - TEI ($)</t>
  </si>
  <si>
    <t>Stabilizations - est. yield %</t>
  </si>
  <si>
    <t>Stabilizations - est. margin %</t>
  </si>
  <si>
    <t>Stabilizations - est. value creation ($)</t>
  </si>
  <si>
    <t>PIPELINE &amp; LAND</t>
  </si>
  <si>
    <t>DERIVED HISTORY</t>
  </si>
  <si>
    <t>Realized value-creation margin % (VC ÷ TEI)</t>
  </si>
  <si>
    <t>STRATEGIC CAPITAL</t>
  </si>
  <si>
    <t>AUM ($B)</t>
  </si>
  <si>
    <t>Gross AUM</t>
  </si>
  <si>
    <t>Prologis-share AUM</t>
  </si>
  <si>
    <t>Third-party AUM</t>
  </si>
  <si>
    <t>FEE REVENUE ($)</t>
  </si>
  <si>
    <t>Recurring asset management fees</t>
  </si>
  <si>
    <t>Transactional fees</t>
  </si>
  <si>
    <t>Total strategic capital revenue</t>
  </si>
  <si>
    <t>PROMOTES ($)</t>
  </si>
  <si>
    <t>CO-INVESTMENT</t>
  </si>
  <si>
    <t>Effective fee rate (fees ÷ avg 3rd-party AUM)</t>
  </si>
  <si>
    <t>CAPITAL DEPLOYMENT</t>
  </si>
  <si>
    <t>ACQUISITIONS</t>
  </si>
  <si>
    <t>DISPOSITIONS &amp; CONTRIBUTIONS  [NAV ANCHOR]</t>
  </si>
  <si>
    <t>Dispositions + contributions ($)</t>
  </si>
  <si>
    <t>Disposition cap rate %  [NAV ANCHOR]</t>
  </si>
  <si>
    <t>DEBT SCHEDULE</t>
  </si>
  <si>
    <t>INSTRUMENT DETAIL (one row per note series — fill from 10-K debt footnote)</t>
  </si>
  <si>
    <t>[Instrument 1 - principal]</t>
  </si>
  <si>
    <t>[Instrument 2 - principal]</t>
  </si>
  <si>
    <t>[Instrument 3 - principal]</t>
  </si>
  <si>
    <t>PORTFOLIO STATS (quarterly)</t>
  </si>
  <si>
    <t>NEW ISSUANCE SERIES (cost-of-debt input for WACC)</t>
  </si>
  <si>
    <t>HEDGE BLOCK</t>
  </si>
  <si>
    <t>FX hedge notional - EUR ($)</t>
  </si>
  <si>
    <t>FX hedge notional - GBP ($)</t>
  </si>
  <si>
    <t>FX hedge notional - JPY ($)</t>
  </si>
  <si>
    <t>% forecasted earnings USD-or-hedged (note)</t>
  </si>
  <si>
    <t>SHARE COUNT</t>
  </si>
  <si>
    <t>The cardinal rule: Core FFO per-share math uses the units-inclusive Core FFO basis, NOT the EPS basis.</t>
  </si>
  <si>
    <t>SHARE COUNTS (M)</t>
  </si>
  <si>
    <t>Common shares outstanding (period-end)</t>
  </si>
  <si>
    <t>Wtd avg diluted - EPS basis</t>
  </si>
  <si>
    <t>Wtd avg shares/units - Core FFO basis</t>
  </si>
  <si>
    <t>OP/LP units outstanding</t>
  </si>
  <si>
    <t>Core FFO basis − EPS basis (units bridge)</t>
  </si>
  <si>
    <t>CHECK: Core FFO basis ≥ EPS basis</t>
  </si>
  <si>
    <t>ISSUANCE ACTIVITY</t>
  </si>
  <si>
    <t>ATM issuance (shares)</t>
  </si>
  <si>
    <t>AUDIT - MODEL HEALTH</t>
  </si>
  <si>
    <t>Each check returns OK/ERROR. ERROR = model is wrong. Master flag on Cover reads column E.</t>
  </si>
  <si>
    <t>#</t>
  </si>
  <si>
    <t>Check</t>
  </si>
  <si>
    <t>Category</t>
  </si>
  <si>
    <t>References</t>
  </si>
  <si>
    <t>Status</t>
  </si>
  <si>
    <t>Balance sheet balances (all periods)</t>
  </si>
  <si>
    <t>Balance sheet</t>
  </si>
  <si>
    <t>Historicals check row 52</t>
  </si>
  <si>
    <t>Nareit FFO ties to reported</t>
  </si>
  <si>
    <t>FFO</t>
  </si>
  <si>
    <t>FFO_Recon row 12</t>
  </si>
  <si>
    <t>Core FFO/share ties to reported</t>
  </si>
  <si>
    <t>FFO_Recon row 32</t>
  </si>
  <si>
    <t>AFFO ties to reported</t>
  </si>
  <si>
    <t>AFFO</t>
  </si>
  <si>
    <t>FFO_Recon row 47</t>
  </si>
  <si>
    <t>Core FFO share count ≥ EPS share count</t>
  </si>
  <si>
    <t>Share count</t>
  </si>
  <si>
    <t>Share_Count row 11</t>
  </si>
  <si>
    <t>Debt schedule ties to balance sheet</t>
  </si>
  <si>
    <t>Debt tab - wire instrument sum to Historicals debt line</t>
  </si>
  <si>
    <t>No hardcodes outside Data_Collection</t>
  </si>
  <si>
    <t>Hygiene</t>
  </si>
  <si>
    <t>Manual color audit each session</t>
  </si>
  <si>
    <t>Every filled Data_Collection row has a source</t>
  </si>
  <si>
    <t>Manual review</t>
  </si>
  <si>
    <t>PROLOGIS (PLD) - FORECAST ASSUMPTIONS</t>
  </si>
  <si>
    <t>Scenario-driven inputs for the 5-year forecast. Blue = input (you set). Green = historical reference link. ACTIVE column resolves the chosen case via the scenario switch and is the ONLY column the Model tab reads.</t>
  </si>
  <si>
    <t>SCENARIO SWITCH</t>
  </si>
  <si>
    <t>Active scenario  (1 = Base, 2 = Bull, 3 = Bear)</t>
  </si>
  <si>
    <t>Change this one cell to flip the whole model. Forecast Model reads only the ACTIVE column (E-equivalent resolver per row).</t>
  </si>
  <si>
    <t>Active scenario name</t>
  </si>
  <si>
    <t>Assumption</t>
  </si>
  <si>
    <t>Hist. ref.</t>
  </si>
  <si>
    <t>Base</t>
  </si>
  <si>
    <t>Bull</t>
  </si>
  <si>
    <t>Bear</t>
  </si>
  <si>
    <t>ACTIVE</t>
  </si>
  <si>
    <t>Source / rationale</t>
  </si>
  <si>
    <t>1 · OPERATING ASSUMPTIONS  (same-store NOI engine)</t>
  </si>
  <si>
    <t xml:space="preserve">  Average occupancy % - PLD share</t>
  </si>
  <si>
    <t>Hist = FY2025. Base: hold guided 95.0–95.75% band then flat. Bull: upper band. Bear: 150–250bps erosion (recession proxy). Lever 2.</t>
  </si>
  <si>
    <t xml:space="preserve">  Market rent growth - Y1 (annual)</t>
  </si>
  <si>
    <t>N/A</t>
  </si>
  <si>
    <t>Lever 1. Base: modest mean-reverting. Bull: supply-trough re-accel. Bear: renewed declines. Largest compounding effect on SS NOI.</t>
  </si>
  <si>
    <t xml:space="preserve">  Market rent growth - terminal (Y5)</t>
  </si>
  <si>
    <t>Path glides Y1→Y5; set endpoints here, interpolate in Model. Keep bull below boom-era peaks.</t>
  </si>
  <si>
    <t xml:space="preserve">  Contractual escalators (in-place)</t>
  </si>
  <si>
    <t>Embedded annual bumps on in-place leases — the floor under SS NOI. Tight band; not a recession lever.</t>
  </si>
  <si>
    <t xml:space="preserve">  SS NOI growth - sanity ceiling (cash)</t>
  </si>
  <si>
    <t>Hist = FY2025 cash SS NOI +6.3%. Reference only; SS NOI growth is an OUTPUT of the Model bridge, not an input here.</t>
  </si>
  <si>
    <t xml:space="preserve">  Operating expense ratio (rental)</t>
  </si>
  <si>
    <t>Rental exp ÷ rental rev. Used to gross NOI up to revenue. Hist ~24% (Historicals). Slight scenario flex on margin.</t>
  </si>
  <si>
    <t>2 · LEASING ASSUMPTIONS  (rollover / mark-to-market runway)</t>
  </si>
  <si>
    <t xml:space="preserve">  Net effective rent change on rollover - Y1</t>
  </si>
  <si>
    <t>Hist = FY2025 +43.8%. Base decays from here (MTM is a depleting stock). Lever 3.</t>
  </si>
  <si>
    <t xml:space="preserve">  Rollover spread - terminal (Y5)</t>
  </si>
  <si>
    <t>Decay endpoint. If market rents flat, spread converges to escalator levels. Constant 30%+ forever = classic bull error.</t>
  </si>
  <si>
    <t xml:space="preserve">  Annual MTM realization (% pool rolling)</t>
  </si>
  <si>
    <t>Hist = FY2025 % NOI expiring Y1 (~10.3%). % of pool that reprices each year, from lease-expiry schedule.</t>
  </si>
  <si>
    <t xml:space="preserve">  Retention %</t>
  </si>
  <si>
    <t>Hist = FY2025 77.7%. Higher retention lowers downtime/turnover cost; bear leaks.</t>
  </si>
  <si>
    <t xml:space="preserve">  Embedded MTM stock (net effective)</t>
  </si>
  <si>
    <t>Hist = FY2025 lease MTM 50.1%. Starting embedded upside that depletes as leases roll; decay path set above.</t>
  </si>
  <si>
    <t>3 · DEVELOPMENT ASSUMPTIONS  (Approach B - logistics + data centers as separate streams)</t>
  </si>
  <si>
    <t xml:space="preserve">  Logistics starts - TEI Y1 ($mm)</t>
  </si>
  <si>
    <t>Hist = FY2025 logistics starts. Base: guidance yr1 ($3.5–4.5B PLD share) then policy. Lever 4. (units $mm)</t>
  </si>
  <si>
    <t xml:space="preserve">  Logistics starts - annual growth</t>
  </si>
  <si>
    <t>Years 2–5 growth off Y1. Bear sharply curtails. Drives delivered NOI + AUM feed.</t>
  </si>
  <si>
    <t xml:space="preserve">  Logistics - stabilized yield on cost</t>
  </si>
  <si>
    <t>Hist ref = FY2025 stabilization yield 6.7%. Lever 5 (value-creation engine).</t>
  </si>
  <si>
    <t xml:space="preserve">  Logistics - value-creation margin</t>
  </si>
  <si>
    <t>Hist = FY2025 stabilization margin 25.1%. "Is development worth anything" in one cell. Bear compresses toward zero.</t>
  </si>
  <si>
    <t xml:space="preserve">  Data center starts - TEI Y1 ($mm)</t>
  </si>
  <si>
    <t>Hist = Q1 2026 DC starts $1.3B (first disclosed). Separate stream: longer build, ~100% BTS, higher TEI/project.</t>
  </si>
  <si>
    <t xml:space="preserve">  Data center - annual growth</t>
  </si>
  <si>
    <t>DC pivot accel in bull; capital-hungry &amp; competitive in bear. Inference-based (limited disclosure).</t>
  </si>
  <si>
    <t xml:space="preserve">  Data center - stabilized yield on cost</t>
  </si>
  <si>
    <t>Q1 2026 starts yield 8.8% (blended). DC carries different economics; footnote mix-shift risk.</t>
  </si>
  <si>
    <t xml:space="preserve">  Data center - value-creation margin</t>
  </si>
  <si>
    <t>Higher than logistics on BTS de-risking; bear imports compressed post-2022 logistics margins as caution.</t>
  </si>
  <si>
    <t xml:space="preserve">  Stabilization lag (quarters, both streams)</t>
  </si>
  <si>
    <t>Quarters from start to NOI in operating pool. DC longer than logistics in practice — simplify to one lag, footnote.</t>
  </si>
  <si>
    <t xml:space="preserve">  Development → contribution share (AUM feed)</t>
  </si>
  <si>
    <t>% of stabilized TEI contributed to ventures (the conveyor exit ramp into Strategic Capital AUM).</t>
  </si>
  <si>
    <t>4 · STRATEGIC CAPITAL ASSUMPTIONS  (fee + promote engine)</t>
  </si>
  <si>
    <t xml:space="preserve">  Effective fee rate (bps of 3rd-party AUM)</t>
  </si>
  <si>
    <t>Hist = FY2025 ~55bps (fees ÷ avg 3rd-party AUM). Trailing 3yr, held ~flat. Mix-shift risk footnoted, not modeled.</t>
  </si>
  <si>
    <t xml:space="preserve">  Third-party AUM growth (annual)</t>
  </si>
  <si>
    <t>Contribution-driven base. Bull: new vehicle wins ($2.8B Q1 JVs). Bear: net outflows + negative marks. Lever 6.</t>
  </si>
  <si>
    <t xml:space="preserve">  Transactional fee growth</t>
  </si>
  <si>
    <t>Tied to deployment pace; lumpier than recurring fees.</t>
  </si>
  <si>
    <t xml:space="preserve">  Net promote income - FY2026 ($mm)</t>
  </si>
  <si>
    <t>Hist = FY2025 net promote $(49)M. Base = guided FY26 $(50)M. All cases anchor yr1 to guidance. Lever 8.</t>
  </si>
  <si>
    <t xml:space="preserve">  Net promote - FY2027+ ($mm/yr)</t>
  </si>
  <si>
    <t>Base = ZERO (honest expectation; unforecastable timing — say so loudly). Bull: modest positive. Bear: recurring expense. Asymmetry display.</t>
  </si>
  <si>
    <t xml:space="preserve">  Strategic capital expense ratio</t>
  </si>
  <si>
    <t>SC expenses ÷ recurring+transactional fees. Drives FRE margin. Hist noisy (promote-comp timing).</t>
  </si>
  <si>
    <t>5 · CAPITAL STRUCTURE ASSUMPTIONS  (debt ladder + leverage policy)</t>
  </si>
  <si>
    <t xml:space="preserve">  New-issue debt cost (all-in %)</t>
  </si>
  <si>
    <t>Hist = FY2025 new-issue 4.2%. Base: current curve + spread. Bull: −75bps. Bear: +100bps. Lever 7 (refi drag).</t>
  </si>
  <si>
    <t xml:space="preserve">  Leverage policy - Net debt / Adj. EBITDA</t>
  </si>
  <si>
    <t>Hist = FY2025 5.3x (Q1 4.8x). Target band 4.5–5.0x. Incremental debt sized to hold this roughly constant.</t>
  </si>
  <si>
    <t xml:space="preserve">  Wtd-avg refi rate on maturities (%)</t>
  </si>
  <si>
    <t>Legacy coupon ~3.3% below new-issue → every refi year a small FFO headwind. Mechanical ladder, not a debate.</t>
  </si>
  <si>
    <t xml:space="preserve">  % of new funding from debt (waterfall)</t>
  </si>
  <si>
    <t>Funding waterfall: retained AFFO → disposition proceeds → debt → ATM equity. % debt vs equity of the residual gap.</t>
  </si>
  <si>
    <t xml:space="preserve">  Disposition / contribution cap rate %</t>
  </si>
  <si>
    <t>Hist = FY2025 disp cap 4.9% [NAV anchor]. Bear: cap-rate shock widens. Also feeds AUM marks.</t>
  </si>
  <si>
    <t>6 · SHARE COUNT ASSUMPTIONS  (dilution + ATM residual)</t>
  </si>
  <si>
    <t xml:space="preserve">  Starting diluted Core FFO share basis (M)</t>
  </si>
  <si>
    <t>Hist = FY2025 957.2M (Core FFO basis — the cardinal per-share denominator). Forecast grows from here.</t>
  </si>
  <si>
    <t xml:space="preserve">  Equity-comp share creep (annual %)</t>
  </si>
  <si>
    <t>Trailing-avg dilution from equity awards. Small, mechanical; slightly higher in bear (comp issued in down tape).</t>
  </si>
  <si>
    <t xml:space="preserve">  ATM issuance pace ceiling ($mm/yr)</t>
  </si>
  <si>
    <t>ATM modeled as funding-gap RESIDUAL with a historical-pace cap. Never issue equity the waterfall does not require.</t>
  </si>
  <si>
    <t xml:space="preserve">  OP/LP unit conversion (annual %)</t>
  </si>
  <si>
    <t>Hist = 22.1M units outstanding FY2025. Conversions move units→shares (denominator-neutral on Core basis); hold flat.</t>
  </si>
  <si>
    <t>7 · VALUATION ASSUMPTIONS  (placeholders - keyed to same switch; populated in DCF/NAV/Comps phases)</t>
  </si>
  <si>
    <t xml:space="preserve">  Dividend payout ratio (% of AFFO)</t>
  </si>
  <si>
    <t>Hist = FY2025 common div ÷ AFFO. Dividends are an OUTPUT of earnings × payout, with REIT min-distribution floor. Not an independent growth input.</t>
  </si>
  <si>
    <t xml:space="preserve">  WACC / discount rate</t>
  </si>
  <si>
    <t>Phase 5 (DCF). Listed for completeness; bear world = higher rate AND weaker rents (correlated, never one alone).</t>
  </si>
  <si>
    <t xml:space="preserve">  Exit / terminal cap rate</t>
  </si>
  <si>
    <t>Phase 5 terminal value. Keyed to switch so scenarios stay internally consistent.</t>
  </si>
  <si>
    <t xml:space="preserve">  NAV cap rate (blended operating)</t>
  </si>
  <si>
    <t>Phase 6 (NAV). Anchored to disposition cap rate evidence; bear marks assets down.</t>
  </si>
  <si>
    <t xml:space="preserve">  Terminal growth (perpetuity)</t>
  </si>
  <si>
    <t>Phase 5 Gordon growth, if used. Bounded by long-run rent/inflation; not a free variable.</t>
  </si>
  <si>
    <t>NOTE: Only the 8 levers in §1–§5 move across cases (Phase 4 §7). Everything else is held identical so scenario deltas are attributable. Valuation §7 rates key off the SAME switch in Phases 5–6. Every input carries a source/rationale in column G.</t>
  </si>
  <si>
    <t>PROLOGIS (PLD) - 5 YEAR INTEGRATED FORECAST</t>
  </si>
  <si>
    <t xml:space="preserve">Driven entirely by Assumptions!ACTIVE column (col F) - flip Assumptions!B5 to reprice every line. FY2025 (col B) = actual anchor (green links). Forecast FY2026–FY2030 (cols C–G). </t>
  </si>
  <si>
    <t>($ in thousands)</t>
  </si>
  <si>
    <t>FY2025A</t>
  </si>
  <si>
    <t>FY2026E</t>
  </si>
  <si>
    <t>FY2027E</t>
  </si>
  <si>
    <t>FY2028E</t>
  </si>
  <si>
    <t>FY2029E</t>
  </si>
  <si>
    <t>FY2030E</t>
  </si>
  <si>
    <t>1 · OPERATING FORECAST</t>
  </si>
  <si>
    <t>Held at ACTIVE occupancy (level). Assumptions r10. Lever 2.</t>
  </si>
  <si>
    <t xml:space="preserve">  Occupancy delta vs prior (bps→%)</t>
  </si>
  <si>
    <t>Year-over-year occupancy change → SS NOI contribution.</t>
  </si>
  <si>
    <t>Market rent growth (glide Y1→terminal)</t>
  </si>
  <si>
    <t>Linear glide: Y1 (Assump r11) → Y5 terminal (r12). Lever 1.</t>
  </si>
  <si>
    <t>Contractual escalators (in-place)</t>
  </si>
  <si>
    <t>Embedded annual bumps. Assumptions r13. Floor under SS NOI.</t>
  </si>
  <si>
    <t>Rollover spread (decaying Y1→terminal)</t>
  </si>
  <si>
    <t>MTM stock depletes: spread glides Y1 (r18) → terminal (r19). Lever 3.</t>
  </si>
  <si>
    <t xml:space="preserve">  MTM realization (% pool rolling)</t>
  </si>
  <si>
    <t>% of pool repricing each year. Assumptions r20.</t>
  </si>
  <si>
    <t xml:space="preserve">  Rollover NOI contribution</t>
  </si>
  <si>
    <t xml:space="preserve"> rollover spread × % pool rolling. The contracted-growth runway.</t>
  </si>
  <si>
    <t>Same-store NOI growth %</t>
  </si>
  <si>
    <t xml:space="preserve"> escalators + occupancy delta + rollover contribution. output of the bridge.</t>
  </si>
  <si>
    <t>Property NOI</t>
  </si>
  <si>
    <t>Same-store base compounds at SS NOI growth. Development NOI added below (rDEV).</t>
  </si>
  <si>
    <t>Operating expense ratio</t>
  </si>
  <si>
    <t>Assumptions r15. Rental exp ÷ rental rev.</t>
  </si>
  <si>
    <t xml:space="preserve"> total property noi (R36) ÷ (1 − opex ratio). Revenue is an OUTPUT.</t>
  </si>
  <si>
    <t xml:space="preserve"> −(rental revenue − Property NOI).</t>
  </si>
  <si>
    <t>2 · DEVELOPMENT FORECAST  (Approach B - two streams; $mm except NOI in $000s)</t>
  </si>
  <si>
    <t>LOGISTICS</t>
  </si>
  <si>
    <t xml:space="preserve">  Logistics starts - TEI ($mm)</t>
  </si>
  <si>
    <t>Y1 = Assump r25 (guidance); grows at r26. Lever 4. $mm.</t>
  </si>
  <si>
    <t>Assumptions r27.</t>
  </si>
  <si>
    <t>Assumptions r28. Lever 5.</t>
  </si>
  <si>
    <t xml:space="preserve">  Logistics stabilizations - TEI ($mm)</t>
  </si>
  <si>
    <t xml:space="preserve"> prior-year starts (≈6-qtr lag, Assump r33, simplified to 1yr in annual cols - see Notes).)</t>
  </si>
  <si>
    <t xml:space="preserve">  Logistics delivered NOI ($000s)</t>
  </si>
  <si>
    <t xml:space="preserve"> stabilized tei × yield, ×1000 to $000s.</t>
  </si>
  <si>
    <t>DATA CENTERS</t>
  </si>
  <si>
    <t xml:space="preserve">  DC starts - TEI ($mm)</t>
  </si>
  <si>
    <t>Y1 = Assump r29; grows at r30. Separate stream.</t>
  </si>
  <si>
    <t xml:space="preserve">  DC - stabilized yield on cost</t>
  </si>
  <si>
    <t>Assumptions r31.</t>
  </si>
  <si>
    <t xml:space="preserve">  DC - value-creation margin</t>
  </si>
  <si>
    <t>Assumptions r32.</t>
  </si>
  <si>
    <t xml:space="preserve">  DC stabilizations - TEI ($mm)</t>
  </si>
  <si>
    <t xml:space="preserve"> prior-year dc starts (longer build in reality - see Notes).)</t>
  </si>
  <si>
    <t xml:space="preserve">  DC delivered NOI ($000s)</t>
  </si>
  <si>
    <t xml:space="preserve"> stabilized tei × yield, ×1000.</t>
  </si>
  <si>
    <t>Total development NOI delivered (cumulative)</t>
  </si>
  <si>
    <t>Cumulative NOI from stabilized developments entering the operating pool.</t>
  </si>
  <si>
    <t>Stabilized TEI → contributions (AUM feed, $mm)</t>
  </si>
  <si>
    <t xml:space="preserve"> stabilized tei × contribution share (Assump r34). Feeds Strategic Capital + Deployment.</t>
  </si>
  <si>
    <t>TOTAL PROPERTY NOI (same-store + development)</t>
  </si>
  <si>
    <t>Same-store NOI (r15) + cumulative development NOI (r33).</t>
  </si>
  <si>
    <t>3 · STRATEGIC CAPITAL FORECAST  (AUM in $B; fees/promotes in $000s)</t>
  </si>
  <si>
    <t>Third-party AUM ($B)</t>
  </si>
  <si>
    <t>Grows at Assump r38 (contribution-driven). Lever 6.</t>
  </si>
  <si>
    <t>Tracks 3rd-party AUM growth.</t>
  </si>
  <si>
    <t xml:space="preserve">  Avg 3rd-party AUM ($B)</t>
  </si>
  <si>
    <t>Average of opening/closing for fee calc.</t>
  </si>
  <si>
    <t>Recurring fee revenue ($000s)</t>
  </si>
  <si>
    <t xml:space="preserve"> avg 3rd-party aum ($b→$000s) × effective fee rate (Assump r37).)</t>
  </si>
  <si>
    <t>Transactional fees ($000s)</t>
  </si>
  <si>
    <t>Grows at Assump r39; tied to deployment pace.</t>
  </si>
  <si>
    <t>Strategic capital expenses ($000s)</t>
  </si>
  <si>
    <t xml:space="preserve"> −(recurring+transactional fees) × expense ratio (Assump r42).</t>
  </si>
  <si>
    <t>Net promote income (expense) ($000s)</t>
  </si>
  <si>
    <t>KEPT SEPARATE. FY26 = Assump r40 (guided); FY27+ = r41. Base FY27+ = 0. Lever 8. ×1000 to $000s.</t>
  </si>
  <si>
    <t>Fee-related earnings (FRE) ($000s)</t>
  </si>
  <si>
    <t xml:space="preserve"> recurring + transactional fees − SC expenses (ex-promote).</t>
  </si>
  <si>
    <t>4 · CAPITAL DEPLOYMENT FORECAST  ($mm)</t>
  </si>
  <si>
    <t>Acquisitions ($mm)</t>
  </si>
  <si>
    <t>Held at policy pace, grows with AUM (Assump r38). $mm.</t>
  </si>
  <si>
    <t>Dispositions + contributions ($mm)</t>
  </si>
  <si>
    <t xml:space="preserve"> development conveyor contributions (R34) - consistent with Strategic Capital AUM feed.</t>
  </si>
  <si>
    <t xml:space="preserve">  Disposition cap rate %</t>
  </si>
  <si>
    <t>Assumptions r49 [NAV anchor].</t>
  </si>
  <si>
    <t>5 · CORPORATE &amp; FFO BUILD  ($000s)</t>
  </si>
  <si>
    <t>Grows at escalator rate (Assump r13) as G&amp;A proxy. Flag: simplifying assumption.</t>
  </si>
  <si>
    <t>Grows with AUM (Assump r38) as JV-earnings proxy.</t>
  </si>
  <si>
    <t>Held flat (small, fixed).</t>
  </si>
  <si>
    <t>Adjusted EBITDA (proxy)</t>
  </si>
  <si>
    <t>NOI + FRE − G&amp;A + JV earnings. Used for Debt/EBITDA. Proxy - see Notes.</t>
  </si>
  <si>
    <t>6 · DEBT FORECAST - FUNDING WATERFALL  ($000s unless noted)</t>
  </si>
  <si>
    <t>Funding uses: dev + acquisitions ($000s)</t>
  </si>
  <si>
    <t>Logistics + DC starts + acquisitions ($mm→$000s).</t>
  </si>
  <si>
    <t xml:space="preserve">  Source 1: Retained AFFO (after dividends)</t>
  </si>
  <si>
    <t>AFFO − common dividends. Filled from FFO block.</t>
  </si>
  <si>
    <t xml:space="preserve">  Source 2: Disposition/contribution proceeds</t>
  </si>
  <si>
    <t>Dispositions+contributions ($mm→$000s).</t>
  </si>
  <si>
    <t xml:space="preserve">  Source 3: Debt issuance (to hold leverage)</t>
  </si>
  <si>
    <t xml:space="preserve"> % of residual gap funded by debt (assump R48). filled after retained affo.</t>
  </si>
  <si>
    <t xml:space="preserve">  Source 4: ATM equity (residual)</t>
  </si>
  <si>
    <t>Residual funding gap, capped at ATM ceiling (Assump r54). Filled below.</t>
  </si>
  <si>
    <t>Debt balance (period-end)</t>
  </si>
  <si>
    <t>Prior balance + net debt issuance. Anchor = FY25 BS debt $35.0B.</t>
  </si>
  <si>
    <t xml:space="preserve"> avg debt balance × wtd-avg rate (Debt!D12). New-issue cost (Assump r45) applies to increments - see Notes.</t>
  </si>
  <si>
    <t>Leverage check vs target (Assump r46 = 4.8x).</t>
  </si>
  <si>
    <t>7 · SHARE COUNT FORECAST  (millions; Core FFO denominator)</t>
  </si>
  <si>
    <t>Core FFO diluted share/unit basis (M)</t>
  </si>
  <si>
    <t>Prior × (1+equity-comp creep, Assump r53) + ATM shares (ATM$ ÷ price). Separate Core FFO denominator.</t>
  </si>
  <si>
    <t xml:space="preserve">  o/w equity-comp dilution (M)</t>
  </si>
  <si>
    <t>Assumptions r53.</t>
  </si>
  <si>
    <t xml:space="preserve">  o/w ATM dilution (M)</t>
  </si>
  <si>
    <t>ATM $ ÷ share price (Data_Collection r165).</t>
  </si>
  <si>
    <t>8 · FFO FORECAST  ($000s except per-share)</t>
  </si>
  <si>
    <t>Core FFO</t>
  </si>
  <si>
    <t xml:space="preserve"> noi + fre + net promote − G&amp;A − interest + JV earnings − preferred. (G&amp;A/int/pref carry signs.)</t>
  </si>
  <si>
    <t xml:space="preserve"> core ffo ÷ Core FFO share basis. The headline per-share metric.</t>
  </si>
  <si>
    <t xml:space="preserve">  Core FFO/share ex-promotes</t>
  </si>
  <si>
    <t>Strips net promote - how PLD now guides.</t>
  </si>
  <si>
    <t>NAREIT FFO</t>
  </si>
  <si>
    <t xml:space="preserve"> core ffo × historical NAREIT/Core ratio (FY25). Forecast simplification - see Notes.</t>
  </si>
  <si>
    <t xml:space="preserve"> core ffo × historical AFFO/Core ratio (FY25 ~78%). Forecast simplification - see Notes.</t>
  </si>
  <si>
    <t>AFFO per share</t>
  </si>
  <si>
    <t xml:space="preserve"> affo ÷ Core FFO share basis.</t>
  </si>
  <si>
    <t>Common dividends &amp; distributions</t>
  </si>
  <si>
    <t xml:space="preserve"> −AFFO × payout ratio (Assump r58). Dividend is an OUTPUT.</t>
  </si>
  <si>
    <t>NOTES &amp; FLAGGED MODELING ASSUMPTIONS</t>
  </si>
  <si>
    <t>1. Stabilization lag: Assumptions r33 = 6 quarters (~1.5yr). In annual columns this is simplified to a 1-year lag (stabilizations = prior-year starts). Refine to fractional-year split if quarterly granularity is added.</t>
  </si>
  <si>
    <t>2. Development NOI is cumulative: each year stabilized TEI x yield is added to a running pool. No decay/disposition of stabilized assets is modeled within the 5-yr window (conservative - assets season into same-store but are not double-counted because same-store grows only at SS NOI%).</t>
  </si>
  <si>
    <t>3. NAREIT FFO and AFFO are forecast as Core FFO x the FY2025 historical ratio (NAREIT/Core ~1.02; AFFO/Core ~0.78). This holds the bridge mix constant. Acceptable for a 5-yr outlook; for precision, project each AFFO non-cash line (straight-line rent, TI/LC, stock comp) off NOI/leasing drivers.</t>
  </si>
  <si>
    <t>4. Adjusted EBITDA is a proxy (NOI + FRE - G&amp;A + JV earnings); it excludes some non-cash add-backs in the official Adjusted EBITDA reconciliation. Sufficient for the Debt/EBITDA leverage check; not a substitute for the full reconciliation.</t>
  </si>
  <si>
    <t>5. Interest expense uses the blended historical wtd-avg rate (Debt!D12) on the average balance. The new-issue cost (Assumptions r45) and refi rate (r47) are available levers but are not yet applied incrementally to new vs. maturing debt - refine with a maturity ladder (Debt tab instrument detail is still a stub).</t>
  </si>
  <si>
    <t>6. G&amp;A and JV earnings are grown by simple proxies (escalator and AUM growth respectively) - flag for refinement.</t>
  </si>
  <si>
    <t>7. CIRCULARITY: the funding waterfall (interest -&gt; Core FFO -&gt; AFFO -&gt; retained AFFO -&gt; debt issuance -&gt; debt balance -&gt; interest) is a genuine loop. If your Excel shows 0s or a circular warning, enable iterative calculation (File &gt; Options &gt; Formulas &gt; Enable iterative calculation, 100 iters, 0.001). LibreOffice/this recalc engine resolves it iteratively.</t>
  </si>
  <si>
    <t>8. Dividends are an OUTPUT (AFFO x payout ratio, Assumptions r58), not an input. REIT minimum-distribution floor not separately enforced - add if payout assumption falls below ~90% of taxable income.</t>
  </si>
  <si>
    <t>9. Acquisitions grown with AUM as a policy proxy; dispositions/contributions tied to the development conveyor for internal consistency with Strategic Capital AUM growth.</t>
  </si>
  <si>
    <t>PROLOGIS (PLD) - DISCOUNTED CASH FLOW (DCF)</t>
  </si>
  <si>
    <t>Equity DCF on AFFO. AFFO is a levered (post-interest) cash flow, so its present value IS equity value - no debt is subtracted (that would double-count leverage); Enterprise Value is shown as a derived reconciliation. Discount rate &amp; terminal growth link to Assumptions and flex with the scenario switch. $ in thousands unless noted.</t>
  </si>
  <si>
    <t>Total / Term.</t>
  </si>
  <si>
    <t>1 · DISCOUNT RATE &amp; TERMINAL ASSUMPTIONS  (linked from Assumptions)</t>
  </si>
  <si>
    <t>Equity discount rate  (Assumptions r59)</t>
  </si>
  <si>
    <t>Linked to Assumptions r59 (ACTIVE, switch-driven; Base 7.50% / Bull 7.00% / Bear 8.50%). Scoped there as "WACC/discount rate"; used here as the EQUITY discount rate for the levered AFFO stream. For a pure cost-of-equity one would typically set this ~100bps above WACC - adjustable in Assumptions.</t>
  </si>
  <si>
    <t>Terminal growth  g  (Assumptions r62)</t>
  </si>
  <si>
    <t>Linked to Assumptions r62 (Base 2.5% / Bull 3.0% / Bear 1.5%). Bounded by long-run rent/inflation; g ≤ inflation+1%.</t>
  </si>
  <si>
    <t>Spread  (discount rate − g)</t>
  </si>
  <si>
    <t>Memo: 10- yr UST risk- free  (Data_Collection)</t>
  </si>
  <si>
    <t>Memo: exit/terminal cap rate  (Assumptions r60)</t>
  </si>
  <si>
    <t>2 · FORECAST CASH FLOWS  (from Model FY2026–FY2030)</t>
  </si>
  <si>
    <t>AFFO - PRIMARY cash- flow stream</t>
  </si>
  <si>
    <t>Green link to Model r76. AFFO = cash earnings to common+OP-unit holders after recurring capex and TI/LC. The equity claim.</t>
  </si>
  <si>
    <t xml:space="preserve">  AFFO per share ($)</t>
  </si>
  <si>
    <t>Core FFO - cross- check stream</t>
  </si>
  <si>
    <t>Core FFO includes non-cash items AFFO removes (straight-line rent, etc.); used only as an upper-bound cross-check (Section 6).</t>
  </si>
  <si>
    <t xml:space="preserve">  Core FFO per share ($)</t>
  </si>
  <si>
    <t>3 · DISCOUNT FACTORS &amp; PV OF EXPLICIT AFFO  (end- of- year convention)</t>
  </si>
  <si>
    <t>Period  (t, years)</t>
  </si>
  <si>
    <t>Discount factor  = 1/(1+r)^t</t>
  </si>
  <si>
    <t>PV of AFFO ($000s)</t>
  </si>
  <si>
    <t>Each year: AFFO × discount factor. Total (col G) = PV of the explicit 5-year AFFO stream.</t>
  </si>
  <si>
    <t>4 · TERMINAL VALUE - GORDON GROWTH</t>
  </si>
  <si>
    <t>Terminal- year AFFO (FY2030)</t>
  </si>
  <si>
    <t>Terminal AFFO × (1+g)</t>
  </si>
  <si>
    <t>Terminal value = AFFO₍FY30₎×(1+g)/(r−g)</t>
  </si>
  <si>
    <t>Gordon-growth perpetuity at the end of FY2030 (undiscounted).</t>
  </si>
  <si>
    <t>Discount factor at t = 5</t>
  </si>
  <si>
    <t>PV of terminal value ($000s)</t>
  </si>
  <si>
    <t>Memo: implied terminal AFFO multiple (TV ÷ AFFO₍FY30₎)</t>
  </si>
  <si>
    <t>Equals 1/(r−g) applied to forward AFFO. Sanity-check vs where quality REITs trade on AFFO.</t>
  </si>
  <si>
    <t>5 · DCF VALUATION</t>
  </si>
  <si>
    <t>PV of explicit AFFO (FY2026–2030)</t>
  </si>
  <si>
    <t>+ PV of terminal value</t>
  </si>
  <si>
    <t>EQUITY VALUE ($000s)</t>
  </si>
  <si>
    <t>PV of the AFFO (equity) stream + PV of terminal value. AFFO accrues to equity, so this is equity value directly - NO debt subtraction.</t>
  </si>
  <si>
    <t>÷ Core FFO share/unit count (M)</t>
  </si>
  <si>
    <t>DCF VALUE PER SHARE ($)</t>
  </si>
  <si>
    <t>Memo: TV as % of equity value</t>
  </si>
  <si>
    <t>Implied ENTERPRISE VALUE (reconciliation)</t>
  </si>
  <si>
    <t>Derived: Equity + net debt (face − cash) + preferred + NCI. EV is reconciled FROM equity because AFFO is an equity stream (the reverse of an unlevered-FCF DCF).</t>
  </si>
  <si>
    <t>Current share price ($)</t>
  </si>
  <si>
    <t>Linked to the current-price input already on the NAV tab (single source).</t>
  </si>
  <si>
    <t>Implied upside / (downside) to DCF value</t>
  </si>
  <si>
    <t>6 · CORE FFO CROSS- CHECK  (secondary; upper bound)</t>
  </si>
  <si>
    <t>PV of explicit Core FFO ($000s)</t>
  </si>
  <si>
    <t>Terminal value on Core FFO</t>
  </si>
  <si>
    <t>+ PV terminal (Core FFO)</t>
  </si>
  <si>
    <t>Equity value - Core FFO basis ($000s)</t>
  </si>
  <si>
    <t>Per share - Core FFO basis ($)</t>
  </si>
  <si>
    <t>Core FFO is pre-recurring-capex, so this overstates distributable cash → an upper bound. AFFO (Section 5) is the primary DCF output.</t>
  </si>
  <si>
    <t>7 · SENSITIVITY - DCF/share ($): discount rate (down) × terminal growth (across)</t>
  </si>
  <si>
    <t>r ↓  \  g →</t>
  </si>
  <si>
    <t>Each cell re-runs the full AFFO DCF at that discount rate (row) and terminal growth (column). Center cell (7.50% × 2.5%) reconciles to the DCF/share above.</t>
  </si>
  <si>
    <t>METHODOLOGY &amp; KEY ASSUMPTIONS</t>
  </si>
  <si>
    <t>1 · Cash flow = AFFO (levered/equity).  AFFO is post-interest cash earnings to common + OP-unit holders, after recurring capex and TI/LC - the closest REIT analog to free cash flow to equity. Discounting it gives EQUITY value directly. Core FFO (Section 6) is a pre-capex upper-bound cross-check.</t>
  </si>
  <si>
    <t>2 · Discount rate (Assumptions r59, switch-linked).  Applied as the equity discount rate. It is labelled "WACC/discount rate" in Assumptions and is on the low side for a pure cost of equity; because AFFO is levered, the result is equity value, so NO debt is subtracted. Enterprise Value is reconciled FROM equity (Section 5).</t>
  </si>
  <si>
    <t>3 · Terminal value - Gordon growth.  TV = AFFO₍FY30₎ × (1+g) / (r − g), with g from Assumptions r62 (Base 2.5%, bounded by inflation+1%). Discounted at the t=5 factor. TV is a large share of value (memo r35) - typical for a low-rate growing perpetuity; the sensitivity table stresses both r and g.</t>
  </si>
  <si>
    <t>4 · Discounting.  End-of-year convention, t = 1…5 for FY2026–FY2030. A mid-year convention would lift value modestly; flagged as an option, not applied.</t>
  </si>
  <si>
    <t>5 · Share count.  Units-inclusive Core FFO basis (957.2M, Share_Count r8) - consistent with the NAV and the Model per-share denominator. A current snapshot, not forecast-grown.</t>
  </si>
  <si>
    <t>6 · EV reconciliation.  Implied EV = Equity + net debt (face − cash) + preferred + NCI. JV economics are already inside AFFO (unconsolidated earnings flow through Core FFO), so no separate JV add-back.</t>
  </si>
  <si>
    <t>7 · Scenario behaviour.  Discount rate, terminal growth and the AFFO stream itself all key off Assumptions!B5 (the AFFO feed reads the Model ACTIVE column). The DCF therefore reprices when the switch is flipped; the reference state is Base.</t>
  </si>
  <si>
    <t>PROLOGIS (PLD) - NET ASSET VALUE (NAV)</t>
  </si>
  <si>
    <t>Sum-of-the-parts on a Prologis-share economic basis. Bull/Bear columns flex operating NOI (captured from the Model), cap rate and development margins / FRE multiple; CIP, land and FRE are held at snapshot levels across cases. Balance sheet as of Q1 2026.</t>
  </si>
  <si>
    <t>⚠ Reference state = BASE (Assumptions!B5 = 1). The Base column's NOI (r7/r8) and FRE (r35) link to the ACTIVE scenario, so keep the switch on Base when reading this tab; Bull/Bear NOI are static captures (r7/r8, blue). Switch-independent three-scenario assembly is the Scenarios tab's role (next phase).</t>
  </si>
  <si>
    <t>Source / methodology</t>
  </si>
  <si>
    <t>1 · STABILIZED NOI  (Section 1)</t>
  </si>
  <si>
    <t>Stabilized forecast year selected</t>
  </si>
  <si>
    <t>Forward / NTM year. Nearest forward period: rents are already marked toward market via the FY2026 bridge and occupancy sits at the stabilized ~95.3% level in the model, so minimal normalization is required. Standard forward-NOI NAV convention.</t>
  </si>
  <si>
    <t>Model FY2026E total property NOI (same-store + dev)</t>
  </si>
  <si>
    <t>Base (B7) is a live link to Model r36. Bull/Bear (C7/D7) are Model total NOI CAPTURED manually under switch=2/3 (values verified to match the Model exactly). Blue = static input: they will NOT auto-update if Model assumptions change. Live three-scenario capture belongs in the Scenarios tab (next phase).</t>
  </si>
  <si>
    <t>Less: development-delivered NOI (valued separately, Sec 3)</t>
  </si>
  <si>
    <t>Base (B8) live-links Model r33. Bull/Bear (C8/D8) are the matching manually-captured development-NOI values (static; see r7 note).</t>
  </si>
  <si>
    <t>Stabilized operating NOI (forward FY2026E)</t>
  </si>
  <si>
    <t>Standing-portfolio forward NOI (consolidated). Held constant across the three valuation cases (see Validation).</t>
  </si>
  <si>
    <t>2 · REAL ESTATE PORTFOLIO VALUE  (Section 2)</t>
  </si>
  <si>
    <t>NAV cap rate (blended operating)</t>
  </si>
  <si>
    <t>Linked to Assumptions r61. Anchored to FY2025 disposition cap evidence 4.9–5.1%. Base 5.00% / Bull 4.50% / Bear 5.80%.</t>
  </si>
  <si>
    <t>Gross real estate value  (= Stabilized NOI ÷ cap rate)</t>
  </si>
  <si>
    <t>Direct capitalization of forward stabilized NOI. The single largest NAV component and the dominant value driver.</t>
  </si>
  <si>
    <t>3 · DEVELOPMENT VALUE  (in-process pipeline; cost + value-creation, Section 3)</t>
  </si>
  <si>
    <t>Total construction-in-progress (CIP), Q1 2026</t>
  </si>
  <si>
    <t>Supplemental CIP balance $5,491M (Q1 2026), $mm→$000s. The IN-PROCESS book as of the valuation date — NOT forecast future starts (those are future activity, captured in the DCF, never in a snapshot NAV).</t>
  </si>
  <si>
    <t>DC share of CIP (estimate)</t>
  </si>
  <si>
    <t>NAV-local estimate. Q1 2026 data-center starts were ~73% of new starts, but CIP is a multi-year accumulated stock; 30% is a reasoned mid-point. Adjustable. Split held across cases (the data does not disclose a CIP logistics/DC split).</t>
  </si>
  <si>
    <t>Margin realization on in-process pipeline</t>
  </si>
  <si>
    <t>Fraction of projected value-creation margin recognized now, given mid-construction and ~47.5% pre-leasing (CIP %-leased, Q1 2026). Full margin is earned only at stabilization. Held across cases.</t>
  </si>
  <si>
    <t xml:space="preserve">  LOGISTICS</t>
  </si>
  <si>
    <t xml:space="preserve">  Logistics CIP</t>
  </si>
  <si>
    <t xml:space="preserve">  Logistics value-creation margin</t>
  </si>
  <si>
    <t>Assumptions r28. Base 20% / Bull 30% / Bear 5%.</t>
  </si>
  <si>
    <t xml:space="preserve">  Logistics development value</t>
  </si>
  <si>
    <t>Logistics CIP × (1 + margin × realization).</t>
  </si>
  <si>
    <t xml:space="preserve">  DATA CENTERS</t>
  </si>
  <si>
    <t xml:space="preserve">  Data center CIP</t>
  </si>
  <si>
    <t xml:space="preserve">  Data center value-creation margin</t>
  </si>
  <si>
    <t>Assumptions r32. Base 25% / Bull 35% / Bear 10%.</t>
  </si>
  <si>
    <t xml:space="preserve">  Data center development value</t>
  </si>
  <si>
    <t>DC CIP × (1 + margin × realization).</t>
  </si>
  <si>
    <t>Total development value</t>
  </si>
  <si>
    <t>4 · LAND BANK  (Section 4)</t>
  </si>
  <si>
    <t>Land bank book value, Q1 2026</t>
  </si>
  <si>
    <t>Supplemental land book $4,799M (Q1 2026), $mm→$000s. Carried at lower-of-cost. Buildout TEI capacity ~$38B (r125) is embedded option value NOT marked here — upside, deliberately excluded from base.</t>
  </si>
  <si>
    <t>Mark vs book</t>
  </si>
  <si>
    <t>Held at book (conservative). Adjustable.</t>
  </si>
  <si>
    <t>Land bank value</t>
  </si>
  <si>
    <t>Held across cases at book.</t>
  </si>
  <si>
    <t>5 · STRATEGIC CAPITAL PLATFORM  (FRE multiple, Section 5)</t>
  </si>
  <si>
    <t>Forward fee-related earnings (FRE), ex-promotes</t>
  </si>
  <si>
    <t>Model FY2026E FRE = recurring + transactional fees − strategic-capital expenses (Model r46). Promotes EXCLUDED (base case = $0 FY27+). Held across cases.</t>
  </si>
  <si>
    <t>FRE multiple (asset-manager basis)</t>
  </si>
  <si>
    <t>NAV-local input. Listed alternative-asset / real-asset platform managers trade ~10–18× FRE; the PLD platform is sticky, real-asset-backed and growing. Base 13× / Bull 16× / Bear 9×.</t>
  </si>
  <si>
    <t>Strategic capital platform value</t>
  </si>
  <si>
    <t>6 · ENTERPRISE NAV  (Section 6)</t>
  </si>
  <si>
    <t>Stabilized real estate (Sec 2)</t>
  </si>
  <si>
    <t>+ Development pipeline (Sec 3)</t>
  </si>
  <si>
    <t>+ Land bank (Sec 4)</t>
  </si>
  <si>
    <t>+ Strategic capital platform (Sec 5)</t>
  </si>
  <si>
    <t>GROSS ASSET VALUE (GAV)</t>
  </si>
  <si>
    <t>+ Cash &amp; equivalents</t>
  </si>
  <si>
    <t>Q1 2026 balance sheet.</t>
  </si>
  <si>
    <t>+ Co-investments in unconsolidated ventures (carrying)</t>
  </si>
  <si>
    <t>PLD-share JV equity at carrying (equity-method, depreciated) — conservative vs a JV look-through NAV. The operating NOI above is consolidated, so JV economics are added HERE, not in Section 2.</t>
  </si>
  <si>
    <t>+ Net other assets / (liabilities)</t>
  </si>
  <si>
    <t>Other assets − other liabilities − accounts payable (working-capital net). Immaterial.</t>
  </si>
  <si>
    <t>− Debt at face</t>
  </si>
  <si>
    <t>Consolidated debt at face = carrying $34.67B + unamortized discount/issuance costs $0.53B = $35.19B (Q1 2026).</t>
  </si>
  <si>
    <t>− Preferred equity</t>
  </si>
  <si>
    <t>− Noncontrolling interests</t>
  </si>
  <si>
    <t>Minority share of consolidated equity. Deducted because the NOI feed is consolidated (includes minority-owned property NOI); this reconciles the consolidated valuation to a Prologis-share equity NAV.</t>
  </si>
  <si>
    <t>EQUITY NAV</t>
  </si>
  <si>
    <t xml:space="preserve">  Memo: Equity NAV ($B)</t>
  </si>
  <si>
    <t>Units-inclusive Core FFO basis (957.2M) per instruction. Snapshot count — not forecast-grown.</t>
  </si>
  <si>
    <t>NAV PER SHARE ($)</t>
  </si>
  <si>
    <t>Equity NAV ($000s) ÷ 1000 → $mm, ÷ share count (M) = $ / share.</t>
  </si>
  <si>
    <t>7 · SENSITIVITY ANALYSIS  (NAV per share, Section 7)</t>
  </si>
  <si>
    <t>Non-RE NAV held at Base ($000s)</t>
  </si>
  <si>
    <t>Equity NAV less stabilized real estate = development + land + strategic capital + cash + co-invest + net other − debt − preferred − NCI, all at Base. RE value is the variable in Table A.</t>
  </si>
  <si>
    <t>Non-RE, non-SC NAV held at Base ($000s)</t>
  </si>
  <si>
    <t>As above, also excluding the strategic-capital platform — which is the variable in Table B.</t>
  </si>
  <si>
    <t>Table A — NAV/share ($):  cap rate (down)  ×  stabilized NOI (across)</t>
  </si>
  <si>
    <t>Cap ↓  \  NOI →</t>
  </si>
  <si>
    <t>Table B — NAV/share ($):  cap rate (down)  ×  strategic-capital platform value (across)</t>
  </si>
  <si>
    <t>Cap ↓  \  SC val →</t>
  </si>
  <si>
    <t>Tables hold non-varying components at Base; row = NAV cap rate, columns = the swept variable. Center cell of each table reconciles exactly to Base NAV/share.</t>
  </si>
  <si>
    <t>8 · OUTPUT SUMMARY &amp; VALIDATION  (Section 8)</t>
  </si>
  <si>
    <t>Output</t>
  </si>
  <si>
    <t>NAV per share ($)</t>
  </si>
  <si>
    <t>Live ≈ $143–149 (mid-June 2026; Yahoo Finance / Investing.com ~$148.7, intraday quotes ~$141–143). Adjustable blue input. Workbook Q1 2026 snapshot = $132 (Data_Collection r165, shown below).</t>
  </si>
  <si>
    <t>Premium / (discount) to NAV</t>
  </si>
  <si>
    <t>Price ÷ NAV − 1. Positive = market premium to NAV.</t>
  </si>
  <si>
    <t>Implied upside / (downside) to NAV</t>
  </si>
  <si>
    <t>NAV ÷ price − 1. Positive = NAV above the current price (upside).</t>
  </si>
  <si>
    <t>Memo: workbook snapshot price (Q1 2026, $)</t>
  </si>
  <si>
    <t>Premium/(discount) vs snapshot price</t>
  </si>
  <si>
    <t>Memo: stabilized NOI ÷ GAV (blended asset yield)</t>
  </si>
  <si>
    <t>Blended yield on gross assets (below the 5.0% RE cap because GAV includes non-income land, in-process development and the fee platform). A coherence check, not a pure cap rate.</t>
  </si>
  <si>
    <t>Memo: stabilized RE value per sq ft ($/sf)</t>
  </si>
  <si>
    <t>Base RE value ÷ same-store operating pool (Data_Collection r86, ~773M sf). Sanity vs prime-logistics replacement cost.</t>
  </si>
  <si>
    <t>VALIDATION &amp; KEY DRIVERS</t>
  </si>
  <si>
    <t>1 · Is the NAV reasonable?  Base NAV ≈ B54; range Bear (D54) – Bull (C54). Implied value/sf (~$172, r86) sits within prime-logistics replacement cost and the blended GAV yield (~4.6%, r85) is consistent with a high-quality global industrial portfolio. The build is deliberately conservative: JV interests at carrying (depreciated equity value), land at book (≈$38B buildout option excluded), and NO value for future (post-snapshot) development starts. So if anything the snapshot NAV is understated.</t>
  </si>
  <si>
    <t>2 · Premium or discount?  At ~$145 (mid-June 2026) PLD trades at a PREMIUM to NAV -roughly +17% to Base and ~+3% to Bull (r80). Against the workbook’s Q1 2026 snapshot price ($132) the premium is ~+6% (r84). PLD has historically commanded an NAV premium for its development engine, fee platform and balance-sheet quality; +17% to a conservative Base is toward the upper end of that range and is the central debate -is the market paying for data-center / development optionality this snapshot NAV intentionally omits?</t>
  </si>
  <si>
    <t>3 · Which assumptions drive the valuation?  The NAV cap rate and stabilized NOI dominate. Table A shows roughly $6–7 of NAV/share per 25 bps of cap rate and per ~5% of NOI -together they explain almost the entire spread. The strategic-capital multiple and development margin are second-order: Table B shows a full 2× swing in the FRE multiple moves NAV well under $1/share. Challenge should focus on the operating cap rate applied to forward NOI.</t>
  </si>
  <si>
    <t>Scenario design.  Three full scenarios: Bull/Bear flex operating NOI (Section 1, captured from the Model under switch=2/3), the NAV cap rate (Assumptions r61), development margins (r28/r32) and the FRE multiple (r36). CIP, land and FRE are held at snapshot levels (the NAV values today's in-process book and platform, not forward activity). NOTE: the Bull/Bear NOI in C7/D7/C8/D8 are static manual captures (blue), so they do not auto-update with Model changes and trip the "no hardcodes outside Data_Collection" hygiene rule -the live three-scenario engine belongs in the Scenarios tab. The Base column remains fully linked to the live forecast.</t>
  </si>
  <si>
    <t>Tie-back &amp; integrity.  Stabilized NOI and FRE link to Model FY2026E (which reads the Assumptions ACTIVE column); cap rates and development margins link to Assumptions; the balance sheet links to Data_Collection (Q1 2026); share count links to Share_Count. No NAV output is hardcoded. The NAV is a downstream consumer only -it feeds nothing back into the forecast -so it introduces no new circularity.</t>
  </si>
  <si>
    <t>PROLOGIS (PLD) - TRADING COMPARABLES</t>
  </si>
  <si>
    <t xml:space="preserve"> Logistics-REIT peer group. $ in billions except per-share &amp; ratios. Forward (2026E) multiples. Blue = sourced/estimated input; black = calculation; green = link to this model (PLD row &amp; implied value). See notes for sourcing.</t>
  </si>
  <si>
    <t>⚠ Live peer prices showed provider/date dispersion (treated as ~mid-June 2026 estimates, adjustable). The implied-value conclusion rests on RELATIVE multiples, robust to absolute price level. PLD price links to NAV for model consistency. EBITDA / cap-rate figures are estimates.</t>
  </si>
  <si>
    <t>Peer AFFO/FFO ratio (applied to peer Core FFO):</t>
  </si>
  <si>
    <t>Single transparent ratio. Pure-play landlords convert FFO→AFFO higher than PLD (whose model AFFO/FFO is ~78% due to development capex).</t>
  </si>
  <si>
    <t>Company</t>
  </si>
  <si>
    <t>Ticker</t>
  </si>
  <si>
    <t>Price ($)</t>
  </si>
  <si>
    <t>Shares (M)</t>
  </si>
  <si>
    <t>Mkt cap ($B)</t>
  </si>
  <si>
    <t>Net debt+pref ($B)</t>
  </si>
  <si>
    <t>EV ($B)</t>
  </si>
  <si>
    <t>EBITDA ($B)</t>
  </si>
  <si>
    <t>Net debt/ EBITDA</t>
  </si>
  <si>
    <t>Div/sh</t>
  </si>
  <si>
    <t>Div yield</t>
  </si>
  <si>
    <t>Core FFO/sh</t>
  </si>
  <si>
    <t>AFFO/sh</t>
  </si>
  <si>
    <t>P/Core FFO</t>
  </si>
  <si>
    <t>P/AFFO</t>
  </si>
  <si>
    <t>EV/ EBITDA</t>
  </si>
  <si>
    <t>Impl. cap rate</t>
  </si>
  <si>
    <t>Prologis</t>
  </si>
  <si>
    <t>PLD</t>
  </si>
  <si>
    <t>Rexford</t>
  </si>
  <si>
    <t>REXR</t>
  </si>
  <si>
    <t>EastGroup</t>
  </si>
  <si>
    <t>EGP</t>
  </si>
  <si>
    <t>First Industrial</t>
  </si>
  <si>
    <t>FR</t>
  </si>
  <si>
    <t>Terreno</t>
  </si>
  <si>
    <t>TRNO</t>
  </si>
  <si>
    <t>STAG Industrial</t>
  </si>
  <si>
    <t>STAG</t>
  </si>
  <si>
    <t>SUMMARY STATISTICS — peer set (REXR, EGP, FR, TRNO, STAG; excludes PLD)</t>
  </si>
  <si>
    <t>Mean</t>
  </si>
  <si>
    <t>Median</t>
  </si>
  <si>
    <t>High</t>
  </si>
  <si>
    <t>Low</t>
  </si>
  <si>
    <t>PLD (subject)</t>
  </si>
  <si>
    <t>PLD IMPLIED VALUATION — peer median multiples applied to PLD forward metrics</t>
  </si>
  <si>
    <t>Method</t>
  </si>
  <si>
    <t>Peer median ×</t>
  </si>
  <si>
    <t>PLD metric</t>
  </si>
  <si>
    <t>Implied $/sh</t>
  </si>
  <si>
    <t>vs current price</t>
  </si>
  <si>
    <t>Median P/Core FFO  ×  PLD Core FFO/sh</t>
  </si>
  <si>
    <t>Implied = peer-median multiple × PLD forward per-share metric. "vs price" = implied ÷ current − 1 (negative = PLD trades above where peer multiples imply).</t>
  </si>
  <si>
    <t>Median P/AFFO  ×  PLD AFFO/sh</t>
  </si>
  <si>
    <t>Implied PLD value range (low–high of the two methods)</t>
  </si>
  <si>
    <t>Current PLD price ($)</t>
  </si>
  <si>
    <t>VALUATION CONCLUSION — PLD vs peer median</t>
  </si>
  <si>
    <t>Multiple</t>
  </si>
  <si>
    <t>PLD (current)</t>
  </si>
  <si>
    <t>Peer median</t>
  </si>
  <si>
    <t>PLD premium/(disc)</t>
  </si>
  <si>
    <t>EV/EBITDA</t>
  </si>
  <si>
    <t>Net debt/EBITDA</t>
  </si>
  <si>
    <t>Dividend yield</t>
  </si>
  <si>
    <t>KEY OBSERVATIONS</t>
  </si>
  <si>
    <t>1 · PLD trades at a clear premium to the logistics peer group.  On forward P/Core FFO and P/AFFO, PLD sits above the peer median (row 29–30). Applying peer-median multiples to PLD's own forward metrics implies a value (row 24) BELOW the current price -i.e., the market pays a premium for PLD vs the group. This is the expected result for the sector bellwether and is consistent with the NAV and DCF, which also sit below price.</t>
  </si>
  <si>
    <t>2 · The implied "value" is a relative-positioning read, not a target.  It answers "what would PLD be worth at peer multiples?" PLD's scale, global platform, strategic-capital franchise and data-center optionality justify a premium that pure-play domestic peers do not carry; a literal peer-multiple target understates PLD.</t>
  </si>
  <si>
    <t>3 · P/Core FFO is the cleaner cross-company multiple.  The P/AFFO comparison is distorted because PLD's AFFO/FFO ratio (~78%, heavy development capex) is lower than the ~90% assumed for pure-play peers, mechanically lowering PLD's implied P/AFFO value. Weight the P/Core FFO read accordingly.</t>
  </si>
  <si>
    <t>4 · Within the group, multiples disperse with quality/market.  EGP and TRNO (Sunbelt / coastal infill, low leverage) screen richest; REXR and STAG (SoCal repositioning / secondary markets) screen cheapest. PLD's premium to the median is widest on P/Core FFO.</t>
  </si>
  <si>
    <t>5 · Leverage &amp; yield context.  PLD's net debt/EBITDA (~5.0x) is around the peer median; its dividend yield is below the peer median, another premium signal. EV/EBITDA and implied cap rates are indicative estimates (peer EBITDA not separately sourced) and should be read as directional.</t>
  </si>
  <si>
    <t>SOURCES &amp; METHODOLOGY</t>
  </si>
  <si>
    <t>Prices ~mid-June 2026 (Yahoo / Investing.com / Google Finance / macrotrends / wallstreetzen); cross-provider dispersion noted, treated as blue inputs. PLD price links to NAV!B79. 2026E Core FFO/sh = FY2026 guidance midpoints: EGP $9.56 ($9.46–9.66), FR $3.14 ($3.09–3.19 ex-advisory), STAG $2.62 ($2.60–2.64), REXR ~$2.40, TRNO ~$2.70 (consensus). PLD Core FFO/sh &amp; AFFO/sh link to Model FY2026E (r73/r77).</t>
  </si>
  <si>
    <t>AFFO (peers) = Core FFO × 90% (cell B4). Net debt+pref, EBITDA and implied cap rates are estimates (sourced leverage where available: EGP 3.0x, STAG 5.0x net debt/EBITDA). Statistics span the 5 peers, excluding PLD. Implied value applies peer MEDIAN P/Core FFO and P/AFFO to PLD's forward metrics.</t>
  </si>
  <si>
    <t>PROLOGIS (PLD) — FOOTBALL FIELD (VALUATION SUMMARY)</t>
  </si>
  <si>
    <t>Per-share value ranges by methodology, with the current market price. All values link to NAV, DCF and Comps. NAV = scenario range (Bear/Base/Bull). DCF = discount-rate band (7.0–8.5% WACC, g 2.5%). Comps = P/AFFO–P/Core FFO implied range.</t>
  </si>
  <si>
    <t>1 · VALUATION RANGES ($/share)</t>
  </si>
  <si>
    <t>Methodology</t>
  </si>
  <si>
    <t>Base / mid</t>
  </si>
  <si>
    <t>Midpoint</t>
  </si>
  <si>
    <t>Range ($)</t>
  </si>
  <si>
    <t>Offset</t>
  </si>
  <si>
    <t>Range</t>
  </si>
  <si>
    <t>NAV (sum-of-parts)</t>
  </si>
  <si>
    <t>NAV Bear / Base / Bull (NAV!D54/B54/C54).</t>
  </si>
  <si>
    <t>Trading comps</t>
  </si>
  <si>
    <t>DCF (AFFO equity)</t>
  </si>
  <si>
    <t>DCF at bear/bull WACC (8.5%/7.0%), terminal g 2.5% (DCF!D53/D50); base DCF!B34.</t>
  </si>
  <si>
    <t>Comps implied: P/AFFO (low) – P/Core FFO (high) (Comps!D23/D22).</t>
  </si>
  <si>
    <t>Current share price</t>
  </si>
  <si>
    <t>Linked to NAV!B79 (model-consistent current price).</t>
  </si>
  <si>
    <t>◄ Current price</t>
  </si>
  <si>
    <t>2 · VALUATION SUMMARY</t>
  </si>
  <si>
    <t>Metric</t>
  </si>
  <si>
    <t>Value</t>
  </si>
  <si>
    <t>Overall low (min across methods)</t>
  </si>
  <si>
    <t>Overall high (max across methods)</t>
  </si>
  <si>
    <t>Blended midpoint (avg of method midpoints)</t>
  </si>
  <si>
    <t>Price vs blended midpoint</t>
  </si>
  <si>
    <t>Price vs NAV base / DCF base / comps mid</t>
  </si>
  <si>
    <t>Premium of price to: NAV base, DCF base, comps midpoint.</t>
  </si>
  <si>
    <t>1 · The three methodologies converge tightly on intrinsic value.  NAV base (~$124), DCF base (~$124) and the comps midpoint (~$100) cluster in the ~$100–124 zone; the blended midpoint sits near $115. Independent approaches triangulating this closely is a strong signal.</t>
  </si>
  <si>
    <t>2 · The market price sits at or above the top of every range.  At $145 PLD trades above NAV bull, above the DCF bull-WACC high, and well above the comps-implied range -a consistent premium across all three lenses.</t>
  </si>
  <si>
    <t>3 · The premium is the thesis, not a mispricing flag.  PLD's scale, global platform, strategic-capital franchise and data-center / development optionality justify a premium that the asset-, cash-flow- and peer-based methods do not fully capture. The football field frames how much premium the market is paying.</t>
  </si>
  <si>
    <t>4 · Comps anchors the low end; NAV/DCF anchor the center.  Trading comps screen PLD cheapest (it is priced richer than peers); NAV and DCF -which capture PLD-specific platform value -sit higher and should carry more weight in the final view.</t>
  </si>
  <si>
    <t>PROLOGIS (PLD) - SCENARIO SUMMARY (EXECUTIVE VIEW)</t>
  </si>
  <si>
    <t>Base / Bull / Bear via the Assumptions scenario switch. Base column, NAV/share and all drivers link live. Single-scenario outputs (operating, DCF, comps) for Bull/Bear are MODEL-DERIVED CAPTURES (blue) -the model computes one scenario at a time. $ in thousands except per-share.</t>
  </si>
  <si>
    <t>⚠ Reference state = Base (Assumptions!B5 = 1). Bull/Bear captures were produced by running the model under each switch setting; refresh them if the model changes. Green = live link; blue = model-derived capture; black = calculation.</t>
  </si>
  <si>
    <t>Source / note</t>
  </si>
  <si>
    <t>1 · OPERATING SUMMARY -FY2030E</t>
  </si>
  <si>
    <t>Scenario</t>
  </si>
  <si>
    <t>NAV/share</t>
  </si>
  <si>
    <t>DCF/share</t>
  </si>
  <si>
    <t>Current price</t>
  </si>
  <si>
    <t>Revenue ($000s)</t>
  </si>
  <si>
    <t>Base links Model FY2030 (col G); Bull/Bear captured at switch=2/3.</t>
  </si>
  <si>
    <t>Total property NOI ($000s)</t>
  </si>
  <si>
    <t>Core FFO ($000s)</t>
  </si>
  <si>
    <t>AFFO ($000s)</t>
  </si>
  <si>
    <t>Core FFO / share ($)</t>
  </si>
  <si>
    <t>Core FFO/share — Bull $10.80 / Bear $6.67 vs Base $8.40 shows the operating spread.</t>
  </si>
  <si>
    <t>AFFO / share ($)</t>
  </si>
  <si>
    <t>2 · VALUATION SUMMARY ($/share)</t>
  </si>
  <si>
    <t>NAV / share</t>
  </si>
  <si>
    <t>Dynamic — NAV tab already carries Base/Bull/Bear columns (NAV!B54/C54/D54).</t>
  </si>
  <si>
    <t>DCF / share</t>
  </si>
  <si>
    <t>Bull DCF is amplified by the terminal r−g spread (7.0% WACC, 3.0% g) → read with caution; NAV bull is the firmer anchor.</t>
  </si>
  <si>
    <t>Trading comps value</t>
  </si>
  <si>
    <t>Midpoint of P/Core FFO &amp; P/AFFO implied (Comps!D22/D23). Near-term-driven, so it varies little across cases.</t>
  </si>
  <si>
    <t>Football Field midpoint</t>
  </si>
  <si>
    <t>Blended midpoint = average of NAV, DCF and comps for each scenario.</t>
  </si>
  <si>
    <t>3 · RETURN FRAMEWORK (vs current share price)</t>
  </si>
  <si>
    <t>Upside / (downside) to NAV</t>
  </si>
  <si>
    <t>Each scenario value ÷ current price − 1. Positive = value above price (upside).</t>
  </si>
  <si>
    <t>Upside / (downside) to DCF</t>
  </si>
  <si>
    <t>Upside / (downside) to blended</t>
  </si>
  <si>
    <t>4 · SCENARIO DRIVERS (linked to Assumptions)</t>
  </si>
  <si>
    <t xml:space="preserve">  Operating</t>
  </si>
  <si>
    <t xml:space="preserve">  Average occupancy %</t>
  </si>
  <si>
    <t xml:space="preserve">  Market rent growth (Y1)</t>
  </si>
  <si>
    <t xml:space="preserve">  MTM realization %</t>
  </si>
  <si>
    <t xml:space="preserve">  Development</t>
  </si>
  <si>
    <t xml:space="preserve">  Logistics starts -TEI Y1 ($mm)</t>
  </si>
  <si>
    <t xml:space="preserve">  Data-center starts -TEI Y1 ($mm)</t>
  </si>
  <si>
    <t xml:space="preserve">  Logistics stabilized yield</t>
  </si>
  <si>
    <t xml:space="preserve">  Data-center stabilized yield</t>
  </si>
  <si>
    <t xml:space="preserve">  Capital structure</t>
  </si>
  <si>
    <t xml:space="preserve">  New-issue debt cost</t>
  </si>
  <si>
    <t xml:space="preserve">  Leverage (net debt / EBITDA)</t>
  </si>
  <si>
    <t xml:space="preserve">  Valuation</t>
  </si>
  <si>
    <t xml:space="preserve">  NAV cap rate</t>
  </si>
  <si>
    <t xml:space="preserve">  Discount rate (WACC)</t>
  </si>
  <si>
    <t xml:space="preserve">  Terminal growth</t>
  </si>
  <si>
    <t>5 · EXECUTIVE TAKEAWAYS</t>
  </si>
  <si>
    <t>BASE</t>
  </si>
  <si>
    <t>Outcome: ~5% same-store NOI growth, FY2030 Core FFO/share ~$8.40 (≈8%/yr). Valuation: NAV ≈ $124, DCF ≈ $124 -intrinsic value clusters ~$124; price (~$145) sits at a ~17% premium.</t>
  </si>
  <si>
    <t>BULL</t>
  </si>
  <si>
    <t>Outcome: stronger rents/leasing + heavier accretive development; FY2030 Core FFO/share ~$10.80. Valuation: NAV ≈ $146 (≈ current price); DCF screens far higher but is terminal-value-sensitive. Bull justifies today's price.</t>
  </si>
  <si>
    <t>BEAR</t>
  </si>
  <si>
    <t>Outcome: rent declines, weaker leasing, higher cap/discount rates; FY2030 Core FFO/share ~$6.67. Valuation: NAV ≈ $99, DCF ≈ $71 -~20–50% downside from price. Quantifies the premium's downside risk.</t>
  </si>
  <si>
    <t>6 · VISUALIZATION — NAV/share, DCF/share &amp; current price by scenario</t>
  </si>
  <si>
    <t>NOTES &amp; METHODOLOGY</t>
  </si>
  <si>
    <t>Architecture: the Model computes one scenario at a time via Assumptions!B5. NAV/share and all drivers carry native Base/Bull/Bear columns and link live. Operating, DCF and comps outputs are single-scenario, so their Bull/Bear values are MODEL-DERIVED CAPTURES (run the model at switch=2/3, read the output). These are computed values, not manual inputs; the Base column links live. Refresh captures if Model/Assumptions change.</t>
  </si>
  <si>
    <t>DCF caution: the Bull DCF (~$201) stacks lower discount (7.0%), higher terminal growth (3.0%) and higher AFFO; the Gordon perpetuity (r−g = 4%) amplifies it. Treat NAV ($146 bull) as the firmer bull anchor. Bear DCF ($71) reflects the opposite stack (8.5% discount, 1.5% g, weaker AFFO).</t>
  </si>
  <si>
    <t>PROLOGIS, INC. (NYSE: PLD) - INVESTMENT SUMMARY</t>
  </si>
  <si>
    <t>Institutional valuation summary · all figures link to the NAV, DCF, Comps, Football Field and Scenarios tabs. Reference state = Base (Assumptions!B5 = 1). $ in thousands except per-share.</t>
  </si>
  <si>
    <t>1 · INVESTMENT THESIS</t>
  </si>
  <si>
    <t>Key positives</t>
  </si>
  <si>
    <t xml:space="preserve">  + Premium global logistics platform</t>
  </si>
  <si>
    <t>~95% occupancy with embedded below-market rents; base same-store NOI growth ~5%/yr from escalators + mark-to-market on rollover.</t>
  </si>
  <si>
    <t xml:space="preserve">  + Multiple growth engines</t>
  </si>
  <si>
    <t>Development (logistics + data centers) creates value at cost-plus-margin; the strategic-capital platform scales fee income (~$87B third-party AUM by FY2030).</t>
  </si>
  <si>
    <t xml:space="preserve">  + Balance-sheet strength</t>
  </si>
  <si>
    <t>Net debt/EBITDA ~5.0x under a disciplined leverage policy, funding the development pipeline while preserving capacity.</t>
  </si>
  <si>
    <t>Key risks</t>
  </si>
  <si>
    <t xml:space="preserve">  − Valuation premium / downside</t>
  </si>
  <si>
    <t>Trades ~17% above NAV base and above DCF &amp; comps -priced toward the bull case; vulnerable to multiple compression if growth slows.</t>
  </si>
  <si>
    <t xml:space="preserve">  − Development &amp; capital intensity</t>
  </si>
  <si>
    <t>Heavy starts require external funding (ATM equity + debt); value-creation margins compress sharply in the bear case (logistics 5%, DC 10%).</t>
  </si>
  <si>
    <t xml:space="preserve">  − Macro / rate sensitivity</t>
  </si>
  <si>
    <t>Cap &amp; discount rates are the dominant value levers; the bear case (5.8% cap, 8.5% WACC, falling rents) implies ~30–50% downside.</t>
  </si>
  <si>
    <t>Key valuation drivers</t>
  </si>
  <si>
    <t xml:space="preserve">  • Cap rate &amp; discount rate</t>
  </si>
  <si>
    <t>The single largest lever -~$6–7/share per 25 bps on both NAV (cap rate) and DCF (WACC).</t>
  </si>
  <si>
    <t xml:space="preserve">  • Stabilized NOI growth</t>
  </si>
  <si>
    <t>Same-store rent growth, occupancy and MTM realization set the cash-flow base across all three methods.</t>
  </si>
  <si>
    <t xml:space="preserve">  • Development margins &amp; strategic-capital value</t>
  </si>
  <si>
    <t>Logistics/DC value-creation margins and the FRE platform multiple drive the premium above the operating portfolio.</t>
  </si>
  <si>
    <t>Low / Bear</t>
  </si>
  <si>
    <t>High / Bull</t>
  </si>
  <si>
    <t>NAV tab Bear/Base/Bull</t>
  </si>
  <si>
    <t>DCF base; scenario DCF on Scenarios tab</t>
  </si>
  <si>
    <t>Comps P/AFFO–P/Core FFO implied</t>
  </si>
  <si>
    <t>Football Field (blended)</t>
  </si>
  <si>
    <t>Football Field low/mid/high</t>
  </si>
  <si>
    <t>Linked to model current-price input (NAV!B79).</t>
  </si>
  <si>
    <t>3 · RECOMMENDATION FRAMEWORK — probability-weighted target</t>
  </si>
  <si>
    <t>Case</t>
  </si>
  <si>
    <t>Valuation ($/sh)</t>
  </si>
  <si>
    <t>Probability</t>
  </si>
  <si>
    <t>Weighted ($/sh)</t>
  </si>
  <si>
    <t>Basis</t>
  </si>
  <si>
    <t>Blended Football Field midpoint, bear</t>
  </si>
  <si>
    <t>Blended Football Field midpoint, base</t>
  </si>
  <si>
    <t>Blended Football Field midpoint, bull</t>
  </si>
  <si>
    <t>Probability-weighted target</t>
  </si>
  <si>
    <t>Memo: NAV-based weighted target (cross-check)</t>
  </si>
  <si>
    <t>Target vs current price</t>
  </si>
  <si>
    <t>Probabilities are institutional judgment (Base 50%, Bull/Bear 25% each — symmetric; quality anchors Base, the premium valuation tempers an upward tilt). Adjustable (blue).</t>
  </si>
  <si>
    <t>4 · KEY MODEL OUTPUTS — FY2030E</t>
  </si>
  <si>
    <t>Scenarios FY2030</t>
  </si>
  <si>
    <t>Net debt / EBITDA (x)</t>
  </si>
  <si>
    <t>Model FY2030 (base); leverage policy bull/bear</t>
  </si>
  <si>
    <t>5 · FINAL INVESTMENT CONCLUSION</t>
  </si>
  <si>
    <t>What the model says</t>
  </si>
  <si>
    <t>Intrinsic value clusters near $124/share (NAV base ≈ DCF base); the blended Football Field midpoint is ~$114 and the probability-weighted target ~$117 -all below the current ~$145 price. Independent asset-, cash-flow- and peer-based methods triangulate tightly.</t>
  </si>
  <si>
    <t>Why PLD trades at a premium</t>
  </si>
  <si>
    <t>Scale, a global platform, the strategic-capital franchise and development / data-center optionality command a premium that asset-, cash-flow- and peer-multiple methods only partly capture -PLD is the sector bellwether and consistently trades richer than pure-play peers.</t>
  </si>
  <si>
    <t>What the price implies</t>
  </si>
  <si>
    <t>At ~$145 the market is pricing the BULL case: only under bull do NAV (~$146) and the blended midpoint (~$150) reach today's price. Base and bear sit ~15% and ~40% lower. The premium is the thesis -and the risk.</t>
  </si>
  <si>
    <t>What could change the valuation</t>
  </si>
  <si>
    <t>Cap-rate / interest-rate moves (the dominant lever); the pace and margins of development, especially data centers; strategic-capital AUM growth and promotes; and the direction of the logistics rent cycle.</t>
  </si>
  <si>
    <t>READ ME - CONVENTIONS &amp; SOURCE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</si>
</sst>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m/d/yyyy"/>
    <numFmt numFmtId="165" formatCode="_(* #,##0_);_(* \(#,##0\);_(* \-??_);_(@_)"/>
    <numFmt numFmtId="166" formatCode="_(* #,##0.0_);_(* \(#,##0.0\);_(* \-??_);_(@_)"/>
    <numFmt numFmtId="167" formatCode="#,##0;\(#,##0\);\-"/>
    <numFmt numFmtId="168" formatCode="0.0%"/>
    <numFmt numFmtId="169" formatCode="0.0%;[Red]\(0.0%\);\-"/>
    <numFmt numFmtId="170" formatCode="#,##0;[Red]\(#,##0\);\-"/>
    <numFmt numFmtId="171" formatCode="0.0;[Red]\(0.0\);\-"/>
    <numFmt numFmtId="172" formatCode="0.0\x;[Red]\(0.0&quot;x)&quot;;\-"/>
    <numFmt numFmtId="173" formatCode="\$0.00;[Red]&quot;($&quot;0.00\);\-"/>
    <numFmt numFmtId="174" formatCode="_(* #,##0.00_);_(* \(#,##0.00\);_(* \-??_);_(@_)"/>
    <numFmt numFmtId="175" formatCode="#,##0.0;\(#,##0.0\);\-"/>
    <numFmt numFmtId="176" formatCode="0.0\x"/>
    <numFmt numFmtId="177" formatCode="0.0"/>
    <numFmt numFmtId="178" formatCode="#,##0.0"/>
    <numFmt numFmtId="179" formatCode="\$#,##0.00"/>
    <numFmt numFmtId="180" formatCode="0.0000"/>
    <numFmt numFmtId="181" formatCode="\$#,##0.0"/>
  </numFmts>
  <fonts count="42" x14ac:knownFonts="1">
    <font>
      <sz val="11"/>
      <color theme="1"/>
      <name val="Calibri"/>
      <family val="2"/>
      <charset val="1"/>
    </font>
    <font>
      <b/>
      <sz val="14"/>
      <color rgb="FF000000"/>
      <name val="Arial"/>
      <family val="2"/>
      <charset val="1"/>
    </font>
    <font>
      <b/>
      <sz val="12"/>
      <color rgb="FF1F3864"/>
      <name val="Arial"/>
      <family val="2"/>
      <charset val="1"/>
    </font>
    <font>
      <i/>
      <sz val="10"/>
      <color rgb="FF404040"/>
      <name val="Arial"/>
      <family val="2"/>
      <charset val="1"/>
    </font>
    <font>
      <sz val="10"/>
      <color rgb="FF000000"/>
      <name val="Arial"/>
      <family val="2"/>
      <charset val="1"/>
    </font>
    <font>
      <sz val="10"/>
      <color theme="1"/>
      <name val="Arial"/>
      <family val="2"/>
      <charset val="1"/>
    </font>
    <font>
      <b/>
      <sz val="10"/>
      <color rgb="FF000000"/>
      <name val="Arial"/>
      <family val="2"/>
      <charset val="1"/>
    </font>
    <font>
      <b/>
      <sz val="9"/>
      <name val="Arial"/>
      <family val="2"/>
      <charset val="1"/>
    </font>
    <font>
      <sz val="10"/>
      <color rgb="FF0000FF"/>
      <name val="Arial"/>
      <family val="2"/>
      <charset val="1"/>
    </font>
    <font>
      <b/>
      <sz val="10"/>
      <color rgb="FF1F3864"/>
      <name val="Arial"/>
      <family val="2"/>
      <charset val="1"/>
    </font>
    <font>
      <b/>
      <sz val="9"/>
      <color rgb="FF1F3864"/>
      <name val="Arial"/>
      <family val="2"/>
      <charset val="1"/>
    </font>
    <font>
      <b/>
      <sz val="10"/>
      <color rgb="FFFFFFFF"/>
      <name val="Arial"/>
      <family val="2"/>
      <charset val="1"/>
    </font>
    <font>
      <sz val="10"/>
      <name val="Arial"/>
      <family val="2"/>
      <charset val="1"/>
    </font>
    <font>
      <i/>
      <sz val="9"/>
      <color rgb="FF808080"/>
      <name val="Arial"/>
      <family val="2"/>
      <charset val="1"/>
    </font>
    <font>
      <sz val="8"/>
      <color rgb="FF000000"/>
      <name val="Arial"/>
      <family val="2"/>
      <charset val="1"/>
    </font>
    <font>
      <sz val="8"/>
      <color theme="1"/>
      <name val="Arial"/>
      <family val="2"/>
      <charset val="1"/>
    </font>
    <font>
      <sz val="9"/>
      <color rgb="FF808080"/>
      <name val="Arial"/>
      <family val="2"/>
      <charset val="1"/>
    </font>
    <font>
      <sz val="11"/>
      <color rgb="FF000000"/>
      <name val="Aptos Narrow"/>
      <family val="2"/>
      <charset val="1"/>
    </font>
    <font>
      <sz val="11"/>
      <color theme="1"/>
      <name val="Calibri (Body)"/>
      <charset val="1"/>
    </font>
    <font>
      <sz val="10"/>
      <color rgb="FF008000"/>
      <name val="Arial"/>
      <family val="2"/>
      <charset val="1"/>
    </font>
    <font>
      <sz val="11"/>
      <color theme="0"/>
      <name val="Calibri"/>
      <family val="2"/>
      <charset val="1"/>
    </font>
    <font>
      <b/>
      <sz val="11"/>
      <color rgb="FF0000FF"/>
      <name val="Arial"/>
      <family val="2"/>
      <charset val="1"/>
    </font>
    <font>
      <i/>
      <sz val="9"/>
      <color rgb="FF595959"/>
      <name val="Arial"/>
      <family val="2"/>
      <charset val="1"/>
    </font>
    <font>
      <sz val="10"/>
      <color rgb="FF808080"/>
      <name val="Arial"/>
      <family val="2"/>
      <charset val="1"/>
    </font>
    <font>
      <b/>
      <sz val="14"/>
      <name val="Arial"/>
      <family val="2"/>
      <charset val="1"/>
    </font>
    <font>
      <b/>
      <sz val="10"/>
      <color rgb="FFC00000"/>
      <name val="Arial"/>
      <family val="2"/>
      <charset val="1"/>
    </font>
    <font>
      <b/>
      <sz val="10"/>
      <name val="Arial"/>
      <family val="2"/>
      <charset val="1"/>
    </font>
    <font>
      <sz val="9"/>
      <color rgb="FF595959"/>
      <name val="Arial"/>
      <family val="2"/>
      <charset val="1"/>
    </font>
    <font>
      <b/>
      <i/>
      <sz val="9"/>
      <color rgb="FFC55A11"/>
      <name val="Arial"/>
      <family val="2"/>
      <charset val="1"/>
    </font>
    <font>
      <b/>
      <sz val="10"/>
      <color rgb="FF008000"/>
      <name val="Arial"/>
      <family val="2"/>
      <charset val="1"/>
    </font>
    <font>
      <b/>
      <sz val="9"/>
      <color rgb="FF595959"/>
      <name val="Arial"/>
      <family val="2"/>
      <charset val="1"/>
    </font>
    <font>
      <sz val="9"/>
      <name val="Arial"/>
      <family val="2"/>
      <charset val="1"/>
    </font>
    <font>
      <sz val="9"/>
      <color rgb="FFC00000"/>
      <name val="Arial"/>
      <family val="2"/>
      <charset val="1"/>
    </font>
    <font>
      <sz val="10"/>
      <color rgb="FFC00000"/>
      <name val="Arial"/>
      <family val="2"/>
      <charset val="1"/>
    </font>
    <font>
      <sz val="9"/>
      <color rgb="FF000000"/>
      <name val="Arial"/>
      <family val="2"/>
      <charset val="1"/>
    </font>
    <font>
      <b/>
      <sz val="10"/>
      <color theme="3" tint="-0.249977111117893"/>
      <name val="Arial"/>
      <family val="2"/>
      <charset val="1"/>
    </font>
    <font>
      <b/>
      <sz val="10"/>
      <color theme="6" tint="-0.249977111117893"/>
      <name val="Arial"/>
      <family val="2"/>
      <charset val="1"/>
    </font>
    <font>
      <b/>
      <sz val="15"/>
      <color rgb="FF000000"/>
      <name val="Arial"/>
      <family val="2"/>
      <charset val="1"/>
    </font>
    <font>
      <b/>
      <sz val="11"/>
      <color rgb="FFFFFFFF"/>
      <name val="Arial"/>
      <family val="2"/>
      <charset val="1"/>
    </font>
    <font>
      <b/>
      <sz val="10"/>
      <color rgb="FF548235"/>
      <name val="Arial"/>
      <family val="2"/>
      <charset val="1"/>
    </font>
    <font>
      <b/>
      <sz val="11"/>
      <color rgb="FF000000"/>
      <name val="Arial"/>
      <family val="2"/>
      <charset val="1"/>
    </font>
    <font>
      <i/>
      <sz val="9"/>
      <color rgb="FF000000"/>
      <name val="Arial"/>
      <family val="2"/>
      <charset val="1"/>
    </font>
  </fonts>
  <fills count="9">
    <fill>
      <patternFill patternType="none"/>
    </fill>
    <fill>
      <patternFill patternType="gray125"/>
    </fill>
    <fill>
      <patternFill patternType="solid">
        <fgColor rgb="FFD9E1F2"/>
        <bgColor rgb="FFD9D9D9"/>
      </patternFill>
    </fill>
    <fill>
      <patternFill patternType="solid">
        <fgColor rgb="FF1F3864"/>
        <bgColor rgb="FF17375E"/>
      </patternFill>
    </fill>
    <fill>
      <patternFill patternType="solid">
        <fgColor rgb="FFFCE4D6"/>
        <bgColor rgb="FFFFF2CC"/>
      </patternFill>
    </fill>
    <fill>
      <patternFill patternType="solid">
        <fgColor rgb="FFE2EFDA"/>
        <bgColor rgb="FFD9E1F2"/>
      </patternFill>
    </fill>
    <fill>
      <patternFill patternType="solid">
        <fgColor rgb="FFFFFF00"/>
        <bgColor rgb="FFFFFF00"/>
      </patternFill>
    </fill>
    <fill>
      <patternFill patternType="solid">
        <fgColor rgb="FFC6E0B4"/>
        <bgColor rgb="FFD9D9D9"/>
      </patternFill>
    </fill>
    <fill>
      <patternFill patternType="solid">
        <fgColor rgb="FFFFF2CC"/>
        <bgColor rgb="FFFCE4D6"/>
      </patternFill>
    </fill>
  </fills>
  <borders count="1">
    <border>
      <left/>
      <right/>
      <top/>
      <bottom/>
      <diagonal/>
    </border>
  </borders>
  <cellStyleXfs count="1">
    <xf numFmtId="0" fontId="0" fillId="0" borderId="0"/>
  </cellStyleXfs>
  <cellXfs count="172">
    <xf numFmtId="0" fontId="0" fillId="0" borderId="0" xfId="0"/>
    <xf numFmtId="0" fontId="22" fillId="0" borderId="0" xfId="0" applyFont="1" applyAlignment="1">
      <alignment wrapText="1"/>
    </xf>
    <xf numFmtId="0" fontId="22" fillId="0" borderId="0" xfId="0" applyFont="1"/>
    <xf numFmtId="0" fontId="27" fillId="0" borderId="0" xfId="0" applyFon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164" fontId="5" fillId="0" borderId="0" xfId="0" applyNumberFormat="1" applyFont="1" applyAlignment="1">
      <alignment horizontal="left"/>
    </xf>
    <xf numFmtId="0" fontId="6" fillId="0" borderId="0" xfId="0" applyFont="1"/>
    <xf numFmtId="0" fontId="7" fillId="0" borderId="0" xfId="0" applyFont="1"/>
    <xf numFmtId="0" fontId="8" fillId="0" borderId="0" xfId="0" applyFont="1"/>
    <xf numFmtId="0" fontId="4" fillId="0" borderId="0" xfId="0" applyFont="1" applyAlignment="1">
      <alignment vertical="top" wrapText="1"/>
    </xf>
    <xf numFmtId="0" fontId="9" fillId="2" borderId="0" xfId="0" applyFont="1" applyFill="1" applyAlignment="1">
      <alignment horizontal="center"/>
    </xf>
    <xf numFmtId="0" fontId="10" fillId="0" borderId="0" xfId="0" applyFont="1" applyAlignment="1">
      <alignment horizontal="left"/>
    </xf>
    <xf numFmtId="0" fontId="11" fillId="3" borderId="0" xfId="0" applyFont="1" applyFill="1"/>
    <xf numFmtId="0" fontId="0" fillId="3" borderId="0" xfId="0" applyFill="1"/>
    <xf numFmtId="165" fontId="12" fillId="0" borderId="0" xfId="0" applyNumberFormat="1" applyFont="1"/>
    <xf numFmtId="0" fontId="13" fillId="0" borderId="0" xfId="0" applyFont="1"/>
    <xf numFmtId="3" fontId="14" fillId="0" borderId="0" xfId="0" applyNumberFormat="1" applyFont="1"/>
    <xf numFmtId="0" fontId="0" fillId="0" borderId="0" xfId="0" applyAlignment="1">
      <alignment wrapText="1"/>
    </xf>
    <xf numFmtId="0" fontId="15" fillId="0" borderId="0" xfId="0" applyFont="1"/>
    <xf numFmtId="3" fontId="0" fillId="0" borderId="0" xfId="0" applyNumberFormat="1"/>
    <xf numFmtId="166" fontId="12" fillId="0" borderId="0" xfId="0" applyNumberFormat="1" applyFont="1"/>
    <xf numFmtId="0" fontId="16" fillId="0" borderId="0" xfId="0" applyFont="1"/>
    <xf numFmtId="0" fontId="17" fillId="0" borderId="0" xfId="0" applyFont="1"/>
    <xf numFmtId="167" fontId="8" fillId="0" borderId="0" xfId="0" applyNumberFormat="1" applyFont="1" applyAlignment="1">
      <alignment horizontal="right"/>
    </xf>
    <xf numFmtId="2" fontId="8" fillId="0" borderId="0" xfId="0" applyNumberFormat="1" applyFont="1" applyAlignment="1">
      <alignment horizontal="right"/>
    </xf>
    <xf numFmtId="168" fontId="8" fillId="4" borderId="0" xfId="0" applyNumberFormat="1" applyFont="1" applyFill="1" applyAlignment="1">
      <alignment horizontal="right"/>
    </xf>
    <xf numFmtId="0" fontId="17" fillId="0" borderId="0" xfId="0" applyFont="1" applyAlignment="1">
      <alignment wrapText="1"/>
    </xf>
    <xf numFmtId="168" fontId="17" fillId="0" borderId="0" xfId="0" applyNumberFormat="1" applyFont="1"/>
    <xf numFmtId="169" fontId="0" fillId="0" borderId="0" xfId="0" applyNumberFormat="1" applyAlignment="1">
      <alignment wrapText="1"/>
    </xf>
    <xf numFmtId="170" fontId="0" fillId="0" borderId="0" xfId="0" applyNumberFormat="1" applyAlignment="1">
      <alignment wrapText="1"/>
    </xf>
    <xf numFmtId="170" fontId="18" fillId="0" borderId="0" xfId="0" applyNumberFormat="1" applyFont="1" applyAlignment="1">
      <alignment wrapText="1"/>
    </xf>
    <xf numFmtId="0" fontId="18" fillId="0" borderId="0" xfId="0" applyFont="1" applyAlignment="1">
      <alignment wrapText="1"/>
    </xf>
    <xf numFmtId="169" fontId="18" fillId="0" borderId="0" xfId="0" applyNumberFormat="1" applyFont="1" applyAlignment="1">
      <alignment wrapText="1"/>
    </xf>
    <xf numFmtId="171" fontId="18" fillId="0" borderId="0" xfId="0" applyNumberFormat="1" applyFont="1" applyAlignment="1">
      <alignment wrapText="1"/>
    </xf>
    <xf numFmtId="172" fontId="18" fillId="0" borderId="0" xfId="0" applyNumberFormat="1" applyFont="1" applyAlignment="1">
      <alignment wrapText="1"/>
    </xf>
    <xf numFmtId="168" fontId="12" fillId="0" borderId="0" xfId="0" applyNumberFormat="1" applyFont="1" applyAlignment="1">
      <alignment wrapText="1"/>
    </xf>
    <xf numFmtId="171" fontId="0" fillId="0" borderId="0" xfId="0" applyNumberFormat="1" applyAlignment="1">
      <alignment wrapText="1"/>
    </xf>
    <xf numFmtId="173" fontId="0" fillId="0" borderId="0" xfId="0" applyNumberFormat="1" applyAlignment="1">
      <alignment wrapText="1"/>
    </xf>
    <xf numFmtId="165" fontId="4" fillId="0" borderId="0" xfId="0" applyNumberFormat="1" applyFont="1"/>
    <xf numFmtId="167" fontId="19" fillId="0" borderId="0" xfId="0" applyNumberFormat="1" applyFont="1" applyAlignment="1">
      <alignment horizontal="right"/>
    </xf>
    <xf numFmtId="167" fontId="4" fillId="0" borderId="0" xfId="0" applyNumberFormat="1" applyFont="1" applyAlignment="1">
      <alignment horizontal="right"/>
    </xf>
    <xf numFmtId="167" fontId="0" fillId="0" borderId="0" xfId="0" applyNumberFormat="1"/>
    <xf numFmtId="168" fontId="4" fillId="0" borderId="0" xfId="0" applyNumberFormat="1" applyFont="1" applyAlignment="1">
      <alignment horizontal="right"/>
    </xf>
    <xf numFmtId="167" fontId="4" fillId="5" borderId="0" xfId="0" applyNumberFormat="1" applyFont="1" applyFill="1" applyAlignment="1">
      <alignment horizontal="right"/>
    </xf>
    <xf numFmtId="0" fontId="4" fillId="3" borderId="0" xfId="0" applyFont="1" applyFill="1"/>
    <xf numFmtId="0" fontId="4" fillId="0" borderId="0" xfId="0" applyFont="1" applyAlignment="1">
      <alignment horizontal="right"/>
    </xf>
    <xf numFmtId="0" fontId="4" fillId="0" borderId="0" xfId="0" applyFont="1" applyAlignment="1">
      <alignment horizontal="center"/>
    </xf>
    <xf numFmtId="167" fontId="4" fillId="0" borderId="0" xfId="0" applyNumberFormat="1" applyFont="1"/>
    <xf numFmtId="0" fontId="4" fillId="3" borderId="0" xfId="0" applyFont="1" applyFill="1" applyAlignment="1">
      <alignment horizontal="right"/>
    </xf>
    <xf numFmtId="174" fontId="4" fillId="0" borderId="0" xfId="0" applyNumberFormat="1" applyFont="1" applyAlignment="1">
      <alignment horizontal="right"/>
    </xf>
    <xf numFmtId="174" fontId="12" fillId="0" borderId="0" xfId="0" applyNumberFormat="1" applyFont="1"/>
    <xf numFmtId="174" fontId="0" fillId="0" borderId="0" xfId="0" applyNumberFormat="1"/>
    <xf numFmtId="168" fontId="19" fillId="0" borderId="0" xfId="0" applyNumberFormat="1" applyFont="1" applyAlignment="1">
      <alignment horizontal="right"/>
    </xf>
    <xf numFmtId="175" fontId="19" fillId="0" borderId="0" xfId="0" applyNumberFormat="1" applyFont="1" applyAlignment="1">
      <alignment horizontal="right"/>
    </xf>
    <xf numFmtId="175" fontId="4" fillId="0" borderId="0" xfId="0" applyNumberFormat="1" applyFont="1" applyAlignment="1">
      <alignment horizontal="right"/>
    </xf>
    <xf numFmtId="176" fontId="19" fillId="0" borderId="0" xfId="0" applyNumberFormat="1" applyFont="1" applyAlignment="1">
      <alignment horizontal="right"/>
    </xf>
    <xf numFmtId="168" fontId="8" fillId="0" borderId="0" xfId="0" applyNumberFormat="1" applyFont="1" applyAlignment="1">
      <alignment horizontal="right"/>
    </xf>
    <xf numFmtId="0" fontId="4" fillId="5" borderId="0" xfId="0" applyFont="1" applyFill="1" applyAlignment="1">
      <alignment horizontal="center"/>
    </xf>
    <xf numFmtId="0" fontId="20" fillId="0" borderId="0" xfId="0" applyFont="1"/>
    <xf numFmtId="1" fontId="21" fillId="6" borderId="0" xfId="0" applyNumberFormat="1" applyFont="1" applyFill="1" applyAlignment="1">
      <alignment horizontal="center"/>
    </xf>
    <xf numFmtId="0" fontId="9" fillId="2" borderId="0" xfId="0" applyFont="1" applyFill="1" applyAlignment="1">
      <alignment horizontal="left"/>
    </xf>
    <xf numFmtId="0" fontId="9" fillId="7" borderId="0" xfId="0" applyFont="1" applyFill="1" applyAlignment="1">
      <alignment horizontal="center"/>
    </xf>
    <xf numFmtId="168" fontId="19" fillId="0" borderId="0" xfId="0" applyNumberFormat="1" applyFont="1"/>
    <xf numFmtId="168" fontId="8" fillId="0" borderId="0" xfId="0" applyNumberFormat="1" applyFont="1" applyAlignment="1">
      <alignment horizontal="center"/>
    </xf>
    <xf numFmtId="168" fontId="4" fillId="5" borderId="0" xfId="0" applyNumberFormat="1" applyFont="1" applyFill="1" applyAlignment="1">
      <alignment horizontal="center"/>
    </xf>
    <xf numFmtId="0" fontId="23" fillId="0" borderId="0" xfId="0" applyFont="1" applyAlignment="1">
      <alignment horizontal="center"/>
    </xf>
    <xf numFmtId="168" fontId="4" fillId="0" borderId="0" xfId="0" applyNumberFormat="1" applyFont="1" applyAlignment="1">
      <alignment horizontal="center"/>
    </xf>
    <xf numFmtId="167" fontId="19" fillId="0" borderId="0" xfId="0" applyNumberFormat="1" applyFont="1"/>
    <xf numFmtId="167" fontId="8" fillId="0" borderId="0" xfId="0" applyNumberFormat="1" applyFont="1" applyAlignment="1">
      <alignment horizontal="center"/>
    </xf>
    <xf numFmtId="167" fontId="4" fillId="5" borderId="0" xfId="0" applyNumberFormat="1" applyFont="1" applyFill="1" applyAlignment="1">
      <alignment horizontal="center"/>
    </xf>
    <xf numFmtId="177" fontId="8" fillId="0" borderId="0" xfId="0" applyNumberFormat="1" applyFont="1" applyAlignment="1">
      <alignment horizontal="center"/>
    </xf>
    <xf numFmtId="177" fontId="4" fillId="5" borderId="0" xfId="0" applyNumberFormat="1" applyFont="1" applyFill="1" applyAlignment="1">
      <alignment horizontal="center"/>
    </xf>
    <xf numFmtId="10" fontId="19" fillId="0" borderId="0" xfId="0" applyNumberFormat="1" applyFont="1"/>
    <xf numFmtId="10" fontId="8" fillId="0" borderId="0" xfId="0" applyNumberFormat="1" applyFont="1" applyAlignment="1">
      <alignment horizontal="center"/>
    </xf>
    <xf numFmtId="10" fontId="4" fillId="5" borderId="0" xfId="0" applyNumberFormat="1" applyFont="1" applyFill="1" applyAlignment="1">
      <alignment horizontal="center"/>
    </xf>
    <xf numFmtId="176" fontId="19" fillId="0" borderId="0" xfId="0" applyNumberFormat="1" applyFont="1"/>
    <xf numFmtId="176" fontId="8" fillId="0" borderId="0" xfId="0" applyNumberFormat="1" applyFont="1" applyAlignment="1">
      <alignment horizontal="center"/>
    </xf>
    <xf numFmtId="176" fontId="4" fillId="5" borderId="0" xfId="0" applyNumberFormat="1" applyFont="1" applyFill="1" applyAlignment="1">
      <alignment horizontal="center"/>
    </xf>
    <xf numFmtId="178" fontId="19" fillId="0" borderId="0" xfId="0" applyNumberFormat="1" applyFont="1"/>
    <xf numFmtId="178" fontId="4" fillId="5" borderId="0" xfId="0" applyNumberFormat="1" applyFont="1" applyFill="1" applyAlignment="1">
      <alignment horizontal="center"/>
    </xf>
    <xf numFmtId="0" fontId="24" fillId="0" borderId="0" xfId="0" applyFont="1"/>
    <xf numFmtId="0" fontId="12" fillId="0" borderId="0" xfId="0" applyFont="1"/>
    <xf numFmtId="0" fontId="9" fillId="2" borderId="0" xfId="0" applyFont="1" applyFill="1"/>
    <xf numFmtId="0" fontId="9" fillId="2" borderId="0" xfId="0" applyFont="1" applyFill="1" applyAlignment="1">
      <alignment horizontal="right"/>
    </xf>
    <xf numFmtId="0" fontId="25" fillId="0" borderId="0" xfId="0" applyFont="1"/>
    <xf numFmtId="0" fontId="12" fillId="3" borderId="0" xfId="0" applyFont="1" applyFill="1"/>
    <xf numFmtId="0" fontId="26" fillId="5" borderId="0" xfId="0" applyFont="1" applyFill="1"/>
    <xf numFmtId="168" fontId="4" fillId="5" borderId="0" xfId="0" applyNumberFormat="1" applyFont="1" applyFill="1" applyAlignment="1">
      <alignment horizontal="right"/>
    </xf>
    <xf numFmtId="0" fontId="26" fillId="0" borderId="0" xfId="0" applyFont="1"/>
    <xf numFmtId="0" fontId="9" fillId="0" borderId="0" xfId="0" applyFont="1"/>
    <xf numFmtId="10" fontId="19" fillId="0" borderId="0" xfId="0" applyNumberFormat="1" applyFont="1" applyAlignment="1">
      <alignment horizontal="right"/>
    </xf>
    <xf numFmtId="10" fontId="4" fillId="0" borderId="0" xfId="0" applyNumberFormat="1" applyFont="1" applyAlignment="1">
      <alignment horizontal="right"/>
    </xf>
    <xf numFmtId="176" fontId="4" fillId="0" borderId="0" xfId="0" applyNumberFormat="1" applyFont="1" applyAlignment="1">
      <alignment horizontal="right"/>
    </xf>
    <xf numFmtId="178" fontId="19" fillId="0" borderId="0" xfId="0" applyNumberFormat="1" applyFont="1" applyAlignment="1">
      <alignment horizontal="right"/>
    </xf>
    <xf numFmtId="178" fontId="4" fillId="5" borderId="0" xfId="0" applyNumberFormat="1" applyFont="1" applyFill="1" applyAlignment="1">
      <alignment horizontal="right"/>
    </xf>
    <xf numFmtId="178" fontId="4" fillId="0" borderId="0" xfId="0" applyNumberFormat="1" applyFont="1" applyAlignment="1">
      <alignment horizontal="right"/>
    </xf>
    <xf numFmtId="0" fontId="26" fillId="8" borderId="0" xfId="0" applyFont="1" applyFill="1"/>
    <xf numFmtId="167" fontId="4" fillId="8" borderId="0" xfId="0" applyNumberFormat="1" applyFont="1" applyFill="1" applyAlignment="1">
      <alignment horizontal="right"/>
    </xf>
    <xf numFmtId="179" fontId="19" fillId="0" borderId="0" xfId="0" applyNumberFormat="1" applyFont="1" applyAlignment="1">
      <alignment horizontal="right"/>
    </xf>
    <xf numFmtId="179" fontId="4" fillId="8" borderId="0" xfId="0" applyNumberFormat="1" applyFont="1" applyFill="1" applyAlignment="1">
      <alignment horizontal="right"/>
    </xf>
    <xf numFmtId="179" fontId="4" fillId="0" borderId="0" xfId="0" applyNumberFormat="1" applyFont="1" applyAlignment="1">
      <alignment horizontal="right"/>
    </xf>
    <xf numFmtId="0" fontId="13" fillId="0" borderId="0" xfId="0" applyFont="1" applyAlignment="1">
      <alignment wrapText="1"/>
    </xf>
    <xf numFmtId="0" fontId="12" fillId="2" borderId="0" xfId="0" applyFont="1" applyFill="1"/>
    <xf numFmtId="10" fontId="19" fillId="0" borderId="0" xfId="0" applyNumberFormat="1" applyFont="1" applyAlignment="1">
      <alignment horizontal="center"/>
    </xf>
    <xf numFmtId="10" fontId="4" fillId="0" borderId="0" xfId="0" applyNumberFormat="1" applyFont="1" applyAlignment="1">
      <alignment horizontal="center"/>
    </xf>
    <xf numFmtId="1" fontId="4" fillId="0" borderId="0" xfId="0" applyNumberFormat="1" applyFont="1" applyAlignment="1">
      <alignment horizontal="center"/>
    </xf>
    <xf numFmtId="180" fontId="4" fillId="0" borderId="0" xfId="0" applyNumberFormat="1" applyFont="1" applyAlignment="1">
      <alignment horizontal="right"/>
    </xf>
    <xf numFmtId="167" fontId="6" fillId="5" borderId="0" xfId="0" applyNumberFormat="1" applyFont="1" applyFill="1" applyAlignment="1">
      <alignment horizontal="right"/>
    </xf>
    <xf numFmtId="167" fontId="6" fillId="0" borderId="0" xfId="0" applyNumberFormat="1" applyFont="1" applyAlignment="1">
      <alignment horizontal="right"/>
    </xf>
    <xf numFmtId="167" fontId="6" fillId="7" borderId="0" xfId="0" applyNumberFormat="1" applyFont="1" applyFill="1" applyAlignment="1">
      <alignment horizontal="right"/>
    </xf>
    <xf numFmtId="179" fontId="6" fillId="7" borderId="0" xfId="0" applyNumberFormat="1" applyFont="1" applyFill="1" applyAlignment="1">
      <alignment horizontal="right"/>
    </xf>
    <xf numFmtId="179" fontId="6" fillId="0" borderId="0" xfId="0" applyNumberFormat="1" applyFont="1" applyAlignment="1">
      <alignment horizontal="right"/>
    </xf>
    <xf numFmtId="168" fontId="9" fillId="2" borderId="0" xfId="0" applyNumberFormat="1" applyFont="1" applyFill="1" applyAlignment="1">
      <alignment horizontal="center"/>
    </xf>
    <xf numFmtId="0" fontId="28" fillId="0" borderId="0" xfId="0" applyFont="1" applyAlignment="1">
      <alignment wrapText="1"/>
    </xf>
    <xf numFmtId="0" fontId="6" fillId="0" borderId="0" xfId="0" applyFont="1" applyAlignment="1">
      <alignment horizontal="center"/>
    </xf>
    <xf numFmtId="168" fontId="19" fillId="0" borderId="0" xfId="0" applyNumberFormat="1" applyFont="1" applyAlignment="1">
      <alignment horizontal="center"/>
    </xf>
    <xf numFmtId="176" fontId="4" fillId="0" borderId="0" xfId="0" applyNumberFormat="1" applyFont="1" applyAlignment="1">
      <alignment horizontal="center"/>
    </xf>
    <xf numFmtId="167" fontId="9" fillId="2" borderId="0" xfId="0" applyNumberFormat="1" applyFont="1" applyFill="1" applyAlignment="1">
      <alignment horizontal="right"/>
    </xf>
    <xf numFmtId="179" fontId="8" fillId="0" borderId="0" xfId="0" applyNumberFormat="1" applyFont="1" applyAlignment="1">
      <alignment horizontal="center"/>
    </xf>
    <xf numFmtId="168" fontId="6" fillId="0" borderId="0" xfId="0" applyNumberFormat="1" applyFont="1" applyAlignment="1">
      <alignment horizontal="right"/>
    </xf>
    <xf numFmtId="0" fontId="22" fillId="0" borderId="0" xfId="0" applyFont="1" applyAlignment="1">
      <alignment horizontal="left"/>
    </xf>
    <xf numFmtId="0" fontId="10" fillId="2" borderId="0" xfId="0" applyFont="1" applyFill="1" applyAlignment="1">
      <alignment horizontal="left" wrapText="1"/>
    </xf>
    <xf numFmtId="0" fontId="10" fillId="2" borderId="0" xfId="0" applyFont="1" applyFill="1" applyAlignment="1">
      <alignment horizontal="center" wrapText="1"/>
    </xf>
    <xf numFmtId="0" fontId="6" fillId="0" borderId="0" xfId="0" applyFont="1" applyAlignment="1">
      <alignment horizontal="left"/>
    </xf>
    <xf numFmtId="179" fontId="19" fillId="0" borderId="0" xfId="0" applyNumberFormat="1" applyFont="1" applyAlignment="1">
      <alignment horizontal="center"/>
    </xf>
    <xf numFmtId="178" fontId="19" fillId="0" borderId="0" xfId="0" applyNumberFormat="1" applyFont="1" applyAlignment="1">
      <alignment horizontal="center"/>
    </xf>
    <xf numFmtId="181" fontId="4" fillId="0" borderId="0" xfId="0" applyNumberFormat="1" applyFont="1" applyAlignment="1">
      <alignment horizontal="center"/>
    </xf>
    <xf numFmtId="181" fontId="19" fillId="0" borderId="0" xfId="0" applyNumberFormat="1" applyFont="1" applyAlignment="1">
      <alignment horizontal="center"/>
    </xf>
    <xf numFmtId="0" fontId="4" fillId="0" borderId="0" xfId="0" applyFont="1" applyAlignment="1">
      <alignment horizontal="left"/>
    </xf>
    <xf numFmtId="178" fontId="8" fillId="0" borderId="0" xfId="0" applyNumberFormat="1" applyFont="1" applyAlignment="1">
      <alignment horizontal="center"/>
    </xf>
    <xf numFmtId="181" fontId="8" fillId="0" borderId="0" xfId="0" applyNumberFormat="1" applyFont="1" applyAlignment="1">
      <alignment horizontal="center"/>
    </xf>
    <xf numFmtId="179" fontId="4" fillId="0" borderId="0" xfId="0" applyNumberFormat="1" applyFont="1" applyAlignment="1">
      <alignment horizontal="center"/>
    </xf>
    <xf numFmtId="176" fontId="6" fillId="5" borderId="0" xfId="0" applyNumberFormat="1" applyFont="1" applyFill="1" applyAlignment="1">
      <alignment horizontal="center"/>
    </xf>
    <xf numFmtId="168" fontId="6" fillId="5" borderId="0" xfId="0" applyNumberFormat="1" applyFont="1" applyFill="1" applyAlignment="1">
      <alignment horizontal="center"/>
    </xf>
    <xf numFmtId="10" fontId="6" fillId="5" borderId="0" xfId="0" applyNumberFormat="1" applyFont="1" applyFill="1" applyAlignment="1">
      <alignment horizontal="center"/>
    </xf>
    <xf numFmtId="176" fontId="9" fillId="0" borderId="0" xfId="0" applyNumberFormat="1" applyFont="1" applyAlignment="1">
      <alignment horizontal="center"/>
    </xf>
    <xf numFmtId="168" fontId="9" fillId="0" borderId="0" xfId="0" applyNumberFormat="1" applyFont="1" applyAlignment="1">
      <alignment horizontal="center"/>
    </xf>
    <xf numFmtId="10" fontId="9" fillId="0" borderId="0" xfId="0" applyNumberFormat="1" applyFont="1" applyAlignment="1">
      <alignment horizontal="center"/>
    </xf>
    <xf numFmtId="0" fontId="10" fillId="2" borderId="0" xfId="0" applyFont="1" applyFill="1" applyAlignment="1">
      <alignment horizontal="left"/>
    </xf>
    <xf numFmtId="0" fontId="10" fillId="2" borderId="0" xfId="0" applyFont="1" applyFill="1" applyAlignment="1">
      <alignment horizontal="center"/>
    </xf>
    <xf numFmtId="179" fontId="6" fillId="7" borderId="0" xfId="0" applyNumberFormat="1" applyFont="1" applyFill="1" applyAlignment="1">
      <alignment horizontal="center"/>
    </xf>
    <xf numFmtId="0" fontId="6" fillId="0" borderId="0" xfId="0" applyFont="1" applyAlignment="1">
      <alignment wrapText="1"/>
    </xf>
    <xf numFmtId="49" fontId="6" fillId="0" borderId="0" xfId="0" applyNumberFormat="1" applyFont="1" applyAlignment="1">
      <alignment horizontal="center"/>
    </xf>
    <xf numFmtId="179" fontId="29" fillId="0" borderId="0" xfId="0" applyNumberFormat="1" applyFont="1" applyAlignment="1">
      <alignment horizontal="center"/>
    </xf>
    <xf numFmtId="168" fontId="6" fillId="0" borderId="0" xfId="0" applyNumberFormat="1" applyFont="1" applyAlignment="1">
      <alignment horizontal="center"/>
    </xf>
    <xf numFmtId="0" fontId="30" fillId="0" borderId="0" xfId="0" applyFont="1"/>
    <xf numFmtId="179" fontId="31" fillId="0" borderId="0" xfId="0" applyNumberFormat="1" applyFont="1"/>
    <xf numFmtId="179" fontId="25" fillId="0" borderId="0" xfId="0" applyNumberFormat="1" applyFont="1" applyAlignment="1">
      <alignment horizontal="center"/>
    </xf>
    <xf numFmtId="0" fontId="32" fillId="0" borderId="0" xfId="0" applyFont="1"/>
    <xf numFmtId="179" fontId="33" fillId="0" borderId="0" xfId="0" applyNumberFormat="1" applyFont="1" applyAlignment="1">
      <alignment horizontal="center"/>
    </xf>
    <xf numFmtId="0" fontId="28" fillId="0" borderId="0" xfId="0" applyFont="1"/>
    <xf numFmtId="167" fontId="19" fillId="0" borderId="0" xfId="0" applyNumberFormat="1" applyFont="1" applyAlignment="1">
      <alignment horizontal="center"/>
    </xf>
    <xf numFmtId="0" fontId="34" fillId="0" borderId="0" xfId="0" applyFont="1"/>
    <xf numFmtId="176" fontId="19" fillId="0" borderId="0" xfId="0" applyNumberFormat="1" applyFont="1" applyAlignment="1">
      <alignment horizontal="center"/>
    </xf>
    <xf numFmtId="0" fontId="35" fillId="0" borderId="0" xfId="0" applyFont="1" applyAlignment="1">
      <alignment horizontal="center" vertical="center"/>
    </xf>
    <xf numFmtId="0" fontId="36" fillId="0" borderId="0" xfId="0" applyFont="1" applyAlignment="1">
      <alignment horizontal="center"/>
    </xf>
    <xf numFmtId="0" fontId="25" fillId="0" borderId="0" xfId="0" applyFont="1" applyAlignment="1">
      <alignment horizontal="center"/>
    </xf>
    <xf numFmtId="0" fontId="37" fillId="0" borderId="0" xfId="0" applyFont="1"/>
    <xf numFmtId="0" fontId="38" fillId="3" borderId="0" xfId="0" applyFont="1" applyFill="1"/>
    <xf numFmtId="0" fontId="39" fillId="0" borderId="0" xfId="0" applyFont="1"/>
    <xf numFmtId="9" fontId="8" fillId="0" borderId="0" xfId="0" applyNumberFormat="1" applyFont="1" applyAlignment="1">
      <alignment horizontal="center"/>
    </xf>
    <xf numFmtId="9" fontId="6" fillId="0" borderId="0" xfId="0" applyNumberFormat="1" applyFont="1" applyAlignment="1">
      <alignment horizontal="center"/>
    </xf>
    <xf numFmtId="179" fontId="40" fillId="7" borderId="0" xfId="0" applyNumberFormat="1" applyFont="1" applyFill="1" applyAlignment="1">
      <alignment horizontal="center"/>
    </xf>
    <xf numFmtId="179" fontId="22" fillId="0" borderId="0" xfId="0" applyNumberFormat="1" applyFont="1" applyAlignment="1">
      <alignment horizontal="center"/>
    </xf>
    <xf numFmtId="0" fontId="27" fillId="0" borderId="0" xfId="0" applyFont="1"/>
    <xf numFmtId="0" fontId="22" fillId="0" borderId="0" xfId="0" applyFont="1"/>
    <xf numFmtId="0" fontId="41" fillId="0" borderId="0" xfId="0" applyFont="1" applyAlignment="1">
      <alignment wrapText="1"/>
    </xf>
    <xf numFmtId="0" fontId="22"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7933C"/>
      <rgbColor rgb="FF800080"/>
      <rgbColor rgb="FF008080"/>
      <rgbColor rgb="FFB3B3B3"/>
      <rgbColor rgb="FF808080"/>
      <rgbColor rgb="FF9999FF"/>
      <rgbColor rgb="FF993366"/>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6E0B4"/>
      <rgbColor rgb="FFE2EFDA"/>
      <rgbColor rgb="FFFFFF99"/>
      <rgbColor rgb="FF99CCFF"/>
      <rgbColor rgb="FFFF99CC"/>
      <rgbColor rgb="FFCC99FF"/>
      <rgbColor rgb="FFFCE4D6"/>
      <rgbColor rgb="FF3366FF"/>
      <rgbColor rgb="FF33CCCC"/>
      <rgbColor rgb="FF99CC00"/>
      <rgbColor rgb="FFFFCC00"/>
      <rgbColor rgb="FFFF9900"/>
      <rgbColor rgb="FFC55A11"/>
      <rgbColor rgb="FF595959"/>
      <rgbColor rgb="FF969696"/>
      <rgbColor rgb="FF17375E"/>
      <rgbColor rgb="FF548235"/>
      <rgbColor rgb="FF003300"/>
      <rgbColor rgb="FF333300"/>
      <rgbColor rgb="FF993300"/>
      <rgbColor rgb="FF993366"/>
      <rgbColor rgb="FF1F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PLD valuation football field ($/share)</a:t>
            </a:r>
          </a:p>
        </c:rich>
      </c:tx>
      <c:overlay val="0"/>
      <c:spPr>
        <a:noFill/>
        <a:ln w="0">
          <a:noFill/>
        </a:ln>
      </c:spPr>
    </c:title>
    <c:autoTitleDeleted val="0"/>
    <c:plotArea>
      <c:layout/>
      <c:barChart>
        <c:barDir val="bar"/>
        <c:grouping val="stacked"/>
        <c:varyColors val="0"/>
        <c:ser>
          <c:idx val="0"/>
          <c:order val="0"/>
          <c:tx>
            <c:strRef>
              <c:f>Football_Field!$J$5</c:f>
              <c:strCache>
                <c:ptCount val="1"/>
                <c:pt idx="0">
                  <c:v>Offset</c:v>
                </c:pt>
              </c:strCache>
            </c:strRef>
          </c:tx>
          <c:spPr>
            <a:no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Football_Field!$I$6:$I$9</c:f>
              <c:strCache>
                <c:ptCount val="4"/>
                <c:pt idx="0">
                  <c:v>Trading comps</c:v>
                </c:pt>
                <c:pt idx="1">
                  <c:v>DCF (AFFO equity)</c:v>
                </c:pt>
                <c:pt idx="2">
                  <c:v>NAV (sum-of-parts)</c:v>
                </c:pt>
                <c:pt idx="3">
                  <c:v>◄ Current price</c:v>
                </c:pt>
              </c:strCache>
            </c:strRef>
          </c:cat>
          <c:val>
            <c:numRef>
              <c:f>Football_Field!$J$6:$J$9</c:f>
              <c:numCache>
                <c:formatCode>\$#,##0.00</c:formatCode>
                <c:ptCount val="4"/>
                <c:pt idx="0">
                  <c:v>92.526686086968041</c:v>
                </c:pt>
                <c:pt idx="1">
                  <c:v>102.56822156773173</c:v>
                </c:pt>
                <c:pt idx="2">
                  <c:v>98.954963207919647</c:v>
                </c:pt>
                <c:pt idx="3">
                  <c:v>144.6</c:v>
                </c:pt>
              </c:numCache>
            </c:numRef>
          </c:val>
          <c:extLst>
            <c:ext xmlns:c16="http://schemas.microsoft.com/office/drawing/2014/chart" uri="{C3380CC4-5D6E-409C-BE32-E72D297353CC}">
              <c16:uniqueId val="{00000000-0D45-B043-88B1-A7A50B4D8C06}"/>
            </c:ext>
          </c:extLst>
        </c:ser>
        <c:ser>
          <c:idx val="1"/>
          <c:order val="1"/>
          <c:tx>
            <c:strRef>
              <c:f>Football_Field!$K$5</c:f>
              <c:strCache>
                <c:ptCount val="1"/>
                <c:pt idx="0">
                  <c:v>Range</c:v>
                </c:pt>
              </c:strCache>
            </c:strRef>
          </c:tx>
          <c:spPr>
            <a:solidFill>
              <a:srgbClr val="1F3864"/>
            </a:solidFill>
            <a:ln w="0">
              <a:noFill/>
            </a:ln>
          </c:spPr>
          <c:invertIfNegative val="0"/>
          <c:dPt>
            <c:idx val="3"/>
            <c:invertIfNegative val="0"/>
            <c:bubble3D val="0"/>
            <c:spPr>
              <a:solidFill>
                <a:srgbClr val="C00000"/>
              </a:solidFill>
              <a:ln w="0">
                <a:noFill/>
              </a:ln>
            </c:spPr>
            <c:extLst>
              <c:ext xmlns:c16="http://schemas.microsoft.com/office/drawing/2014/chart" uri="{C3380CC4-5D6E-409C-BE32-E72D297353CC}">
                <c16:uniqueId val="{00000002-0D45-B043-88B1-A7A50B4D8C06}"/>
              </c:ext>
            </c:extLst>
          </c:dPt>
          <c:dLbls>
            <c:dLbl>
              <c:idx val="3"/>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0D45-B043-88B1-A7A50B4D8C06}"/>
                </c:ext>
              </c:extLst>
            </c:dLbl>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Football_Field!$I$6:$I$9</c:f>
              <c:strCache>
                <c:ptCount val="4"/>
                <c:pt idx="0">
                  <c:v>Trading comps</c:v>
                </c:pt>
                <c:pt idx="1">
                  <c:v>DCF (AFFO equity)</c:v>
                </c:pt>
                <c:pt idx="2">
                  <c:v>NAV (sum-of-parts)</c:v>
                </c:pt>
                <c:pt idx="3">
                  <c:v>◄ Current price</c:v>
                </c:pt>
              </c:strCache>
            </c:strRef>
          </c:cat>
          <c:val>
            <c:numRef>
              <c:f>Football_Field!$K$6:$K$9</c:f>
              <c:numCache>
                <c:formatCode>\$#,##0.00</c:formatCode>
                <c:ptCount val="4"/>
                <c:pt idx="0">
                  <c:v>14.30309312678618</c:v>
                </c:pt>
                <c:pt idx="1">
                  <c:v>35.352913384067946</c:v>
                </c:pt>
                <c:pt idx="2">
                  <c:v>46.604715379534511</c:v>
                </c:pt>
                <c:pt idx="3">
                  <c:v>0.8</c:v>
                </c:pt>
              </c:numCache>
            </c:numRef>
          </c:val>
          <c:extLst>
            <c:ext xmlns:c16="http://schemas.microsoft.com/office/drawing/2014/chart" uri="{C3380CC4-5D6E-409C-BE32-E72D297353CC}">
              <c16:uniqueId val="{00000003-0D45-B043-88B1-A7A50B4D8C06}"/>
            </c:ext>
          </c:extLst>
        </c:ser>
        <c:dLbls>
          <c:showLegendKey val="0"/>
          <c:showVal val="0"/>
          <c:showCatName val="0"/>
          <c:showSerName val="0"/>
          <c:showPercent val="0"/>
          <c:showBubbleSize val="0"/>
        </c:dLbls>
        <c:gapWidth val="150"/>
        <c:overlap val="100"/>
        <c:axId val="33499362"/>
        <c:axId val="61903904"/>
      </c:barChart>
      <c:catAx>
        <c:axId val="33499362"/>
        <c:scaling>
          <c:orientation val="minMax"/>
        </c:scaling>
        <c:delete val="0"/>
        <c:axPos val="l"/>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per share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1903904"/>
        <c:crosses val="autoZero"/>
        <c:auto val="1"/>
        <c:lblAlgn val="ctr"/>
        <c:lblOffset val="100"/>
        <c:noMultiLvlLbl val="0"/>
      </c:catAx>
      <c:valAx>
        <c:axId val="61903904"/>
        <c:scaling>
          <c:orientation val="minMax"/>
        </c:scaling>
        <c:delete val="0"/>
        <c:axPos val="b"/>
        <c:majorGridlines>
          <c:spPr>
            <a:ln w="0">
              <a:solidFill>
                <a:srgbClr val="B3B3B3"/>
              </a:solidFill>
            </a:ln>
          </c:spPr>
        </c:majorGridlines>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349936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PLD value by scenario ($/share)</a:t>
            </a:r>
          </a:p>
        </c:rich>
      </c:tx>
      <c:overlay val="0"/>
      <c:spPr>
        <a:noFill/>
        <a:ln w="0">
          <a:noFill/>
        </a:ln>
      </c:spPr>
    </c:title>
    <c:autoTitleDeleted val="0"/>
    <c:plotArea>
      <c:layout/>
      <c:barChart>
        <c:barDir val="col"/>
        <c:grouping val="clustered"/>
        <c:varyColors val="0"/>
        <c:ser>
          <c:idx val="0"/>
          <c:order val="0"/>
          <c:tx>
            <c:strRef>
              <c:f>Scenarios!$H$5</c:f>
              <c:strCache>
                <c:ptCount val="1"/>
                <c:pt idx="0">
                  <c:v>NAV/share</c:v>
                </c:pt>
              </c:strCache>
            </c:strRef>
          </c:tx>
          <c:spPr>
            <a:solidFill>
              <a:srgbClr val="1F386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Scenarios!$G$6:$G$8</c:f>
              <c:strCache>
                <c:ptCount val="3"/>
                <c:pt idx="0">
                  <c:v>Bear</c:v>
                </c:pt>
                <c:pt idx="1">
                  <c:v>Base</c:v>
                </c:pt>
                <c:pt idx="2">
                  <c:v>Bull</c:v>
                </c:pt>
              </c:strCache>
            </c:strRef>
          </c:cat>
          <c:val>
            <c:numRef>
              <c:f>Scenarios!$H$6:$H$8</c:f>
              <c:numCache>
                <c:formatCode>\$#,##0.00</c:formatCode>
                <c:ptCount val="3"/>
                <c:pt idx="0">
                  <c:v>98.954963207919647</c:v>
                </c:pt>
                <c:pt idx="1">
                  <c:v>124.4268103802758</c:v>
                </c:pt>
                <c:pt idx="2">
                  <c:v>145.55967858745416</c:v>
                </c:pt>
              </c:numCache>
            </c:numRef>
          </c:val>
          <c:extLst>
            <c:ext xmlns:c16="http://schemas.microsoft.com/office/drawing/2014/chart" uri="{C3380CC4-5D6E-409C-BE32-E72D297353CC}">
              <c16:uniqueId val="{00000000-A276-9640-9042-F84D8BA1304D}"/>
            </c:ext>
          </c:extLst>
        </c:ser>
        <c:ser>
          <c:idx val="1"/>
          <c:order val="1"/>
          <c:tx>
            <c:strRef>
              <c:f>Scenarios!$I$5</c:f>
              <c:strCache>
                <c:ptCount val="1"/>
                <c:pt idx="0">
                  <c:v>DCF/share</c:v>
                </c:pt>
              </c:strCache>
            </c:strRef>
          </c:tx>
          <c:spPr>
            <a:solidFill>
              <a:srgbClr val="548235"/>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Scenarios!$G$6:$G$8</c:f>
              <c:strCache>
                <c:ptCount val="3"/>
                <c:pt idx="0">
                  <c:v>Bear</c:v>
                </c:pt>
                <c:pt idx="1">
                  <c:v>Base</c:v>
                </c:pt>
                <c:pt idx="2">
                  <c:v>Bull</c:v>
                </c:pt>
              </c:strCache>
            </c:strRef>
          </c:cat>
          <c:val>
            <c:numRef>
              <c:f>Scenarios!$I$6:$I$8</c:f>
              <c:numCache>
                <c:formatCode>\$#,##0.00</c:formatCode>
                <c:ptCount val="3"/>
                <c:pt idx="0">
                  <c:v>71.219034755310304</c:v>
                </c:pt>
                <c:pt idx="1">
                  <c:v>123.77366604420722</c:v>
                </c:pt>
                <c:pt idx="2">
                  <c:v>200.99563863508601</c:v>
                </c:pt>
              </c:numCache>
            </c:numRef>
          </c:val>
          <c:extLst>
            <c:ext xmlns:c16="http://schemas.microsoft.com/office/drawing/2014/chart" uri="{C3380CC4-5D6E-409C-BE32-E72D297353CC}">
              <c16:uniqueId val="{00000001-A276-9640-9042-F84D8BA1304D}"/>
            </c:ext>
          </c:extLst>
        </c:ser>
        <c:ser>
          <c:idx val="2"/>
          <c:order val="2"/>
          <c:tx>
            <c:strRef>
              <c:f>Scenarios!$J$5</c:f>
              <c:strCache>
                <c:ptCount val="1"/>
                <c:pt idx="0">
                  <c:v>Current price</c:v>
                </c:pt>
              </c:strCache>
            </c:strRef>
          </c:tx>
          <c:spPr>
            <a:solidFill>
              <a:srgbClr val="C0000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Scenarios!$G$6:$G$8</c:f>
              <c:strCache>
                <c:ptCount val="3"/>
                <c:pt idx="0">
                  <c:v>Bear</c:v>
                </c:pt>
                <c:pt idx="1">
                  <c:v>Base</c:v>
                </c:pt>
                <c:pt idx="2">
                  <c:v>Bull</c:v>
                </c:pt>
              </c:strCache>
            </c:strRef>
          </c:cat>
          <c:val>
            <c:numRef>
              <c:f>Scenarios!$J$6:$J$8</c:f>
              <c:numCache>
                <c:formatCode>\$#,##0.00</c:formatCode>
                <c:ptCount val="3"/>
                <c:pt idx="0">
                  <c:v>145</c:v>
                </c:pt>
                <c:pt idx="1">
                  <c:v>145</c:v>
                </c:pt>
                <c:pt idx="2">
                  <c:v>145</c:v>
                </c:pt>
              </c:numCache>
            </c:numRef>
          </c:val>
          <c:extLst>
            <c:ext xmlns:c16="http://schemas.microsoft.com/office/drawing/2014/chart" uri="{C3380CC4-5D6E-409C-BE32-E72D297353CC}">
              <c16:uniqueId val="{00000002-A276-9640-9042-F84D8BA1304D}"/>
            </c:ext>
          </c:extLst>
        </c:ser>
        <c:dLbls>
          <c:showLegendKey val="0"/>
          <c:showVal val="0"/>
          <c:showCatName val="0"/>
          <c:showSerName val="0"/>
          <c:showPercent val="0"/>
          <c:showBubbleSize val="0"/>
        </c:dLbls>
        <c:gapWidth val="80"/>
        <c:axId val="68188231"/>
        <c:axId val="83322124"/>
      </c:barChart>
      <c:catAx>
        <c:axId val="68188231"/>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Scenario</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3322124"/>
        <c:crosses val="autoZero"/>
        <c:auto val="1"/>
        <c:lblAlgn val="ctr"/>
        <c:lblOffset val="100"/>
        <c:noMultiLvlLbl val="0"/>
      </c:catAx>
      <c:valAx>
        <c:axId val="83322124"/>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$/share</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818823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499320</xdr:rowOff>
    </xdr:from>
    <xdr:to>
      <xdr:col>8</xdr:col>
      <xdr:colOff>33480</xdr:colOff>
      <xdr:row>16</xdr:row>
      <xdr:rowOff>78840</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49</xdr:row>
      <xdr:rowOff>100440</xdr:rowOff>
    </xdr:from>
    <xdr:to>
      <xdr:col>4</xdr:col>
      <xdr:colOff>1121400</xdr:colOff>
      <xdr:row>64</xdr:row>
      <xdr:rowOff>120960</xdr:rowOff>
    </xdr:to>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3"/>
  <sheetViews>
    <sheetView showGridLines="0" zoomScaleNormal="100" workbookViewId="0">
      <selection activeCell="C15" sqref="C15"/>
    </sheetView>
  </sheetViews>
  <sheetFormatPr baseColWidth="10" defaultColWidth="8.6640625" defaultRowHeight="15" x14ac:dyDescent="0.2"/>
  <cols>
    <col min="1" max="1" width="4" customWidth="1"/>
    <col min="2" max="2" width="40" customWidth="1"/>
    <col min="3" max="3" width="50" customWidth="1"/>
  </cols>
  <sheetData>
    <row r="2" spans="2:3" ht="17.25" customHeight="1" x14ac:dyDescent="0.2">
      <c r="B2" s="4" t="s">
        <v>0</v>
      </c>
    </row>
    <row r="3" spans="2:3" ht="15" customHeight="1" x14ac:dyDescent="0.2">
      <c r="B3" s="5" t="s">
        <v>1</v>
      </c>
    </row>
    <row r="4" spans="2:3" ht="15" customHeight="1" x14ac:dyDescent="0.2">
      <c r="B4" s="6" t="s">
        <v>2</v>
      </c>
    </row>
    <row r="6" spans="2:3" ht="15" customHeight="1" x14ac:dyDescent="0.2">
      <c r="B6" s="7"/>
      <c r="C6" s="7"/>
    </row>
    <row r="7" spans="2:3" ht="15" customHeight="1" x14ac:dyDescent="0.2">
      <c r="B7" s="7" t="s">
        <v>3</v>
      </c>
      <c r="C7" s="8" t="s">
        <v>4</v>
      </c>
    </row>
    <row r="8" spans="2:3" ht="15" customHeight="1" x14ac:dyDescent="0.2">
      <c r="B8" s="7" t="s">
        <v>5</v>
      </c>
      <c r="C8" s="9">
        <v>46175</v>
      </c>
    </row>
    <row r="9" spans="2:3" ht="15" customHeight="1" x14ac:dyDescent="0.2">
      <c r="B9" s="7" t="s">
        <v>6</v>
      </c>
      <c r="C9" s="7" t="s">
        <v>7</v>
      </c>
    </row>
    <row r="10" spans="2:3" ht="15" customHeight="1" x14ac:dyDescent="0.2">
      <c r="B10" s="7" t="s">
        <v>8</v>
      </c>
      <c r="C10" s="7" t="s">
        <v>9</v>
      </c>
    </row>
    <row r="11" spans="2:3" ht="15" customHeight="1" x14ac:dyDescent="0.2">
      <c r="B11" s="7" t="s">
        <v>10</v>
      </c>
      <c r="C11" s="7" t="s">
        <v>11</v>
      </c>
    </row>
    <row r="12" spans="2:3" ht="15" customHeight="1" x14ac:dyDescent="0.2">
      <c r="B12" s="7"/>
      <c r="C12" s="7"/>
    </row>
    <row r="13" spans="2:3" ht="15" customHeight="1" x14ac:dyDescent="0.2">
      <c r="B13" s="10" t="s">
        <v>12</v>
      </c>
      <c r="C13" s="7"/>
    </row>
    <row r="14" spans="2:3" ht="15" customHeight="1" x14ac:dyDescent="0.2">
      <c r="B14" s="10" t="s">
        <v>13</v>
      </c>
      <c r="C14" s="7" t="str">
        <f>IF(COUNTIF(Audit!E:E,"ERROR")=0,"MODEL OK","ERRORS PRESENT — see Audit tab")</f>
        <v>MODEL OK</v>
      </c>
    </row>
    <row r="16" spans="2:3" ht="15" customHeight="1" x14ac:dyDescent="0.2">
      <c r="B16" s="10" t="s">
        <v>14</v>
      </c>
    </row>
    <row r="17" spans="2:3" ht="15" customHeight="1" x14ac:dyDescent="0.2">
      <c r="B17" s="11" t="s">
        <v>15</v>
      </c>
      <c r="C17" s="11" t="s">
        <v>16</v>
      </c>
    </row>
    <row r="18" spans="2:3" ht="15" customHeight="1" x14ac:dyDescent="0.2">
      <c r="B18" s="12"/>
      <c r="C18" s="12"/>
    </row>
    <row r="19" spans="2:3" ht="15" customHeight="1" x14ac:dyDescent="0.2">
      <c r="B19" s="12"/>
      <c r="C19" s="12"/>
    </row>
    <row r="20" spans="2:3" ht="15" customHeight="1" x14ac:dyDescent="0.2">
      <c r="B20" s="12"/>
      <c r="C20" s="12"/>
    </row>
    <row r="21" spans="2:3" ht="15" customHeight="1" x14ac:dyDescent="0.2">
      <c r="B21" s="12"/>
      <c r="C21" s="12"/>
    </row>
    <row r="22" spans="2:3" ht="15" customHeight="1" x14ac:dyDescent="0.2">
      <c r="B22" s="12"/>
      <c r="C22" s="12"/>
    </row>
    <row r="23" spans="2:3" ht="15" customHeight="1" x14ac:dyDescent="0.2">
      <c r="B23" s="12"/>
      <c r="C23" s="1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showGridLines="0" tabSelected="1" zoomScaleNormal="100" workbookViewId="0">
      <selection activeCell="I14" sqref="I14"/>
    </sheetView>
  </sheetViews>
  <sheetFormatPr baseColWidth="10" defaultColWidth="8.6640625" defaultRowHeight="15" x14ac:dyDescent="0.2"/>
  <cols>
    <col min="1" max="1" width="26" customWidth="1"/>
    <col min="2" max="2" width="90" customWidth="1"/>
  </cols>
  <sheetData>
    <row r="1" spans="1:2" ht="17.25" customHeight="1" x14ac:dyDescent="0.2">
      <c r="A1" s="4" t="s">
        <v>1034</v>
      </c>
    </row>
    <row r="3" spans="1:2" ht="15" customHeight="1" x14ac:dyDescent="0.2">
      <c r="A3" s="10" t="s">
        <v>17</v>
      </c>
      <c r="B3" s="13"/>
    </row>
    <row r="4" spans="1:2" ht="15" customHeight="1" x14ac:dyDescent="0.2">
      <c r="A4" s="7" t="s">
        <v>18</v>
      </c>
      <c r="B4" s="13" t="s">
        <v>19</v>
      </c>
    </row>
    <row r="5" spans="1:2" ht="15" customHeight="1" x14ac:dyDescent="0.2">
      <c r="A5" s="7" t="s">
        <v>20</v>
      </c>
      <c r="B5" s="13" t="s">
        <v>21</v>
      </c>
    </row>
    <row r="6" spans="1:2" ht="15" customHeight="1" x14ac:dyDescent="0.2">
      <c r="A6" s="7" t="s">
        <v>22</v>
      </c>
      <c r="B6" s="13" t="s">
        <v>23</v>
      </c>
    </row>
    <row r="7" spans="1:2" ht="15" customHeight="1" x14ac:dyDescent="0.2">
      <c r="A7" s="7" t="s">
        <v>24</v>
      </c>
      <c r="B7" s="13" t="s">
        <v>25</v>
      </c>
    </row>
    <row r="8" spans="1:2" ht="15" customHeight="1" x14ac:dyDescent="0.2">
      <c r="A8" s="7" t="s">
        <v>26</v>
      </c>
      <c r="B8" s="13" t="s">
        <v>27</v>
      </c>
    </row>
    <row r="9" spans="1:2" ht="15" customHeight="1" x14ac:dyDescent="0.2">
      <c r="A9" s="7"/>
      <c r="B9" s="13"/>
    </row>
    <row r="10" spans="1:2" ht="15" customHeight="1" x14ac:dyDescent="0.2">
      <c r="A10" s="7" t="s">
        <v>28</v>
      </c>
      <c r="B10" s="13" t="s">
        <v>29</v>
      </c>
    </row>
    <row r="11" spans="1:2" ht="15" customHeight="1" x14ac:dyDescent="0.2">
      <c r="A11" s="7" t="s">
        <v>30</v>
      </c>
      <c r="B11" s="13" t="s">
        <v>31</v>
      </c>
    </row>
    <row r="12" spans="1:2" ht="15" customHeight="1" x14ac:dyDescent="0.2">
      <c r="A12" s="7" t="s">
        <v>32</v>
      </c>
      <c r="B12" s="13" t="s">
        <v>33</v>
      </c>
    </row>
    <row r="13" spans="1:2" ht="15" customHeight="1" x14ac:dyDescent="0.2">
      <c r="A13" s="7"/>
      <c r="B13" s="13"/>
    </row>
    <row r="14" spans="1:2" ht="15" customHeight="1" x14ac:dyDescent="0.2">
      <c r="A14" s="7" t="s">
        <v>34</v>
      </c>
      <c r="B14" s="13"/>
    </row>
    <row r="15" spans="1:2" ht="15" customHeight="1" x14ac:dyDescent="0.2">
      <c r="A15" s="7" t="s">
        <v>35</v>
      </c>
      <c r="B15" s="13" t="s">
        <v>36</v>
      </c>
    </row>
    <row r="16" spans="1:2" ht="15" customHeight="1" x14ac:dyDescent="0.2">
      <c r="A16" s="7" t="s">
        <v>37</v>
      </c>
      <c r="B16" s="13" t="s">
        <v>38</v>
      </c>
    </row>
    <row r="17" spans="1:2" ht="15" customHeight="1" x14ac:dyDescent="0.2">
      <c r="A17" s="7" t="s">
        <v>39</v>
      </c>
      <c r="B17" s="13" t="s">
        <v>40</v>
      </c>
    </row>
    <row r="18" spans="1:2" ht="15" customHeight="1" x14ac:dyDescent="0.2">
      <c r="A18" s="7" t="s">
        <v>41</v>
      </c>
      <c r="B18" s="13" t="s">
        <v>42</v>
      </c>
    </row>
    <row r="19" spans="1:2" ht="15" customHeight="1" x14ac:dyDescent="0.2">
      <c r="A19" s="7" t="s">
        <v>43</v>
      </c>
      <c r="B19" s="13" t="s">
        <v>44</v>
      </c>
    </row>
    <row r="20" spans="1:2" ht="15" customHeight="1" x14ac:dyDescent="0.2">
      <c r="A20" s="7"/>
      <c r="B20" s="13"/>
    </row>
    <row r="21" spans="1:2" ht="34.5" customHeight="1" x14ac:dyDescent="0.2">
      <c r="A21" s="7" t="s">
        <v>45</v>
      </c>
      <c r="B21" s="13" t="s">
        <v>46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94"/>
  <sheetViews>
    <sheetView zoomScaleNormal="100" workbookViewId="0">
      <pane xSplit="1" ySplit="3" topLeftCell="B43" activePane="bottomRight" state="frozen"/>
      <selection pane="topRight" activeCell="B1" sqref="B1"/>
      <selection pane="bottomLeft" activeCell="A43" sqref="A43"/>
      <selection pane="bottomRight" activeCell="H39" sqref="H39"/>
    </sheetView>
  </sheetViews>
  <sheetFormatPr baseColWidth="10" defaultColWidth="8.6640625" defaultRowHeight="15" x14ac:dyDescent="0.2"/>
  <cols>
    <col min="1" max="1" width="44" customWidth="1"/>
    <col min="2" max="5" width="12" customWidth="1"/>
    <col min="6" max="6" width="10.6640625" customWidth="1"/>
    <col min="7" max="7" width="8.33203125" customWidth="1"/>
    <col min="8" max="8" width="8.1640625" customWidth="1"/>
    <col min="9" max="9" width="30" customWidth="1"/>
  </cols>
  <sheetData>
    <row r="1" spans="1:15" ht="17.25" customHeight="1" x14ac:dyDescent="0.2">
      <c r="A1" s="4" t="s">
        <v>47</v>
      </c>
    </row>
    <row r="2" spans="1:15" ht="15" customHeight="1" x14ac:dyDescent="0.2">
      <c r="A2" s="6" t="s">
        <v>48</v>
      </c>
      <c r="B2" s="14" t="s">
        <v>49</v>
      </c>
      <c r="C2" s="14" t="s">
        <v>50</v>
      </c>
      <c r="D2" s="14" t="s">
        <v>51</v>
      </c>
      <c r="E2" s="14" t="s">
        <v>52</v>
      </c>
      <c r="F2" s="15" t="s">
        <v>53</v>
      </c>
      <c r="G2" s="15" t="s">
        <v>54</v>
      </c>
      <c r="H2" s="15" t="s">
        <v>55</v>
      </c>
    </row>
    <row r="3" spans="1:15" ht="15" customHeight="1" x14ac:dyDescent="0.2">
      <c r="A3" s="16" t="s">
        <v>56</v>
      </c>
      <c r="B3" s="17"/>
      <c r="C3" s="17"/>
      <c r="D3" s="17"/>
      <c r="E3" s="17"/>
      <c r="F3" s="17"/>
      <c r="G3" s="17"/>
      <c r="H3" s="17"/>
    </row>
    <row r="4" spans="1:15" ht="15" customHeight="1" x14ac:dyDescent="0.2">
      <c r="A4" s="7" t="s">
        <v>57</v>
      </c>
      <c r="B4" s="18">
        <v>6818542</v>
      </c>
      <c r="C4" s="18">
        <v>7514705</v>
      </c>
      <c r="D4" s="18">
        <v>8158904</v>
      </c>
      <c r="E4" s="18">
        <v>2125084</v>
      </c>
      <c r="F4" s="19" t="s">
        <v>58</v>
      </c>
      <c r="G4" s="20"/>
      <c r="H4" s="21"/>
      <c r="I4" s="22"/>
      <c r="J4" s="20"/>
      <c r="K4" s="20"/>
      <c r="L4" s="22"/>
    </row>
    <row r="5" spans="1:15" ht="15" customHeight="1" x14ac:dyDescent="0.2">
      <c r="A5" s="7" t="s">
        <v>59</v>
      </c>
      <c r="B5" s="18">
        <v>1200232</v>
      </c>
      <c r="C5" s="18">
        <v>671907</v>
      </c>
      <c r="D5" s="18">
        <v>592353</v>
      </c>
      <c r="E5" s="18">
        <v>160812</v>
      </c>
      <c r="G5" s="20"/>
      <c r="H5" s="21"/>
      <c r="I5" s="22"/>
      <c r="J5" s="20"/>
      <c r="K5" s="22"/>
      <c r="L5" s="22"/>
      <c r="M5" s="22"/>
      <c r="N5" s="20"/>
      <c r="O5" s="22"/>
    </row>
    <row r="6" spans="1:15" ht="15" customHeight="1" x14ac:dyDescent="0.2">
      <c r="A6" s="7" t="s">
        <v>60</v>
      </c>
      <c r="B6" s="18">
        <v>4695</v>
      </c>
      <c r="C6" s="18">
        <v>14998</v>
      </c>
      <c r="D6" s="18">
        <v>38870</v>
      </c>
      <c r="E6" s="18">
        <v>11827</v>
      </c>
      <c r="G6" s="20"/>
      <c r="H6" s="21"/>
      <c r="I6" s="22"/>
      <c r="J6" s="20"/>
      <c r="K6" s="22"/>
      <c r="L6" s="22"/>
      <c r="M6" s="22"/>
      <c r="N6" s="20"/>
      <c r="O6" s="22"/>
    </row>
    <row r="7" spans="1:15" ht="15" customHeight="1" x14ac:dyDescent="0.2">
      <c r="A7" s="7" t="s">
        <v>61</v>
      </c>
      <c r="B7" s="18">
        <v>1624793</v>
      </c>
      <c r="C7" s="18">
        <v>1765385</v>
      </c>
      <c r="D7" s="18">
        <v>1964137</v>
      </c>
      <c r="E7" s="18">
        <v>520283</v>
      </c>
      <c r="G7" s="20"/>
      <c r="H7" s="21"/>
    </row>
    <row r="8" spans="1:15" ht="15" customHeight="1" x14ac:dyDescent="0.2">
      <c r="A8" s="7" t="s">
        <v>62</v>
      </c>
      <c r="B8" s="18">
        <v>385542</v>
      </c>
      <c r="C8" s="18">
        <v>291856</v>
      </c>
      <c r="D8" s="18">
        <v>270517</v>
      </c>
      <c r="E8" s="18">
        <v>81889</v>
      </c>
      <c r="G8" s="20"/>
      <c r="H8" s="21"/>
    </row>
    <row r="9" spans="1:15" ht="15" customHeight="1" x14ac:dyDescent="0.2">
      <c r="A9" s="7" t="s">
        <v>63</v>
      </c>
      <c r="B9" s="18">
        <v>390406</v>
      </c>
      <c r="C9" s="18">
        <v>418765</v>
      </c>
      <c r="D9" s="18">
        <v>469114</v>
      </c>
      <c r="E9" s="18">
        <v>126890</v>
      </c>
      <c r="G9" s="20"/>
      <c r="H9" s="21"/>
    </row>
    <row r="10" spans="1:15" ht="15" customHeight="1" x14ac:dyDescent="0.2">
      <c r="A10" s="7" t="s">
        <v>64</v>
      </c>
      <c r="B10" s="18">
        <v>2484891</v>
      </c>
      <c r="C10" s="18">
        <v>2580519</v>
      </c>
      <c r="D10" s="18">
        <v>2626028</v>
      </c>
      <c r="E10" s="18">
        <v>731506</v>
      </c>
      <c r="G10" s="20"/>
      <c r="H10" s="21"/>
    </row>
    <row r="11" spans="1:15" ht="15" customHeight="1" x14ac:dyDescent="0.2">
      <c r="A11" s="7" t="s">
        <v>65</v>
      </c>
      <c r="B11" s="18">
        <v>53354</v>
      </c>
      <c r="C11" s="18">
        <v>47044</v>
      </c>
      <c r="D11" s="18">
        <v>46029</v>
      </c>
      <c r="E11" s="18">
        <v>10123</v>
      </c>
      <c r="G11" s="20"/>
      <c r="H11" s="21"/>
    </row>
    <row r="12" spans="1:15" ht="15" customHeight="1" x14ac:dyDescent="0.2">
      <c r="A12" s="7" t="s">
        <v>66</v>
      </c>
      <c r="B12" s="18">
        <f>462270+161039</f>
        <v>623309</v>
      </c>
      <c r="C12" s="18">
        <f>904136+413743</f>
        <v>1317879</v>
      </c>
      <c r="D12" s="18">
        <f>257731+685831</f>
        <v>943562</v>
      </c>
      <c r="E12" s="18">
        <v>384023</v>
      </c>
      <c r="G12" s="20"/>
      <c r="H12" s="21"/>
    </row>
    <row r="13" spans="1:15" ht="15" customHeight="1" x14ac:dyDescent="0.2">
      <c r="A13" s="7" t="s">
        <v>67</v>
      </c>
      <c r="B13" s="18">
        <v>307227</v>
      </c>
      <c r="C13" s="18">
        <v>353623</v>
      </c>
      <c r="D13" s="18">
        <v>402531</v>
      </c>
      <c r="E13" s="18">
        <v>93296</v>
      </c>
      <c r="G13" s="20"/>
      <c r="H13" s="21"/>
    </row>
    <row r="14" spans="1:15" ht="15" customHeight="1" x14ac:dyDescent="0.2">
      <c r="A14" s="7" t="s">
        <v>68</v>
      </c>
      <c r="B14" s="18">
        <v>-641332</v>
      </c>
      <c r="C14" s="18">
        <v>-863932</v>
      </c>
      <c r="D14" s="18">
        <v>-1002344</v>
      </c>
      <c r="E14" s="18">
        <v>-254286</v>
      </c>
      <c r="G14" s="20"/>
      <c r="H14" s="21"/>
    </row>
    <row r="15" spans="1:15" ht="15" customHeight="1" x14ac:dyDescent="0.2">
      <c r="A15" s="7" t="s">
        <v>69</v>
      </c>
      <c r="B15" s="18">
        <v>-243609</v>
      </c>
      <c r="C15" s="18">
        <v>-301042</v>
      </c>
      <c r="D15" s="18">
        <v>-588548</v>
      </c>
      <c r="E15" s="18">
        <v>-118269</v>
      </c>
      <c r="G15" s="20"/>
      <c r="H15" s="21"/>
    </row>
    <row r="16" spans="1:15" ht="15" customHeight="1" x14ac:dyDescent="0.2">
      <c r="A16" s="7" t="s">
        <v>70</v>
      </c>
      <c r="B16" s="18">
        <v>87221</v>
      </c>
      <c r="C16" s="18">
        <v>208731</v>
      </c>
      <c r="D16" s="18">
        <v>14763</v>
      </c>
      <c r="E16" s="18">
        <v>44611</v>
      </c>
      <c r="G16" s="20"/>
      <c r="H16" s="21"/>
    </row>
    <row r="17" spans="1:9" ht="15" customHeight="1" x14ac:dyDescent="0.2">
      <c r="A17" s="7" t="s">
        <v>71</v>
      </c>
      <c r="B17" s="18">
        <v>3275</v>
      </c>
      <c r="C17" s="18">
        <v>536</v>
      </c>
      <c r="D17" s="18">
        <v>-3498</v>
      </c>
      <c r="E17" s="18">
        <v>-1890</v>
      </c>
      <c r="G17" s="20"/>
      <c r="H17" s="21"/>
    </row>
    <row r="18" spans="1:9" ht="15" customHeight="1" x14ac:dyDescent="0.2">
      <c r="A18" s="7" t="s">
        <v>72</v>
      </c>
      <c r="B18" s="18">
        <v>211038</v>
      </c>
      <c r="C18" s="18">
        <v>166943</v>
      </c>
      <c r="D18" s="18">
        <v>204017</v>
      </c>
      <c r="E18" s="18">
        <v>47971</v>
      </c>
      <c r="G18" s="20"/>
      <c r="H18" s="21"/>
      <c r="I18" s="18"/>
    </row>
    <row r="19" spans="1:9" ht="15" customHeight="1" x14ac:dyDescent="0.2">
      <c r="A19" s="7" t="s">
        <v>73</v>
      </c>
      <c r="B19" s="18">
        <v>193931</v>
      </c>
      <c r="C19" s="18">
        <v>216300</v>
      </c>
      <c r="D19" s="18">
        <v>237068</v>
      </c>
      <c r="E19" s="18">
        <v>39978</v>
      </c>
      <c r="G19" s="20"/>
      <c r="H19" s="21"/>
    </row>
    <row r="20" spans="1:9" ht="15" customHeight="1" x14ac:dyDescent="0.2">
      <c r="A20" s="7" t="s">
        <v>74</v>
      </c>
      <c r="B20" s="18">
        <v>5841</v>
      </c>
      <c r="C20" s="18">
        <v>5881</v>
      </c>
      <c r="D20" s="18">
        <v>5882</v>
      </c>
      <c r="E20" s="18">
        <v>1500</v>
      </c>
      <c r="G20" s="20"/>
      <c r="H20" s="21"/>
    </row>
    <row r="21" spans="1:9" ht="15" customHeight="1" x14ac:dyDescent="0.2">
      <c r="A21" s="7" t="s">
        <v>75</v>
      </c>
      <c r="B21" s="18">
        <v>3053373</v>
      </c>
      <c r="C21" s="18">
        <v>3725754</v>
      </c>
      <c r="D21" s="18">
        <v>3322349</v>
      </c>
      <c r="E21" s="18">
        <v>1003337</v>
      </c>
      <c r="G21" s="20"/>
      <c r="H21" s="21"/>
    </row>
    <row r="22" spans="1:9" ht="15" customHeight="1" x14ac:dyDescent="0.2">
      <c r="A22" t="s">
        <v>76</v>
      </c>
      <c r="B22" s="23">
        <v>924351</v>
      </c>
      <c r="C22" s="23">
        <v>926172</v>
      </c>
      <c r="D22" s="23">
        <v>928473</v>
      </c>
      <c r="E22" s="23">
        <v>952981</v>
      </c>
      <c r="G22" s="20"/>
      <c r="H22" s="21"/>
    </row>
    <row r="23" spans="1:9" ht="15" customHeight="1" x14ac:dyDescent="0.2">
      <c r="A23" t="s">
        <v>77</v>
      </c>
      <c r="B23" s="23">
        <v>951791</v>
      </c>
      <c r="C23" s="23">
        <v>953590</v>
      </c>
      <c r="D23" s="23">
        <v>956832</v>
      </c>
      <c r="E23" s="23">
        <v>957561</v>
      </c>
      <c r="G23" s="20"/>
      <c r="H23" s="21"/>
      <c r="I23" s="23"/>
    </row>
    <row r="24" spans="1:9" ht="15" customHeight="1" x14ac:dyDescent="0.2">
      <c r="I24" s="23"/>
    </row>
    <row r="25" spans="1:9" ht="15" customHeight="1" x14ac:dyDescent="0.2">
      <c r="A25" s="16" t="s">
        <v>78</v>
      </c>
      <c r="B25" s="17"/>
      <c r="C25" s="17"/>
      <c r="D25" s="17"/>
      <c r="E25" s="17"/>
      <c r="F25" s="17"/>
      <c r="G25" s="17"/>
      <c r="H25" s="17"/>
      <c r="I25" s="23"/>
    </row>
    <row r="26" spans="1:9" ht="15" customHeight="1" x14ac:dyDescent="0.2">
      <c r="A26" s="7" t="s">
        <v>79</v>
      </c>
      <c r="B26" s="18">
        <v>88666575</v>
      </c>
      <c r="C26" s="18">
        <v>91246176</v>
      </c>
      <c r="D26" s="18">
        <v>95129356</v>
      </c>
      <c r="E26" s="18">
        <v>95241445</v>
      </c>
      <c r="F26" s="19" t="s">
        <v>58</v>
      </c>
      <c r="G26" s="20"/>
      <c r="H26" s="21"/>
      <c r="I26" s="23"/>
    </row>
    <row r="27" spans="1:9" ht="15" customHeight="1" x14ac:dyDescent="0.2">
      <c r="A27" s="7" t="s">
        <v>80</v>
      </c>
      <c r="B27" s="18">
        <v>10931485</v>
      </c>
      <c r="C27" s="18">
        <v>12758159</v>
      </c>
      <c r="D27" s="18">
        <v>14729149</v>
      </c>
      <c r="E27" s="18">
        <v>15298353</v>
      </c>
      <c r="G27" s="20"/>
      <c r="H27" s="21"/>
    </row>
    <row r="28" spans="1:9" ht="15" customHeight="1" x14ac:dyDescent="0.2">
      <c r="A28" s="7" t="s">
        <v>81</v>
      </c>
      <c r="B28" s="18">
        <v>9543970</v>
      </c>
      <c r="C28" s="18">
        <v>10079448</v>
      </c>
      <c r="D28" s="18">
        <v>11093936</v>
      </c>
      <c r="E28" s="18">
        <v>11241723</v>
      </c>
      <c r="G28" s="20"/>
      <c r="H28" s="21"/>
    </row>
    <row r="29" spans="1:9" ht="15" customHeight="1" x14ac:dyDescent="0.2">
      <c r="A29" s="7" t="s">
        <v>82</v>
      </c>
      <c r="B29" s="18">
        <v>461657</v>
      </c>
      <c r="C29" s="18">
        <v>248511</v>
      </c>
      <c r="D29" s="18">
        <v>203344</v>
      </c>
      <c r="E29" s="18">
        <v>499799</v>
      </c>
      <c r="G29" s="20"/>
      <c r="H29" s="21"/>
    </row>
    <row r="30" spans="1:9" ht="15" customHeight="1" x14ac:dyDescent="0.2">
      <c r="A30" s="7" t="s">
        <v>83</v>
      </c>
      <c r="B30" s="18">
        <v>530388</v>
      </c>
      <c r="C30" s="18">
        <v>1318591</v>
      </c>
      <c r="D30" s="18">
        <v>1145647</v>
      </c>
      <c r="E30" s="18">
        <v>861144</v>
      </c>
      <c r="G30" s="20"/>
      <c r="H30" s="21"/>
    </row>
    <row r="31" spans="1:9" ht="15" customHeight="1" x14ac:dyDescent="0.2">
      <c r="A31" s="7" t="s">
        <v>84</v>
      </c>
      <c r="B31" s="18">
        <v>4749735</v>
      </c>
      <c r="C31" s="18">
        <v>5194342</v>
      </c>
      <c r="D31" s="18">
        <v>5881122</v>
      </c>
      <c r="E31" s="18">
        <v>5587693</v>
      </c>
      <c r="G31" s="20"/>
      <c r="H31" s="21"/>
    </row>
    <row r="32" spans="1:9" ht="15" customHeight="1" x14ac:dyDescent="0.2">
      <c r="A32" s="7" t="s">
        <v>85</v>
      </c>
      <c r="B32" s="18">
        <v>93020840</v>
      </c>
      <c r="C32" s="18">
        <v>95328099</v>
      </c>
      <c r="D32" s="18">
        <v>98724256</v>
      </c>
      <c r="E32" s="18">
        <v>98133451</v>
      </c>
      <c r="G32" s="20"/>
      <c r="H32" s="21"/>
    </row>
    <row r="33" spans="1:8" ht="15" customHeight="1" x14ac:dyDescent="0.2">
      <c r="A33" s="7" t="s">
        <v>86</v>
      </c>
      <c r="B33" s="18">
        <v>29000501</v>
      </c>
      <c r="C33" s="18">
        <v>30879263</v>
      </c>
      <c r="D33" s="18">
        <v>35037073</v>
      </c>
      <c r="E33" s="18">
        <v>34669592</v>
      </c>
      <c r="G33" s="20"/>
      <c r="H33" s="21"/>
    </row>
    <row r="34" spans="1:8" ht="15" customHeight="1" x14ac:dyDescent="0.2">
      <c r="A34" s="7" t="s">
        <v>87</v>
      </c>
      <c r="B34" s="18">
        <v>1766018</v>
      </c>
      <c r="C34" s="18">
        <v>1769327</v>
      </c>
      <c r="D34" s="18">
        <v>1963645</v>
      </c>
      <c r="E34" s="18">
        <v>1681047</v>
      </c>
      <c r="G34" s="20"/>
      <c r="H34" s="21"/>
    </row>
    <row r="35" spans="1:8" ht="15" customHeight="1" x14ac:dyDescent="0.2">
      <c r="A35" s="7" t="s">
        <v>88</v>
      </c>
      <c r="B35" s="18">
        <v>4430601</v>
      </c>
      <c r="C35" s="18">
        <v>4063549</v>
      </c>
      <c r="D35" s="18">
        <v>3969530</v>
      </c>
      <c r="E35" s="18">
        <v>3834320</v>
      </c>
      <c r="G35" s="20"/>
      <c r="H35" s="21"/>
    </row>
    <row r="36" spans="1:8" ht="15" customHeight="1" x14ac:dyDescent="0.2">
      <c r="A36" s="7" t="s">
        <v>89</v>
      </c>
      <c r="B36" s="18">
        <v>35197120</v>
      </c>
      <c r="C36" s="18">
        <v>36712139</v>
      </c>
      <c r="D36" s="18">
        <v>40970248</v>
      </c>
      <c r="E36" s="18">
        <v>40184959</v>
      </c>
      <c r="G36" s="20"/>
      <c r="H36" s="21"/>
    </row>
    <row r="37" spans="1:8" ht="15" customHeight="1" x14ac:dyDescent="0.2">
      <c r="A37" s="7" t="s">
        <v>90</v>
      </c>
      <c r="B37" s="18">
        <v>63948</v>
      </c>
      <c r="C37" s="18">
        <v>63948</v>
      </c>
      <c r="D37" s="18">
        <v>63948</v>
      </c>
      <c r="E37" s="18">
        <v>63948</v>
      </c>
      <c r="G37" s="20"/>
      <c r="H37" s="21"/>
    </row>
    <row r="38" spans="1:8" ht="15" customHeight="1" x14ac:dyDescent="0.2">
      <c r="A38" s="7" t="s">
        <v>91</v>
      </c>
      <c r="B38" s="18">
        <v>53181724</v>
      </c>
      <c r="C38" s="18">
        <v>53951138</v>
      </c>
      <c r="D38" s="18">
        <v>53193178</v>
      </c>
      <c r="E38" s="18">
        <v>53503401</v>
      </c>
      <c r="G38" s="20"/>
      <c r="H38" s="21"/>
    </row>
    <row r="39" spans="1:8" ht="15" customHeight="1" x14ac:dyDescent="0.2">
      <c r="A39" s="7" t="s">
        <v>92</v>
      </c>
      <c r="B39" s="18">
        <v>4641996</v>
      </c>
      <c r="C39" s="18">
        <v>4665632</v>
      </c>
      <c r="D39" s="18">
        <v>4560830</v>
      </c>
      <c r="E39" s="18">
        <v>4445091</v>
      </c>
      <c r="G39" s="20"/>
      <c r="H39" s="21"/>
    </row>
    <row r="40" spans="1:8" ht="15" customHeight="1" x14ac:dyDescent="0.2">
      <c r="A40" s="7" t="s">
        <v>93</v>
      </c>
      <c r="B40" s="18">
        <v>57823720</v>
      </c>
      <c r="C40" s="18">
        <v>58616770</v>
      </c>
      <c r="D40" s="18">
        <v>57754008</v>
      </c>
      <c r="E40" s="18">
        <v>57948492</v>
      </c>
      <c r="G40" s="20"/>
      <c r="H40" s="21"/>
    </row>
    <row r="42" spans="1:8" ht="15" customHeight="1" x14ac:dyDescent="0.2">
      <c r="A42" s="16" t="s">
        <v>94</v>
      </c>
      <c r="B42" s="17"/>
      <c r="C42" s="17"/>
      <c r="D42" s="17"/>
      <c r="E42" s="17"/>
      <c r="F42" s="17"/>
      <c r="G42" s="17"/>
      <c r="H42" s="17"/>
    </row>
    <row r="43" spans="1:8" ht="15" customHeight="1" x14ac:dyDescent="0.2">
      <c r="A43" s="7" t="s">
        <v>95</v>
      </c>
      <c r="B43" s="18">
        <v>3253145</v>
      </c>
      <c r="C43" s="18">
        <v>3947935</v>
      </c>
      <c r="D43" s="18">
        <v>3565299</v>
      </c>
      <c r="E43" s="18">
        <v>1044815</v>
      </c>
      <c r="F43" s="19" t="s">
        <v>58</v>
      </c>
      <c r="G43" s="20"/>
      <c r="H43" s="21"/>
    </row>
    <row r="44" spans="1:8" ht="15" customHeight="1" x14ac:dyDescent="0.2">
      <c r="A44" s="7" t="s">
        <v>96</v>
      </c>
      <c r="B44" s="18">
        <v>2484891</v>
      </c>
      <c r="C44" s="18">
        <v>2580519</v>
      </c>
      <c r="D44" s="18">
        <v>2626028</v>
      </c>
      <c r="E44" s="18">
        <v>731506</v>
      </c>
      <c r="G44" s="20"/>
      <c r="H44" s="21"/>
    </row>
    <row r="45" spans="1:8" ht="15" customHeight="1" x14ac:dyDescent="0.2">
      <c r="A45" s="7" t="s">
        <v>97</v>
      </c>
      <c r="B45" s="18">
        <v>-613005</v>
      </c>
      <c r="C45" s="18">
        <v>-644606</v>
      </c>
      <c r="D45" s="18">
        <v>-691090</v>
      </c>
      <c r="E45" s="18">
        <v>-165749</v>
      </c>
      <c r="G45" s="20"/>
      <c r="H45" s="21"/>
    </row>
    <row r="46" spans="1:8" ht="15" customHeight="1" x14ac:dyDescent="0.2">
      <c r="A46" s="7" t="s">
        <v>98</v>
      </c>
      <c r="B46" s="18">
        <v>267648</v>
      </c>
      <c r="C46" s="18">
        <v>231747</v>
      </c>
      <c r="D46" s="18">
        <v>185466</v>
      </c>
      <c r="E46" s="18">
        <v>60632</v>
      </c>
      <c r="G46" s="20"/>
      <c r="H46" s="21"/>
    </row>
    <row r="47" spans="1:8" ht="15" customHeight="1" x14ac:dyDescent="0.2">
      <c r="A47" s="7" t="s">
        <v>99</v>
      </c>
      <c r="B47" s="18">
        <v>398440</v>
      </c>
      <c r="C47" s="18">
        <v>796614</v>
      </c>
      <c r="D47" s="18">
        <v>131730</v>
      </c>
      <c r="E47" s="18">
        <v>253373</v>
      </c>
      <c r="G47" s="20"/>
      <c r="H47" s="21"/>
    </row>
    <row r="48" spans="1:8" ht="15" customHeight="1" x14ac:dyDescent="0.2">
      <c r="A48" s="7" t="s">
        <v>100</v>
      </c>
      <c r="B48" s="18">
        <v>5373058</v>
      </c>
      <c r="C48" s="18">
        <v>4912209</v>
      </c>
      <c r="D48" s="18">
        <v>5008434</v>
      </c>
      <c r="E48" s="18">
        <v>1288136</v>
      </c>
      <c r="G48" s="20"/>
      <c r="H48" s="21"/>
    </row>
    <row r="49" spans="1:8" ht="15" customHeight="1" x14ac:dyDescent="0.2">
      <c r="A49" s="7" t="s">
        <v>101</v>
      </c>
      <c r="B49" s="18">
        <v>-4092956</v>
      </c>
      <c r="C49" s="18">
        <v>-4092639</v>
      </c>
      <c r="D49" s="18">
        <v>-3678815</v>
      </c>
      <c r="E49" s="18">
        <v>-914336</v>
      </c>
      <c r="G49" s="20"/>
      <c r="H49" s="21"/>
    </row>
    <row r="50" spans="1:8" ht="15" customHeight="1" x14ac:dyDescent="0.2">
      <c r="A50" s="7" t="s">
        <v>102</v>
      </c>
      <c r="B50" s="18">
        <v>-4195714</v>
      </c>
      <c r="C50" s="18">
        <v>-2327605</v>
      </c>
      <c r="D50" s="18">
        <v>-1800527</v>
      </c>
      <c r="E50" s="18">
        <v>-223053</v>
      </c>
      <c r="G50" s="20"/>
      <c r="H50" s="21"/>
    </row>
    <row r="51" spans="1:8" ht="15" customHeight="1" x14ac:dyDescent="0.2">
      <c r="A51" s="7" t="s">
        <v>103</v>
      </c>
      <c r="B51" s="18">
        <v>1764322</v>
      </c>
      <c r="C51" s="18">
        <v>3790388</v>
      </c>
      <c r="D51" s="18">
        <v>2246186</v>
      </c>
      <c r="E51" s="18">
        <v>624036</v>
      </c>
      <c r="G51" s="20"/>
      <c r="H51" s="21"/>
    </row>
    <row r="52" spans="1:8" ht="15" customHeight="1" x14ac:dyDescent="0.2">
      <c r="A52" s="7" t="s">
        <v>104</v>
      </c>
      <c r="B52" s="18">
        <v>104951</v>
      </c>
      <c r="C52" s="18">
        <v>-469201</v>
      </c>
      <c r="D52" s="18">
        <v>-397291</v>
      </c>
      <c r="E52" s="18">
        <v>112868</v>
      </c>
      <c r="G52" s="20"/>
      <c r="H52" s="21"/>
    </row>
    <row r="53" spans="1:8" ht="15" customHeight="1" x14ac:dyDescent="0.2">
      <c r="A53" s="7" t="s">
        <v>105</v>
      </c>
      <c r="B53" s="18">
        <v>5755096</v>
      </c>
      <c r="C53" s="18">
        <v>4505830</v>
      </c>
      <c r="D53" s="18">
        <v>3460904</v>
      </c>
      <c r="E53" s="18">
        <v>161620</v>
      </c>
      <c r="G53" s="20"/>
      <c r="H53" s="21"/>
    </row>
    <row r="54" spans="1:8" ht="15" customHeight="1" x14ac:dyDescent="0.2">
      <c r="A54" s="7" t="s">
        <v>106</v>
      </c>
      <c r="B54" s="18">
        <v>-272203</v>
      </c>
      <c r="C54" s="18">
        <v>-919481</v>
      </c>
      <c r="D54" s="18">
        <v>-701861</v>
      </c>
      <c r="E54" s="18">
        <v>-686276</v>
      </c>
      <c r="G54" s="20"/>
      <c r="H54" s="21"/>
    </row>
    <row r="55" spans="1:8" ht="15" customHeight="1" x14ac:dyDescent="0.2">
      <c r="A55" s="7" t="s">
        <v>107</v>
      </c>
      <c r="B55" s="18">
        <v>-3228589</v>
      </c>
      <c r="C55" s="18">
        <v>-3570480</v>
      </c>
      <c r="D55" s="18">
        <v>-3764745</v>
      </c>
      <c r="E55" s="18">
        <v>-1026181</v>
      </c>
      <c r="G55" s="20"/>
      <c r="H55" s="21"/>
    </row>
    <row r="56" spans="1:8" ht="15" customHeight="1" x14ac:dyDescent="0.2">
      <c r="A56" s="7" t="s">
        <v>108</v>
      </c>
      <c r="B56" s="18">
        <v>-153003</v>
      </c>
      <c r="C56" s="18">
        <v>-63142</v>
      </c>
      <c r="D56" s="18">
        <v>-97598</v>
      </c>
      <c r="E56" s="18">
        <v>-83556</v>
      </c>
      <c r="G56" s="20"/>
      <c r="H56" s="21"/>
    </row>
    <row r="57" spans="1:8" ht="15" customHeight="1" x14ac:dyDescent="0.2">
      <c r="A57" s="7" t="s">
        <v>109</v>
      </c>
      <c r="B57" s="18">
        <v>-213943</v>
      </c>
      <c r="C57" s="18">
        <v>-222607</v>
      </c>
      <c r="D57" s="18">
        <v>-256402</v>
      </c>
      <c r="E57" s="18">
        <v>-41796</v>
      </c>
      <c r="G57" s="20"/>
      <c r="H57" s="21"/>
    </row>
    <row r="58" spans="1:8" ht="15" customHeight="1" x14ac:dyDescent="0.2">
      <c r="A58" s="7" t="s">
        <v>110</v>
      </c>
      <c r="B58" s="18">
        <v>-567076</v>
      </c>
      <c r="C58" s="18">
        <v>-730077</v>
      </c>
      <c r="D58" s="18">
        <v>-203917</v>
      </c>
      <c r="E58" s="18">
        <v>517779</v>
      </c>
      <c r="G58" s="20"/>
      <c r="H58" s="21"/>
    </row>
    <row r="59" spans="1:8" ht="15" customHeight="1" x14ac:dyDescent="0.2">
      <c r="A59" s="7" t="s">
        <v>111</v>
      </c>
      <c r="B59" s="18">
        <v>-22038</v>
      </c>
      <c r="C59" s="18">
        <v>-24992</v>
      </c>
      <c r="D59" s="18">
        <v>12688</v>
      </c>
      <c r="E59" s="18">
        <v>-13744</v>
      </c>
      <c r="G59" s="20"/>
      <c r="H59" s="21"/>
    </row>
    <row r="60" spans="1:8" ht="15" customHeight="1" x14ac:dyDescent="0.2">
      <c r="A60" s="7" t="s">
        <v>112</v>
      </c>
      <c r="B60" s="18">
        <v>251905</v>
      </c>
      <c r="C60" s="18">
        <v>788203</v>
      </c>
      <c r="D60" s="18">
        <v>-172944</v>
      </c>
      <c r="E60" s="18">
        <v>-284503</v>
      </c>
      <c r="G60" s="20"/>
      <c r="H60" s="21"/>
    </row>
    <row r="62" spans="1:8" ht="15" customHeight="1" x14ac:dyDescent="0.2">
      <c r="A62" s="16" t="s">
        <v>113</v>
      </c>
      <c r="B62" s="17"/>
      <c r="C62" s="17"/>
      <c r="D62" s="17"/>
      <c r="E62" s="17"/>
      <c r="F62" s="17"/>
      <c r="G62" s="17"/>
      <c r="H62" s="17"/>
    </row>
    <row r="63" spans="1:8" ht="15" customHeight="1" x14ac:dyDescent="0.2">
      <c r="A63" s="7" t="s">
        <v>114</v>
      </c>
      <c r="B63" s="18">
        <v>5746152</v>
      </c>
      <c r="C63" s="18">
        <v>5794599</v>
      </c>
      <c r="D63" s="18">
        <v>5679525</v>
      </c>
      <c r="E63" s="18">
        <v>1735404</v>
      </c>
      <c r="F63" s="19" t="s">
        <v>115</v>
      </c>
      <c r="H63" s="21"/>
    </row>
    <row r="64" spans="1:8" ht="15" customHeight="1" x14ac:dyDescent="0.2">
      <c r="A64" s="7" t="s">
        <v>116</v>
      </c>
      <c r="B64" s="24">
        <f>B63/B23</f>
        <v>6.0371993431331035</v>
      </c>
      <c r="C64" s="24">
        <f>C63/C23</f>
        <v>6.0766146876540228</v>
      </c>
      <c r="D64" s="24">
        <f>D63/D23</f>
        <v>5.9357598826126212</v>
      </c>
      <c r="E64" s="24">
        <f>E63/E23</f>
        <v>1.8123169176689526</v>
      </c>
      <c r="F64" s="21"/>
      <c r="H64" s="21"/>
    </row>
    <row r="65" spans="1:12" ht="15" customHeight="1" x14ac:dyDescent="0.2">
      <c r="A65" s="7" t="s">
        <v>117</v>
      </c>
      <c r="B65" s="18">
        <v>5334250</v>
      </c>
      <c r="C65" s="18">
        <v>5304939</v>
      </c>
      <c r="D65" s="18">
        <v>5561300</v>
      </c>
      <c r="E65" s="18">
        <v>1440493</v>
      </c>
      <c r="F65" s="21"/>
      <c r="H65" s="21"/>
    </row>
    <row r="66" spans="1:12" ht="15" customHeight="1" x14ac:dyDescent="0.2">
      <c r="A66" s="7" t="s">
        <v>118</v>
      </c>
      <c r="B66" s="24">
        <f>B65/B23</f>
        <v>5.6044341667445901</v>
      </c>
      <c r="C66" s="24">
        <f>C65/C23</f>
        <v>5.5631235646346964</v>
      </c>
      <c r="D66" s="24">
        <f>D65/D23</f>
        <v>5.8122010969532791</v>
      </c>
      <c r="E66" s="24">
        <f>E65/E23</f>
        <v>1.5043354940311897</v>
      </c>
      <c r="F66" s="21"/>
      <c r="G66" s="25"/>
      <c r="H66" s="21"/>
      <c r="I66" s="26"/>
      <c r="J66" s="26"/>
      <c r="K66" s="26"/>
      <c r="L66" s="26"/>
    </row>
    <row r="67" spans="1:12" ht="15" customHeight="1" x14ac:dyDescent="0.2">
      <c r="A67" s="7" t="s">
        <v>119</v>
      </c>
      <c r="B67" s="24"/>
      <c r="C67" s="24"/>
      <c r="D67" s="24"/>
      <c r="E67" s="24">
        <v>1.52</v>
      </c>
      <c r="F67" s="21"/>
      <c r="G67" s="25"/>
      <c r="H67" s="21"/>
      <c r="I67" s="26"/>
      <c r="J67" s="26"/>
      <c r="K67" s="26"/>
      <c r="L67" s="26"/>
    </row>
    <row r="68" spans="1:12" ht="15" customHeight="1" x14ac:dyDescent="0.2">
      <c r="A68" s="7" t="s">
        <v>120</v>
      </c>
      <c r="B68" s="27"/>
      <c r="C68" s="27"/>
      <c r="D68" s="27"/>
      <c r="E68" s="27"/>
      <c r="F68" s="21"/>
      <c r="H68" s="21"/>
      <c r="I68" s="26"/>
      <c r="J68" s="26"/>
      <c r="K68" s="26"/>
      <c r="L68" s="26"/>
    </row>
    <row r="69" spans="1:12" ht="15" customHeight="1" x14ac:dyDescent="0.2">
      <c r="A69" s="7" t="s">
        <v>121</v>
      </c>
      <c r="B69" s="18">
        <v>17619</v>
      </c>
      <c r="C69" s="18">
        <v>-68095</v>
      </c>
      <c r="D69" s="18">
        <v>125247</v>
      </c>
      <c r="E69" s="18">
        <v>-14269</v>
      </c>
      <c r="F69" s="21"/>
      <c r="H69" s="21"/>
      <c r="I69" s="26"/>
      <c r="J69" s="26"/>
      <c r="K69" s="26"/>
      <c r="L69" s="26"/>
    </row>
    <row r="70" spans="1:12" ht="15" customHeight="1" x14ac:dyDescent="0.2">
      <c r="A70" s="7" t="s">
        <v>122</v>
      </c>
      <c r="B70" s="18">
        <v>17708</v>
      </c>
      <c r="C70" s="18">
        <v>21161</v>
      </c>
      <c r="D70" s="18">
        <v>4309</v>
      </c>
      <c r="E70" s="18">
        <v>190</v>
      </c>
      <c r="F70" s="21"/>
      <c r="H70" s="21"/>
      <c r="I70" s="26"/>
      <c r="J70" s="26"/>
      <c r="K70" s="26"/>
      <c r="L70" s="26"/>
    </row>
    <row r="71" spans="1:12" ht="15" customHeight="1" x14ac:dyDescent="0.2">
      <c r="A71" s="7" t="s">
        <v>123</v>
      </c>
      <c r="B71" s="18">
        <v>-3275</v>
      </c>
      <c r="C71" s="18">
        <v>-536</v>
      </c>
      <c r="D71" s="18">
        <v>3498</v>
      </c>
      <c r="E71" s="18">
        <v>1890</v>
      </c>
      <c r="F71" s="21"/>
      <c r="H71" s="21"/>
      <c r="I71" s="26"/>
      <c r="J71" s="26"/>
      <c r="K71" s="26"/>
      <c r="L71" s="26"/>
    </row>
    <row r="72" spans="1:12" ht="15" customHeight="1" x14ac:dyDescent="0.2">
      <c r="F72" s="21"/>
    </row>
    <row r="73" spans="1:12" ht="15" customHeight="1" x14ac:dyDescent="0.2">
      <c r="A73" s="16" t="s">
        <v>124</v>
      </c>
      <c r="B73" s="17"/>
      <c r="C73" s="17"/>
      <c r="D73" s="17"/>
      <c r="E73" s="17"/>
      <c r="F73" s="17"/>
      <c r="G73" s="17"/>
      <c r="H73" s="17"/>
    </row>
    <row r="74" spans="1:12" ht="15" customHeight="1" x14ac:dyDescent="0.2">
      <c r="A74" s="7" t="s">
        <v>125</v>
      </c>
      <c r="B74" s="18">
        <v>4710630</v>
      </c>
      <c r="C74" s="18">
        <v>4421566</v>
      </c>
      <c r="D74" s="18">
        <v>4335044</v>
      </c>
      <c r="E74" s="18">
        <v>1471893</v>
      </c>
      <c r="F74" s="19" t="s">
        <v>115</v>
      </c>
      <c r="H74" s="21"/>
    </row>
    <row r="75" spans="1:12" ht="15" customHeight="1" x14ac:dyDescent="0.2">
      <c r="A75" s="7" t="s">
        <v>126</v>
      </c>
      <c r="B75" s="18">
        <v>-303042</v>
      </c>
      <c r="C75" s="18">
        <v>-386481</v>
      </c>
      <c r="D75" s="18">
        <v>-327355</v>
      </c>
      <c r="E75" s="18">
        <v>-26065</v>
      </c>
      <c r="F75" s="21"/>
      <c r="H75" s="21"/>
    </row>
    <row r="76" spans="1:12" ht="15" customHeight="1" x14ac:dyDescent="0.2">
      <c r="A76" t="s">
        <v>127</v>
      </c>
      <c r="B76" s="18">
        <v>-388814</v>
      </c>
      <c r="C76" s="18">
        <v>-499927</v>
      </c>
      <c r="D76" s="18">
        <v>-562197</v>
      </c>
      <c r="E76" s="18">
        <v>-123816</v>
      </c>
      <c r="F76" s="21"/>
      <c r="H76" s="21"/>
    </row>
    <row r="77" spans="1:12" ht="15" customHeight="1" x14ac:dyDescent="0.2">
      <c r="A77" s="7" t="s">
        <v>128</v>
      </c>
      <c r="B77" s="18">
        <v>-625356</v>
      </c>
      <c r="C77" s="18">
        <v>-644606</v>
      </c>
      <c r="D77" s="18">
        <v>-691090</v>
      </c>
      <c r="E77" s="18">
        <v>-165749</v>
      </c>
      <c r="F77" s="21"/>
      <c r="H77" s="21"/>
    </row>
    <row r="78" spans="1:12" ht="15" customHeight="1" x14ac:dyDescent="0.2">
      <c r="A78" t="s">
        <v>129</v>
      </c>
      <c r="B78" s="18">
        <f>B74/B23</f>
        <v>4.949227298850273</v>
      </c>
      <c r="C78" s="18">
        <f>C74/C23</f>
        <v>4.6367579358005013</v>
      </c>
      <c r="D78" s="18">
        <f>D74/D23</f>
        <v>4.530621885555667</v>
      </c>
      <c r="E78" s="18">
        <f>E74/E23</f>
        <v>1.5371271386365986</v>
      </c>
      <c r="F78" s="21"/>
      <c r="H78" s="21"/>
    </row>
    <row r="79" spans="1:12" ht="15" customHeight="1" x14ac:dyDescent="0.2">
      <c r="A79" s="7" t="s">
        <v>130</v>
      </c>
      <c r="B79" s="28"/>
      <c r="C79" s="28"/>
      <c r="D79" s="28"/>
      <c r="E79" s="28"/>
      <c r="H79" s="21"/>
    </row>
    <row r="81" spans="1:12" ht="15" customHeight="1" x14ac:dyDescent="0.2">
      <c r="A81" s="16" t="s">
        <v>131</v>
      </c>
      <c r="B81" s="17"/>
      <c r="C81" s="17"/>
      <c r="D81" s="17"/>
      <c r="E81" s="17"/>
      <c r="F81" s="17"/>
      <c r="G81" s="17"/>
      <c r="H81" s="17"/>
    </row>
    <row r="82" spans="1:12" ht="15" customHeight="1" x14ac:dyDescent="0.2">
      <c r="A82" s="7" t="s">
        <v>132</v>
      </c>
      <c r="B82" s="29">
        <v>8.5000000000000006E-2</v>
      </c>
      <c r="C82" s="29">
        <v>4.4999999999999998E-2</v>
      </c>
      <c r="D82" s="29">
        <v>6.3E-2</v>
      </c>
      <c r="E82" s="29">
        <v>6.6000000000000003E-2</v>
      </c>
      <c r="F82" s="19" t="s">
        <v>133</v>
      </c>
      <c r="G82" s="30"/>
      <c r="H82" s="25"/>
      <c r="I82" s="31"/>
      <c r="J82" s="31"/>
      <c r="K82" s="31"/>
      <c r="L82" s="31"/>
    </row>
    <row r="83" spans="1:12" ht="15" customHeight="1" x14ac:dyDescent="0.2">
      <c r="A83" s="7" t="s">
        <v>134</v>
      </c>
      <c r="B83" s="29">
        <v>7.4999999999999997E-2</v>
      </c>
      <c r="C83" s="29">
        <v>0.04</v>
      </c>
      <c r="D83" s="29">
        <v>4.8000000000000001E-2</v>
      </c>
      <c r="E83" s="29">
        <v>5.0999999999999997E-2</v>
      </c>
      <c r="F83" s="30"/>
      <c r="G83" s="30"/>
      <c r="H83" s="25"/>
      <c r="I83" s="31"/>
      <c r="J83" s="31"/>
      <c r="K83" s="31"/>
      <c r="L83" s="31"/>
    </row>
    <row r="84" spans="1:12" ht="15" customHeight="1" x14ac:dyDescent="0.2">
      <c r="A84" s="7" t="s">
        <v>135</v>
      </c>
      <c r="B84" s="26">
        <v>738498</v>
      </c>
      <c r="C84" s="26">
        <v>764587</v>
      </c>
      <c r="D84" s="26">
        <v>773176</v>
      </c>
      <c r="E84" s="26">
        <v>777055</v>
      </c>
      <c r="F84" s="30"/>
      <c r="G84" s="30"/>
      <c r="H84" s="25"/>
    </row>
    <row r="85" spans="1:12" ht="15" customHeight="1" x14ac:dyDescent="0.2">
      <c r="A85" s="7" t="s">
        <v>136</v>
      </c>
      <c r="B85" s="31">
        <v>0.97699999999999998</v>
      </c>
      <c r="C85" s="31">
        <v>0.95799999999999996</v>
      </c>
      <c r="D85" s="31">
        <v>0.95599999999999996</v>
      </c>
      <c r="E85" s="31">
        <v>0.95299999999999996</v>
      </c>
      <c r="F85" s="30"/>
      <c r="G85" s="30"/>
      <c r="H85" s="25"/>
    </row>
    <row r="87" spans="1:12" ht="15" customHeight="1" x14ac:dyDescent="0.2">
      <c r="A87" s="16" t="s">
        <v>137</v>
      </c>
      <c r="B87" s="17"/>
      <c r="C87" s="17"/>
      <c r="D87" s="17"/>
      <c r="E87" s="17"/>
      <c r="F87" s="17"/>
      <c r="G87" s="17"/>
      <c r="H87" s="17"/>
    </row>
    <row r="88" spans="1:12" ht="15" customHeight="1" x14ac:dyDescent="0.2">
      <c r="A88" s="7" t="s">
        <v>138</v>
      </c>
      <c r="B88" s="29">
        <v>0.97699999999999998</v>
      </c>
      <c r="C88" s="29">
        <v>0.95799999999999996</v>
      </c>
      <c r="D88" s="29">
        <v>0.95599999999999996</v>
      </c>
      <c r="E88" s="29">
        <v>0.95299999999999996</v>
      </c>
      <c r="F88" s="19" t="s">
        <v>133</v>
      </c>
      <c r="G88" s="30"/>
      <c r="H88" s="25"/>
      <c r="I88" s="31"/>
      <c r="J88" s="31"/>
      <c r="K88" s="31"/>
      <c r="L88" s="31"/>
    </row>
    <row r="89" spans="1:12" ht="15" customHeight="1" x14ac:dyDescent="0.2">
      <c r="A89" s="7" t="s">
        <v>139</v>
      </c>
      <c r="B89" s="29">
        <v>0.97599999999999998</v>
      </c>
      <c r="C89" s="29">
        <v>0.95899999999999996</v>
      </c>
      <c r="D89" s="29">
        <v>0.95799999999999996</v>
      </c>
      <c r="E89" s="29">
        <v>0.95299999999999996</v>
      </c>
      <c r="F89" s="30"/>
      <c r="G89" s="30"/>
      <c r="H89" s="25"/>
      <c r="I89" s="31"/>
      <c r="J89" s="31"/>
      <c r="K89" s="31"/>
      <c r="L89" s="31"/>
    </row>
    <row r="90" spans="1:12" ht="15" customHeight="1" x14ac:dyDescent="0.2">
      <c r="A90" s="7" t="s">
        <v>140</v>
      </c>
      <c r="B90" s="29">
        <v>0.97599999999999998</v>
      </c>
      <c r="C90" s="29">
        <v>0.95899999999999996</v>
      </c>
      <c r="D90" s="29">
        <v>0.95799999999999996</v>
      </c>
      <c r="E90" s="29">
        <v>0.95299999999999996</v>
      </c>
      <c r="F90" s="30"/>
      <c r="G90" s="30"/>
      <c r="H90" s="25"/>
      <c r="I90" s="31"/>
      <c r="J90" s="31"/>
      <c r="K90" s="31"/>
      <c r="L90" s="31"/>
    </row>
    <row r="91" spans="1:12" ht="15" customHeight="1" x14ac:dyDescent="0.2">
      <c r="A91" s="7" t="s">
        <v>141</v>
      </c>
      <c r="B91" s="31">
        <v>0.97799999999999998</v>
      </c>
      <c r="C91" s="31">
        <v>0.96</v>
      </c>
      <c r="D91" s="31">
        <v>0.96199999999999997</v>
      </c>
      <c r="E91" s="31">
        <v>0.95799999999999996</v>
      </c>
      <c r="F91" s="30"/>
      <c r="G91" s="30"/>
      <c r="H91" s="25"/>
      <c r="I91" s="31"/>
      <c r="J91" s="31"/>
      <c r="K91" s="31"/>
      <c r="L91" s="31"/>
    </row>
    <row r="93" spans="1:12" ht="15" customHeight="1" x14ac:dyDescent="0.2">
      <c r="A93" s="16" t="s">
        <v>142</v>
      </c>
      <c r="B93" s="17"/>
      <c r="C93" s="17"/>
      <c r="D93" s="17"/>
      <c r="E93" s="17"/>
      <c r="F93" s="17"/>
      <c r="G93" s="17"/>
      <c r="H93" s="17"/>
    </row>
    <row r="94" spans="1:12" ht="15" customHeight="1" x14ac:dyDescent="0.2">
      <c r="A94" s="7" t="s">
        <v>143</v>
      </c>
      <c r="B94" s="32">
        <v>0.74099999999999999</v>
      </c>
      <c r="C94" s="32">
        <v>0.66300000000000003</v>
      </c>
      <c r="D94" s="32">
        <v>0.438</v>
      </c>
      <c r="E94" s="32">
        <v>0.31900000000000001</v>
      </c>
      <c r="F94" s="19" t="s">
        <v>144</v>
      </c>
      <c r="G94" s="21"/>
      <c r="H94" s="21"/>
    </row>
    <row r="95" spans="1:12" ht="15" customHeight="1" x14ac:dyDescent="0.2">
      <c r="A95" s="7" t="s">
        <v>145</v>
      </c>
      <c r="B95" s="32">
        <v>0.51800000000000002</v>
      </c>
      <c r="C95" s="32">
        <v>0.40100000000000002</v>
      </c>
      <c r="D95" s="32">
        <v>0.27300000000000002</v>
      </c>
      <c r="E95" s="32">
        <v>0.16800000000000001</v>
      </c>
      <c r="F95" s="21"/>
      <c r="G95" s="21"/>
      <c r="H95" s="21"/>
    </row>
    <row r="96" spans="1:12" ht="15" customHeight="1" x14ac:dyDescent="0.2">
      <c r="A96" s="7" t="s">
        <v>146</v>
      </c>
      <c r="B96" s="32">
        <v>0.76800000000000002</v>
      </c>
      <c r="C96" s="32">
        <v>0.78400000000000003</v>
      </c>
      <c r="D96" s="32">
        <v>0.77700000000000002</v>
      </c>
      <c r="E96" s="32">
        <v>0.75800000000000001</v>
      </c>
      <c r="F96" s="21"/>
      <c r="G96" s="21"/>
      <c r="H96" s="21"/>
    </row>
    <row r="97" spans="1:8" ht="15" customHeight="1" x14ac:dyDescent="0.2">
      <c r="A97" s="7" t="s">
        <v>147</v>
      </c>
      <c r="B97" s="33">
        <v>43.65</v>
      </c>
      <c r="C97" s="33">
        <v>46.491</v>
      </c>
      <c r="D97" s="33">
        <v>43.764000000000003</v>
      </c>
      <c r="E97" s="33">
        <v>66.721999999999994</v>
      </c>
      <c r="F97" s="21"/>
      <c r="G97" s="21"/>
      <c r="H97" s="21"/>
    </row>
    <row r="98" spans="1:8" ht="15" customHeight="1" x14ac:dyDescent="0.2">
      <c r="A98" s="7" t="s">
        <v>148</v>
      </c>
      <c r="B98" s="33">
        <v>4.2</v>
      </c>
      <c r="C98" s="33">
        <v>4.2</v>
      </c>
      <c r="D98" s="33">
        <v>4.2</v>
      </c>
      <c r="E98" s="33">
        <v>4.2</v>
      </c>
      <c r="F98" s="21"/>
      <c r="G98" s="21"/>
      <c r="H98" s="21"/>
    </row>
    <row r="99" spans="1:8" ht="15" customHeight="1" x14ac:dyDescent="0.2">
      <c r="A99" s="7" t="s">
        <v>149</v>
      </c>
      <c r="B99" s="32">
        <v>9.0999999999999998E-2</v>
      </c>
      <c r="C99" s="32">
        <v>9.0999999999999998E-2</v>
      </c>
      <c r="D99" s="32">
        <v>0.10299999999999999</v>
      </c>
      <c r="E99" s="32">
        <v>6.9000000000000006E-2</v>
      </c>
      <c r="F99" s="21"/>
      <c r="G99" s="21"/>
      <c r="H99" s="21"/>
    </row>
    <row r="100" spans="1:8" ht="15" customHeight="1" x14ac:dyDescent="0.2">
      <c r="A100" s="7" t="s">
        <v>150</v>
      </c>
      <c r="B100" s="32">
        <v>0.12</v>
      </c>
      <c r="C100" s="32">
        <v>0.13500000000000001</v>
      </c>
      <c r="D100" s="32">
        <v>0.14799999999999999</v>
      </c>
      <c r="E100" s="32">
        <v>0.14699999999999999</v>
      </c>
      <c r="F100" s="21"/>
      <c r="G100" s="21"/>
      <c r="H100" s="21"/>
    </row>
    <row r="101" spans="1:8" ht="15" customHeight="1" x14ac:dyDescent="0.2">
      <c r="A101" s="7" t="s">
        <v>151</v>
      </c>
      <c r="B101" s="32">
        <v>0.13900000000000001</v>
      </c>
      <c r="C101" s="32">
        <v>0.151</v>
      </c>
      <c r="D101" s="32">
        <v>0.14599999999999999</v>
      </c>
      <c r="E101" s="32">
        <v>0.14699999999999999</v>
      </c>
      <c r="F101" s="21"/>
      <c r="G101" s="21"/>
      <c r="H101" s="21"/>
    </row>
    <row r="102" spans="1:8" ht="15" customHeight="1" x14ac:dyDescent="0.2">
      <c r="A102" s="7" t="s">
        <v>152</v>
      </c>
      <c r="B102" s="32">
        <v>0.14799999999999999</v>
      </c>
      <c r="C102" s="32">
        <v>0.14299999999999999</v>
      </c>
      <c r="D102" s="32">
        <v>0.13600000000000001</v>
      </c>
      <c r="E102" s="32">
        <v>0.14000000000000001</v>
      </c>
      <c r="F102" s="21"/>
      <c r="G102" s="21"/>
      <c r="H102" s="21"/>
    </row>
    <row r="103" spans="1:8" ht="15" customHeight="1" x14ac:dyDescent="0.2">
      <c r="A103" s="7" t="s">
        <v>153</v>
      </c>
      <c r="B103" s="32">
        <v>0.14599999999999999</v>
      </c>
      <c r="C103" s="32">
        <v>0.13400000000000001</v>
      </c>
      <c r="D103" s="32">
        <v>0.13300000000000001</v>
      </c>
      <c r="E103" s="32">
        <v>0.13300000000000001</v>
      </c>
      <c r="F103" s="21"/>
      <c r="G103" s="21"/>
      <c r="H103" s="21"/>
    </row>
    <row r="105" spans="1:8" ht="15" customHeight="1" x14ac:dyDescent="0.2">
      <c r="A105" s="16" t="s">
        <v>154</v>
      </c>
      <c r="B105" s="17"/>
      <c r="C105" s="17"/>
      <c r="D105" s="17"/>
      <c r="E105" s="17"/>
      <c r="F105" s="17"/>
      <c r="G105" s="17"/>
      <c r="H105" s="17"/>
    </row>
    <row r="106" spans="1:8" ht="15" customHeight="1" x14ac:dyDescent="0.2">
      <c r="A106" s="7" t="s">
        <v>155</v>
      </c>
      <c r="B106" s="32">
        <v>0.76400000000000001</v>
      </c>
      <c r="C106" s="32">
        <v>0.68700000000000006</v>
      </c>
      <c r="D106" s="32">
        <v>0.501</v>
      </c>
      <c r="E106" s="32">
        <v>0.435</v>
      </c>
      <c r="F106" s="19" t="s">
        <v>144</v>
      </c>
      <c r="G106" s="21"/>
      <c r="H106" s="21"/>
    </row>
    <row r="107" spans="1:8" ht="15" customHeight="1" x14ac:dyDescent="0.2">
      <c r="A107" s="7" t="s">
        <v>156</v>
      </c>
      <c r="B107" s="32" t="s">
        <v>157</v>
      </c>
      <c r="C107" s="32" t="s">
        <v>157</v>
      </c>
      <c r="D107" s="32" t="s">
        <v>157</v>
      </c>
      <c r="E107" s="32" t="s">
        <v>157</v>
      </c>
      <c r="F107" s="21"/>
      <c r="G107" s="21"/>
      <c r="H107" s="21"/>
    </row>
    <row r="109" spans="1:8" ht="15" customHeight="1" x14ac:dyDescent="0.2">
      <c r="A109" s="16" t="s">
        <v>158</v>
      </c>
      <c r="B109" s="17"/>
      <c r="C109" s="17"/>
      <c r="D109" s="17"/>
      <c r="E109" s="17"/>
      <c r="F109" s="17"/>
      <c r="G109" s="17"/>
      <c r="H109" s="17"/>
    </row>
    <row r="110" spans="1:8" ht="15" customHeight="1" x14ac:dyDescent="0.2">
      <c r="A110" s="7" t="s">
        <v>159</v>
      </c>
      <c r="B110" s="33">
        <v>3397</v>
      </c>
      <c r="C110" s="33">
        <v>1339</v>
      </c>
      <c r="D110" s="33">
        <v>2956</v>
      </c>
      <c r="E110" s="33">
        <v>1783</v>
      </c>
      <c r="F110" s="19" t="s">
        <v>160</v>
      </c>
      <c r="G110" s="21"/>
      <c r="H110" s="21"/>
    </row>
    <row r="111" spans="1:8" ht="15" customHeight="1" x14ac:dyDescent="0.2">
      <c r="A111" s="7" t="s">
        <v>161</v>
      </c>
      <c r="B111" s="32">
        <v>7.0000000000000007E-2</v>
      </c>
      <c r="C111" s="32">
        <v>7.2999999999999995E-2</v>
      </c>
      <c r="D111" s="32">
        <v>6.3E-2</v>
      </c>
      <c r="E111" s="32">
        <v>8.7999999999999995E-2</v>
      </c>
      <c r="F111" s="21"/>
      <c r="G111" s="21"/>
      <c r="H111" s="21"/>
    </row>
    <row r="112" spans="1:8" ht="15" customHeight="1" x14ac:dyDescent="0.2">
      <c r="A112" s="7" t="s">
        <v>162</v>
      </c>
      <c r="B112" s="32">
        <v>0.27400000000000002</v>
      </c>
      <c r="C112" s="32">
        <v>0.26900000000000002</v>
      </c>
      <c r="D112" s="32">
        <v>0.193</v>
      </c>
      <c r="E112" s="32">
        <v>0.32</v>
      </c>
      <c r="F112" s="21"/>
      <c r="G112" s="21"/>
      <c r="H112" s="21"/>
    </row>
    <row r="113" spans="1:8" ht="15" customHeight="1" x14ac:dyDescent="0.2">
      <c r="A113" s="7" t="s">
        <v>163</v>
      </c>
      <c r="B113" s="33">
        <v>931</v>
      </c>
      <c r="C113" s="33">
        <v>366</v>
      </c>
      <c r="D113" s="33">
        <v>569</v>
      </c>
      <c r="E113" s="33">
        <v>571</v>
      </c>
      <c r="F113" s="21"/>
      <c r="G113" s="21"/>
      <c r="H113" s="21"/>
    </row>
    <row r="114" spans="1:8" ht="15" customHeight="1" x14ac:dyDescent="0.2">
      <c r="A114" s="7" t="s">
        <v>164</v>
      </c>
      <c r="B114" s="32">
        <v>0.53</v>
      </c>
      <c r="C114" s="32">
        <v>0.33400000000000002</v>
      </c>
      <c r="D114" s="32">
        <v>0.61099999999999999</v>
      </c>
      <c r="E114" s="32">
        <v>0.81200000000000006</v>
      </c>
      <c r="F114" s="21"/>
      <c r="G114" s="21"/>
      <c r="H114" s="21"/>
    </row>
    <row r="115" spans="1:8" ht="15" customHeight="1" x14ac:dyDescent="0.2">
      <c r="A115" s="7" t="s">
        <v>165</v>
      </c>
      <c r="B115" s="33" t="s">
        <v>157</v>
      </c>
      <c r="C115" s="33" t="s">
        <v>157</v>
      </c>
      <c r="D115" s="33" t="s">
        <v>157</v>
      </c>
      <c r="E115" s="33">
        <v>1300</v>
      </c>
      <c r="F115" s="21"/>
      <c r="G115" s="21"/>
      <c r="H115" s="21"/>
    </row>
    <row r="116" spans="1:8" ht="15" customHeight="1" x14ac:dyDescent="0.2">
      <c r="A116" s="7" t="s">
        <v>166</v>
      </c>
      <c r="B116" s="33">
        <v>3151</v>
      </c>
      <c r="C116" s="33">
        <v>4168</v>
      </c>
      <c r="D116" s="33">
        <v>2260</v>
      </c>
      <c r="E116" s="33">
        <v>1113</v>
      </c>
      <c r="F116" s="21"/>
      <c r="G116" s="21"/>
      <c r="H116" s="21"/>
    </row>
    <row r="117" spans="1:8" ht="15" customHeight="1" x14ac:dyDescent="0.2">
      <c r="A117" s="7" t="s">
        <v>167</v>
      </c>
      <c r="B117" s="32">
        <v>6.3E-2</v>
      </c>
      <c r="C117" s="32">
        <v>6.0999999999999999E-2</v>
      </c>
      <c r="D117" s="32">
        <v>6.7000000000000004E-2</v>
      </c>
      <c r="E117" s="32">
        <v>7.5999999999999998E-2</v>
      </c>
      <c r="F117" s="21"/>
      <c r="G117" s="21"/>
      <c r="H117" s="21"/>
    </row>
    <row r="118" spans="1:8" ht="15" customHeight="1" x14ac:dyDescent="0.2">
      <c r="A118" s="7" t="s">
        <v>168</v>
      </c>
      <c r="B118" s="32">
        <v>0.29099999999999998</v>
      </c>
      <c r="C118" s="32">
        <v>0.185</v>
      </c>
      <c r="D118" s="32">
        <v>0.251</v>
      </c>
      <c r="E118" s="32">
        <v>0.34799999999999998</v>
      </c>
      <c r="F118" s="21"/>
      <c r="G118" s="21"/>
      <c r="H118" s="21"/>
    </row>
    <row r="119" spans="1:8" ht="15" customHeight="1" x14ac:dyDescent="0.2">
      <c r="A119" s="7" t="s">
        <v>169</v>
      </c>
      <c r="B119" s="33">
        <v>917</v>
      </c>
      <c r="C119" s="33">
        <v>773</v>
      </c>
      <c r="D119" s="33">
        <v>568</v>
      </c>
      <c r="E119" s="33">
        <v>387</v>
      </c>
      <c r="F119" s="21"/>
      <c r="G119" s="21"/>
      <c r="H119" s="21"/>
    </row>
    <row r="120" spans="1:8" ht="15" customHeight="1" x14ac:dyDescent="0.2">
      <c r="A120" s="7" t="s">
        <v>170</v>
      </c>
      <c r="B120" s="33">
        <v>7850</v>
      </c>
      <c r="C120" s="33">
        <v>4712</v>
      </c>
      <c r="D120" s="33">
        <v>5126</v>
      </c>
      <c r="E120" s="33">
        <v>5491</v>
      </c>
      <c r="F120" s="21"/>
      <c r="G120" s="21"/>
      <c r="H120" s="21"/>
    </row>
    <row r="121" spans="1:8" ht="15" customHeight="1" x14ac:dyDescent="0.2">
      <c r="A121" s="7" t="s">
        <v>171</v>
      </c>
      <c r="B121" s="32">
        <v>0.372</v>
      </c>
      <c r="C121" s="32">
        <v>0.33200000000000002</v>
      </c>
      <c r="D121" s="32">
        <v>0.54800000000000004</v>
      </c>
      <c r="E121" s="32">
        <v>0.47499999999999998</v>
      </c>
      <c r="F121" s="21"/>
      <c r="G121" s="21"/>
      <c r="H121" s="21"/>
    </row>
    <row r="122" spans="1:8" ht="15" customHeight="1" x14ac:dyDescent="0.2">
      <c r="A122" s="7" t="s">
        <v>172</v>
      </c>
      <c r="B122" s="33">
        <v>3814</v>
      </c>
      <c r="C122" s="33">
        <v>4485</v>
      </c>
      <c r="D122" s="33">
        <v>4979</v>
      </c>
      <c r="E122" s="33">
        <v>4799</v>
      </c>
      <c r="F122" s="21"/>
      <c r="G122" s="21"/>
      <c r="H122" s="21"/>
    </row>
    <row r="123" spans="1:8" ht="15" customHeight="1" x14ac:dyDescent="0.2">
      <c r="A123" s="7" t="s">
        <v>173</v>
      </c>
      <c r="B123" s="33">
        <v>37000</v>
      </c>
      <c r="C123" s="33">
        <v>38300</v>
      </c>
      <c r="D123" s="33">
        <v>39000</v>
      </c>
      <c r="E123" s="33">
        <v>38000</v>
      </c>
      <c r="F123" s="21"/>
      <c r="G123" s="21"/>
      <c r="H123" s="21"/>
    </row>
    <row r="125" spans="1:8" ht="15" customHeight="1" x14ac:dyDescent="0.2">
      <c r="A125" s="16" t="s">
        <v>174</v>
      </c>
      <c r="B125" s="17"/>
      <c r="C125" s="17"/>
      <c r="D125" s="17"/>
      <c r="E125" s="17"/>
      <c r="F125" s="17"/>
      <c r="G125" s="17"/>
      <c r="H125" s="17"/>
    </row>
    <row r="126" spans="1:8" ht="15" customHeight="1" x14ac:dyDescent="0.2">
      <c r="A126" s="7" t="s">
        <v>175</v>
      </c>
      <c r="B126" s="33">
        <v>219</v>
      </c>
      <c r="C126" s="33">
        <v>198</v>
      </c>
      <c r="D126" s="33">
        <v>230</v>
      </c>
      <c r="E126" s="33">
        <v>235</v>
      </c>
      <c r="F126" s="19" t="s">
        <v>176</v>
      </c>
      <c r="G126" s="21"/>
      <c r="H126" s="21"/>
    </row>
    <row r="127" spans="1:8" ht="15" customHeight="1" x14ac:dyDescent="0.2">
      <c r="A127" s="7" t="s">
        <v>177</v>
      </c>
      <c r="B127" s="33">
        <v>159</v>
      </c>
      <c r="C127" s="33">
        <v>136</v>
      </c>
      <c r="D127" s="33">
        <v>162</v>
      </c>
      <c r="E127" s="33">
        <v>166</v>
      </c>
      <c r="F127" s="21"/>
      <c r="G127" s="21"/>
      <c r="H127" s="21"/>
    </row>
    <row r="128" spans="1:8" ht="15" customHeight="1" x14ac:dyDescent="0.2">
      <c r="A128" s="7" t="s">
        <v>178</v>
      </c>
      <c r="B128" s="33">
        <v>327456</v>
      </c>
      <c r="C128" s="33">
        <v>347540</v>
      </c>
      <c r="D128" s="33">
        <v>374044</v>
      </c>
      <c r="E128" s="33">
        <v>379020</v>
      </c>
      <c r="F128" s="21"/>
      <c r="G128" s="21"/>
      <c r="H128" s="21"/>
    </row>
    <row r="129" spans="1:8" ht="15" customHeight="1" x14ac:dyDescent="0.2">
      <c r="A129" s="7" t="s">
        <v>179</v>
      </c>
      <c r="B129" s="33">
        <v>31801</v>
      </c>
      <c r="C129" s="33">
        <v>29126</v>
      </c>
      <c r="D129" s="33">
        <v>32512</v>
      </c>
      <c r="E129" s="33">
        <v>37142</v>
      </c>
      <c r="F129" s="21"/>
      <c r="G129" s="21"/>
      <c r="H129" s="21"/>
    </row>
    <row r="130" spans="1:8" ht="15" customHeight="1" x14ac:dyDescent="0.2">
      <c r="A130" s="7" t="s">
        <v>180</v>
      </c>
      <c r="B130" s="33">
        <v>478944</v>
      </c>
      <c r="C130" s="33">
        <v>31714</v>
      </c>
      <c r="D130" s="33">
        <v>-48960</v>
      </c>
      <c r="E130" s="33">
        <v>-50448</v>
      </c>
      <c r="F130" s="21"/>
      <c r="G130" s="21"/>
      <c r="H130" s="21"/>
    </row>
    <row r="131" spans="1:8" ht="15" customHeight="1" x14ac:dyDescent="0.2">
      <c r="A131" s="7" t="s">
        <v>181</v>
      </c>
      <c r="B131" s="33">
        <v>385542</v>
      </c>
      <c r="C131" s="33">
        <v>291856</v>
      </c>
      <c r="D131" s="33">
        <v>270517</v>
      </c>
      <c r="E131" s="33">
        <v>81889</v>
      </c>
      <c r="F131" s="21"/>
      <c r="G131" s="21"/>
      <c r="H131" s="21"/>
    </row>
    <row r="132" spans="1:8" ht="15" customHeight="1" x14ac:dyDescent="0.2">
      <c r="A132" s="7" t="s">
        <v>182</v>
      </c>
      <c r="B132" s="33">
        <v>1253395</v>
      </c>
      <c r="C132" s="33">
        <v>2306446</v>
      </c>
      <c r="D132" s="33">
        <v>1042681</v>
      </c>
      <c r="E132" s="33">
        <v>339404</v>
      </c>
      <c r="F132" s="21"/>
      <c r="G132" s="21"/>
      <c r="H132" s="21"/>
    </row>
    <row r="133" spans="1:8" ht="15" customHeight="1" x14ac:dyDescent="0.2">
      <c r="A133" s="7" t="s">
        <v>183</v>
      </c>
      <c r="B133" s="33">
        <v>3613882</v>
      </c>
      <c r="C133" s="33">
        <v>4653326</v>
      </c>
      <c r="D133" s="33">
        <v>5329877</v>
      </c>
      <c r="E133" s="33">
        <v>5429782</v>
      </c>
      <c r="F133" s="21"/>
      <c r="G133" s="21"/>
      <c r="H133" s="21"/>
    </row>
    <row r="135" spans="1:8" ht="15" customHeight="1" x14ac:dyDescent="0.2">
      <c r="A135" s="16" t="s">
        <v>184</v>
      </c>
      <c r="B135" s="17"/>
      <c r="C135" s="17"/>
      <c r="D135" s="17"/>
      <c r="E135" s="17"/>
      <c r="F135" s="17"/>
      <c r="G135" s="17"/>
      <c r="H135" s="17"/>
    </row>
    <row r="136" spans="1:8" ht="15" customHeight="1" x14ac:dyDescent="0.2">
      <c r="A136" s="7" t="s">
        <v>185</v>
      </c>
      <c r="B136" s="33">
        <v>732636</v>
      </c>
      <c r="C136" s="33">
        <v>1916744</v>
      </c>
      <c r="D136" s="33">
        <v>1710000</v>
      </c>
      <c r="E136" s="33">
        <v>267930</v>
      </c>
      <c r="F136" s="19" t="s">
        <v>186</v>
      </c>
      <c r="G136" s="21"/>
      <c r="H136" s="21"/>
    </row>
    <row r="137" spans="1:8" ht="15" customHeight="1" x14ac:dyDescent="0.2">
      <c r="A137" s="7" t="s">
        <v>187</v>
      </c>
      <c r="B137" s="32">
        <v>5.3999999999999999E-2</v>
      </c>
      <c r="C137" s="32">
        <v>5.0999999999999997E-2</v>
      </c>
      <c r="D137" s="32">
        <v>4.7E-2</v>
      </c>
      <c r="E137" s="32">
        <v>4.7E-2</v>
      </c>
      <c r="F137" s="21"/>
      <c r="G137" s="21"/>
      <c r="H137" s="21"/>
    </row>
    <row r="138" spans="1:8" ht="15" customHeight="1" x14ac:dyDescent="0.2">
      <c r="A138" s="7" t="s">
        <v>188</v>
      </c>
      <c r="B138" s="33">
        <v>1607994</v>
      </c>
      <c r="C138" s="33">
        <v>3984920</v>
      </c>
      <c r="D138" s="33">
        <v>2170174</v>
      </c>
      <c r="E138" s="33">
        <v>676426</v>
      </c>
      <c r="F138" s="21"/>
      <c r="G138" s="21"/>
      <c r="H138" s="21"/>
    </row>
    <row r="139" spans="1:8" ht="15" customHeight="1" x14ac:dyDescent="0.2">
      <c r="A139" s="7" t="s">
        <v>189</v>
      </c>
      <c r="B139" s="32">
        <v>4.4999999999999998E-2</v>
      </c>
      <c r="C139" s="32">
        <v>4.8000000000000001E-2</v>
      </c>
      <c r="D139" s="32">
        <v>4.9000000000000002E-2</v>
      </c>
      <c r="E139" s="32">
        <v>5.0999999999999997E-2</v>
      </c>
      <c r="F139" s="21"/>
      <c r="G139" s="21"/>
      <c r="H139" s="21"/>
    </row>
    <row r="141" spans="1:8" ht="15" customHeight="1" x14ac:dyDescent="0.2">
      <c r="A141" s="16" t="s">
        <v>190</v>
      </c>
      <c r="B141" s="17"/>
      <c r="C141" s="17"/>
      <c r="D141" s="17"/>
      <c r="E141" s="17"/>
      <c r="F141" s="17"/>
      <c r="G141" s="17"/>
      <c r="H141" s="17"/>
    </row>
    <row r="142" spans="1:8" ht="15" customHeight="1" x14ac:dyDescent="0.2">
      <c r="A142" s="7" t="s">
        <v>191</v>
      </c>
      <c r="B142" s="34">
        <v>32596</v>
      </c>
      <c r="C142" s="34">
        <v>35514</v>
      </c>
      <c r="D142" s="34">
        <v>40344</v>
      </c>
      <c r="E142" s="34">
        <v>40073</v>
      </c>
      <c r="F142" s="19" t="s">
        <v>192</v>
      </c>
      <c r="G142" s="35"/>
      <c r="H142" s="35"/>
    </row>
    <row r="143" spans="1:8" ht="15" customHeight="1" x14ac:dyDescent="0.2">
      <c r="A143" s="7" t="s">
        <v>193</v>
      </c>
      <c r="B143" s="34">
        <v>-576801</v>
      </c>
      <c r="C143" s="34">
        <v>-570646</v>
      </c>
      <c r="D143" s="34">
        <v>-540973</v>
      </c>
      <c r="E143" s="34">
        <v>-525386</v>
      </c>
      <c r="F143" s="35"/>
      <c r="G143" s="35"/>
      <c r="H143" s="35"/>
    </row>
    <row r="144" spans="1:8" ht="15" customHeight="1" x14ac:dyDescent="0.2">
      <c r="A144" s="7" t="s">
        <v>194</v>
      </c>
      <c r="B144" s="36">
        <v>0.03</v>
      </c>
      <c r="C144" s="36">
        <v>3.2000000000000001E-2</v>
      </c>
      <c r="D144" s="36">
        <v>3.3000000000000002E-2</v>
      </c>
      <c r="E144" s="36">
        <v>3.3000000000000002E-2</v>
      </c>
      <c r="F144" s="35"/>
      <c r="G144" s="35"/>
      <c r="H144" s="35"/>
    </row>
    <row r="145" spans="1:8" ht="15" customHeight="1" x14ac:dyDescent="0.2">
      <c r="A145" s="7" t="s">
        <v>195</v>
      </c>
      <c r="B145" s="37">
        <v>9.1</v>
      </c>
      <c r="C145" s="37">
        <v>9</v>
      </c>
      <c r="D145" s="37">
        <v>8.1999999999999993</v>
      </c>
      <c r="E145" s="37">
        <v>8.1</v>
      </c>
      <c r="F145" s="35"/>
      <c r="G145" s="35"/>
      <c r="H145" s="35"/>
    </row>
    <row r="146" spans="1:8" ht="15" customHeight="1" x14ac:dyDescent="0.2">
      <c r="A146" s="7" t="s">
        <v>196</v>
      </c>
      <c r="B146" s="36">
        <v>0.91</v>
      </c>
      <c r="C146" s="36">
        <v>0.95199999999999996</v>
      </c>
      <c r="D146" s="36">
        <v>0.96199999999999997</v>
      </c>
      <c r="E146" s="36">
        <v>0.95399999999999996</v>
      </c>
      <c r="F146" s="35"/>
      <c r="G146" s="35"/>
      <c r="H146" s="35"/>
    </row>
    <row r="147" spans="1:8" ht="15" customHeight="1" x14ac:dyDescent="0.2">
      <c r="A147" s="7" t="s">
        <v>197</v>
      </c>
      <c r="B147" s="36">
        <v>6.0000000000000001E-3</v>
      </c>
      <c r="C147" s="36">
        <v>5.0000000000000001E-3</v>
      </c>
      <c r="D147" s="36">
        <v>3.0000000000000001E-3</v>
      </c>
      <c r="E147" s="36">
        <v>4.0000000000000001E-3</v>
      </c>
      <c r="F147" s="35"/>
      <c r="G147" s="35"/>
      <c r="H147" s="35"/>
    </row>
    <row r="148" spans="1:8" ht="15" customHeight="1" x14ac:dyDescent="0.2">
      <c r="A148" s="7" t="s">
        <v>198</v>
      </c>
      <c r="B148" s="38">
        <v>4.5999999999999996</v>
      </c>
      <c r="C148" s="38">
        <v>4.5999999999999996</v>
      </c>
      <c r="D148" s="38">
        <v>5.3</v>
      </c>
      <c r="E148" s="38">
        <v>4.8</v>
      </c>
      <c r="F148" s="35"/>
      <c r="G148" s="35"/>
      <c r="H148" s="35"/>
    </row>
    <row r="149" spans="1:8" ht="15" customHeight="1" x14ac:dyDescent="0.2">
      <c r="A149" s="7" t="s">
        <v>199</v>
      </c>
      <c r="B149" s="38">
        <v>7.9</v>
      </c>
      <c r="C149" s="38">
        <v>6.8</v>
      </c>
      <c r="D149" s="38">
        <v>5.9</v>
      </c>
      <c r="E149" s="38">
        <v>6.4</v>
      </c>
      <c r="F149" s="35"/>
      <c r="G149" s="35"/>
      <c r="H149" s="35"/>
    </row>
    <row r="150" spans="1:8" ht="15" customHeight="1" x14ac:dyDescent="0.2">
      <c r="A150" s="7" t="s">
        <v>200</v>
      </c>
      <c r="B150" s="34">
        <v>5755</v>
      </c>
      <c r="C150" s="34">
        <v>4506</v>
      </c>
      <c r="D150" s="34">
        <v>3461</v>
      </c>
      <c r="E150" s="34">
        <v>162</v>
      </c>
      <c r="F150" s="19" t="s">
        <v>201</v>
      </c>
      <c r="G150" s="35"/>
      <c r="H150" s="35"/>
    </row>
    <row r="151" spans="1:8" ht="15" customHeight="1" x14ac:dyDescent="0.2">
      <c r="A151" s="7" t="s">
        <v>202</v>
      </c>
      <c r="B151" s="39">
        <v>4.7E-2</v>
      </c>
      <c r="C151" s="39">
        <v>4.8000000000000001E-2</v>
      </c>
      <c r="D151" s="34">
        <v>4.2000000000000003E-2</v>
      </c>
      <c r="E151" s="39">
        <v>3.6999999999999998E-2</v>
      </c>
      <c r="F151" s="35"/>
      <c r="G151" s="35"/>
      <c r="H151" s="35"/>
    </row>
    <row r="152" spans="1:8" ht="15" customHeight="1" x14ac:dyDescent="0.2">
      <c r="A152" s="7" t="s">
        <v>203</v>
      </c>
      <c r="B152" s="34">
        <v>6000</v>
      </c>
      <c r="C152" s="34">
        <v>7400</v>
      </c>
      <c r="D152" s="34">
        <v>7600</v>
      </c>
      <c r="E152" s="34">
        <v>6700</v>
      </c>
      <c r="F152" s="35"/>
      <c r="G152" s="35"/>
      <c r="H152" s="35"/>
    </row>
    <row r="154" spans="1:8" ht="15" customHeight="1" x14ac:dyDescent="0.2">
      <c r="A154" s="16" t="s">
        <v>204</v>
      </c>
      <c r="B154" s="17"/>
      <c r="C154" s="17"/>
      <c r="D154" s="17"/>
      <c r="E154" s="17"/>
      <c r="F154" s="17"/>
      <c r="G154" s="17"/>
      <c r="H154" s="17"/>
    </row>
    <row r="155" spans="1:8" ht="15" customHeight="1" x14ac:dyDescent="0.2">
      <c r="A155" s="7" t="s">
        <v>205</v>
      </c>
      <c r="B155" s="40">
        <v>924.4</v>
      </c>
      <c r="C155" s="40">
        <v>926.3</v>
      </c>
      <c r="D155" s="40">
        <v>929.2</v>
      </c>
      <c r="E155" s="40">
        <v>932.3</v>
      </c>
      <c r="F155" s="19" t="s">
        <v>201</v>
      </c>
      <c r="G155" s="21"/>
      <c r="H155" s="21"/>
    </row>
    <row r="156" spans="1:8" ht="15" customHeight="1" x14ac:dyDescent="0.2">
      <c r="A156" s="7" t="s">
        <v>206</v>
      </c>
      <c r="B156" s="41">
        <v>951.8</v>
      </c>
      <c r="C156" s="41">
        <v>953.6</v>
      </c>
      <c r="D156" s="41">
        <v>956.8</v>
      </c>
      <c r="E156" s="41">
        <v>957.6</v>
      </c>
      <c r="F156" s="19" t="s">
        <v>207</v>
      </c>
      <c r="G156" s="21"/>
      <c r="H156" s="21"/>
    </row>
    <row r="157" spans="1:8" ht="15" customHeight="1" x14ac:dyDescent="0.2">
      <c r="A157" s="7" t="s">
        <v>208</v>
      </c>
      <c r="B157" s="40">
        <v>952.2</v>
      </c>
      <c r="C157" s="40">
        <v>954.1</v>
      </c>
      <c r="D157" s="40">
        <v>957.2</v>
      </c>
      <c r="E157" s="40">
        <v>960.3</v>
      </c>
      <c r="F157" s="21"/>
      <c r="G157" s="21"/>
      <c r="H157" s="21"/>
    </row>
    <row r="158" spans="1:8" ht="15" customHeight="1" x14ac:dyDescent="0.2">
      <c r="A158" s="7" t="s">
        <v>209</v>
      </c>
      <c r="B158" s="40">
        <v>23.3</v>
      </c>
      <c r="C158" s="40">
        <v>23.4</v>
      </c>
      <c r="D158" s="40">
        <v>22.1</v>
      </c>
      <c r="E158" s="40">
        <v>20</v>
      </c>
      <c r="F158" s="19" t="s">
        <v>201</v>
      </c>
      <c r="G158" s="21"/>
      <c r="H158" s="21"/>
    </row>
    <row r="159" spans="1:8" ht="15" customHeight="1" x14ac:dyDescent="0.2">
      <c r="A159" s="7" t="s">
        <v>210</v>
      </c>
      <c r="B159" s="33">
        <v>0</v>
      </c>
      <c r="C159" s="33">
        <v>0</v>
      </c>
      <c r="D159" s="33">
        <v>0</v>
      </c>
      <c r="E159" s="33">
        <v>0</v>
      </c>
      <c r="F159" s="21"/>
      <c r="G159" s="21"/>
      <c r="H159" s="21"/>
    </row>
    <row r="160" spans="1:8" ht="15" customHeight="1" x14ac:dyDescent="0.2">
      <c r="A160" s="7" t="s">
        <v>211</v>
      </c>
      <c r="B160" s="40">
        <v>0</v>
      </c>
      <c r="C160" s="40">
        <v>0</v>
      </c>
      <c r="D160" s="40">
        <v>0</v>
      </c>
      <c r="E160" s="40">
        <v>0</v>
      </c>
      <c r="F160" s="21"/>
      <c r="G160" s="21"/>
      <c r="H160" s="21"/>
    </row>
    <row r="162" spans="1:8" ht="15" customHeight="1" x14ac:dyDescent="0.2">
      <c r="A162" s="16" t="s">
        <v>212</v>
      </c>
      <c r="B162" s="17"/>
      <c r="C162" s="17"/>
      <c r="D162" s="17"/>
      <c r="E162" s="17"/>
      <c r="F162" s="17"/>
      <c r="G162" s="17"/>
      <c r="H162" s="17"/>
    </row>
    <row r="163" spans="1:8" ht="15" customHeight="1" x14ac:dyDescent="0.2">
      <c r="A163" s="7" t="s">
        <v>213</v>
      </c>
      <c r="B163" s="41">
        <v>133.30000000000001</v>
      </c>
      <c r="C163" s="41">
        <v>105.7</v>
      </c>
      <c r="D163" s="41">
        <v>127.66</v>
      </c>
      <c r="E163" s="41">
        <v>132.18</v>
      </c>
      <c r="F163" s="19" t="s">
        <v>207</v>
      </c>
      <c r="G163" s="21"/>
      <c r="H163" s="21"/>
    </row>
    <row r="164" spans="1:8" ht="15" customHeight="1" x14ac:dyDescent="0.2">
      <c r="A164" s="7" t="s">
        <v>214</v>
      </c>
      <c r="B164" s="32">
        <v>3.8800000000000001E-2</v>
      </c>
      <c r="C164" s="32">
        <v>4.5699999999999998E-2</v>
      </c>
      <c r="D164" s="32">
        <v>4.58E-2</v>
      </c>
      <c r="E164" s="32">
        <v>4.4900000000000002E-2</v>
      </c>
      <c r="F164" s="21"/>
      <c r="G164" s="21"/>
      <c r="H164" s="21"/>
    </row>
    <row r="165" spans="1:8" ht="15" customHeight="1" x14ac:dyDescent="0.2">
      <c r="A165" s="7" t="s">
        <v>215</v>
      </c>
      <c r="B165" s="41">
        <v>3.29</v>
      </c>
      <c r="C165" s="41">
        <v>4.01</v>
      </c>
      <c r="D165" s="41">
        <v>3.56</v>
      </c>
      <c r="E165" s="41">
        <v>1.05</v>
      </c>
      <c r="F165" s="21"/>
      <c r="G165" s="21"/>
      <c r="H165" s="21"/>
    </row>
    <row r="167" spans="1:8" ht="15" customHeight="1" x14ac:dyDescent="0.2">
      <c r="A167" s="16" t="s">
        <v>216</v>
      </c>
      <c r="B167" s="17"/>
      <c r="C167" s="17"/>
      <c r="D167" s="17"/>
      <c r="E167" s="17"/>
      <c r="F167" s="17"/>
      <c r="G167" s="17"/>
      <c r="H167" s="17"/>
    </row>
    <row r="168" spans="1:8" ht="15" customHeight="1" x14ac:dyDescent="0.2">
      <c r="A168" s="7" t="s">
        <v>217</v>
      </c>
      <c r="B168" s="42">
        <v>3053373</v>
      </c>
      <c r="C168" s="42">
        <v>3725754</v>
      </c>
      <c r="D168" s="42">
        <v>3322349</v>
      </c>
      <c r="E168" s="42">
        <v>980476</v>
      </c>
      <c r="F168" s="19" t="s">
        <v>218</v>
      </c>
    </row>
    <row r="169" spans="1:8" ht="15" customHeight="1" x14ac:dyDescent="0.2">
      <c r="A169" s="7" t="s">
        <v>219</v>
      </c>
      <c r="B169" s="42">
        <v>2433610</v>
      </c>
      <c r="C169" s="42">
        <v>2504001</v>
      </c>
      <c r="D169" s="42">
        <v>2538805</v>
      </c>
      <c r="E169" s="42">
        <v>705550</v>
      </c>
    </row>
    <row r="170" spans="1:8" ht="15" customHeight="1" x14ac:dyDescent="0.2">
      <c r="A170" s="7" t="s">
        <v>220</v>
      </c>
      <c r="B170" s="42">
        <v>-157940</v>
      </c>
      <c r="C170" s="42">
        <v>-899270</v>
      </c>
      <c r="D170" s="42">
        <v>-684854</v>
      </c>
      <c r="E170" s="42">
        <v>-91040</v>
      </c>
    </row>
    <row r="171" spans="1:8" ht="15" customHeight="1" x14ac:dyDescent="0.2">
      <c r="A171" s="7" t="s">
        <v>221</v>
      </c>
      <c r="B171" s="42">
        <v>-38246</v>
      </c>
      <c r="C171" s="42">
        <v>-31334</v>
      </c>
      <c r="D171" s="42">
        <v>-47819</v>
      </c>
      <c r="E171" s="42">
        <v>-10737</v>
      </c>
    </row>
    <row r="172" spans="1:8" ht="15" customHeight="1" x14ac:dyDescent="0.2">
      <c r="A172" s="7" t="s">
        <v>222</v>
      </c>
      <c r="B172" s="42">
        <v>455355</v>
      </c>
      <c r="C172" s="42">
        <v>495448</v>
      </c>
      <c r="D172" s="42">
        <v>551044</v>
      </c>
      <c r="E172" s="42">
        <v>151155</v>
      </c>
    </row>
    <row r="173" spans="1:8" ht="15" customHeight="1" x14ac:dyDescent="0.2">
      <c r="A173" s="7" t="s">
        <v>223</v>
      </c>
      <c r="B173" s="42">
        <v>17619</v>
      </c>
      <c r="C173" s="42">
        <v>-68095</v>
      </c>
      <c r="D173" s="42">
        <v>125247</v>
      </c>
      <c r="E173" s="42">
        <v>-14269</v>
      </c>
    </row>
    <row r="174" spans="1:8" ht="15" customHeight="1" x14ac:dyDescent="0.2">
      <c r="A174" s="7" t="s">
        <v>224</v>
      </c>
      <c r="B174" s="42">
        <f>17708-11003</f>
        <v>6705</v>
      </c>
      <c r="C174" s="42">
        <v>21161</v>
      </c>
      <c r="D174" s="42">
        <v>4309</v>
      </c>
      <c r="E174" s="42">
        <v>190</v>
      </c>
    </row>
    <row r="175" spans="1:8" ht="15" customHeight="1" x14ac:dyDescent="0.2">
      <c r="A175" s="7" t="s">
        <v>225</v>
      </c>
      <c r="B175" s="42">
        <v>403</v>
      </c>
      <c r="C175" s="42">
        <v>0</v>
      </c>
      <c r="D175" s="42">
        <v>-728</v>
      </c>
      <c r="E175" s="42">
        <v>712</v>
      </c>
    </row>
    <row r="176" spans="1:8" ht="15" customHeight="1" x14ac:dyDescent="0.2">
      <c r="A176" s="7" t="s">
        <v>226</v>
      </c>
      <c r="B176" s="42">
        <v>-11224</v>
      </c>
      <c r="C176" s="42">
        <v>-7038</v>
      </c>
      <c r="D176" s="42">
        <v>-29094</v>
      </c>
      <c r="E176" s="42">
        <v>-725</v>
      </c>
    </row>
    <row r="177" spans="1:5" ht="15" customHeight="1" x14ac:dyDescent="0.2">
      <c r="A177" s="7" t="s">
        <v>227</v>
      </c>
      <c r="B177" s="42">
        <v>-462270</v>
      </c>
      <c r="C177" s="42">
        <v>-413743</v>
      </c>
      <c r="D177" s="42">
        <v>-257731</v>
      </c>
      <c r="E177" s="42">
        <v>-292983</v>
      </c>
    </row>
    <row r="178" spans="1:5" ht="15" customHeight="1" x14ac:dyDescent="0.2">
      <c r="A178" s="7" t="s">
        <v>228</v>
      </c>
      <c r="B178" s="42">
        <v>36125</v>
      </c>
      <c r="C178" s="42">
        <v>24876</v>
      </c>
      <c r="D178" s="42">
        <v>25738</v>
      </c>
      <c r="E178" s="42">
        <v>1302</v>
      </c>
    </row>
    <row r="179" spans="1:5" ht="15" customHeight="1" x14ac:dyDescent="0.2">
      <c r="A179" s="7" t="s">
        <v>229</v>
      </c>
      <c r="B179" s="42">
        <v>-3275</v>
      </c>
      <c r="C179" s="42">
        <v>-536</v>
      </c>
      <c r="D179" s="42">
        <v>3498</v>
      </c>
      <c r="E179" s="42">
        <v>1890</v>
      </c>
    </row>
    <row r="180" spans="1:5" ht="15" customHeight="1" x14ac:dyDescent="0.2">
      <c r="A180" s="7" t="s">
        <v>230</v>
      </c>
      <c r="B180" s="42">
        <v>9359</v>
      </c>
      <c r="C180" s="42">
        <v>6244</v>
      </c>
      <c r="D180" s="42">
        <v>14944</v>
      </c>
      <c r="E180" s="42">
        <v>271</v>
      </c>
    </row>
    <row r="181" spans="1:5" ht="15" customHeight="1" x14ac:dyDescent="0.2">
      <c r="A181" s="7" t="s">
        <v>231</v>
      </c>
      <c r="B181" s="42">
        <v>-5344</v>
      </c>
      <c r="C181" s="42">
        <v>-52529</v>
      </c>
      <c r="D181" s="42">
        <v>-4408</v>
      </c>
      <c r="E181" s="42">
        <v>8701</v>
      </c>
    </row>
    <row r="182" spans="1:5" ht="15" customHeight="1" x14ac:dyDescent="0.2">
      <c r="A182" s="7" t="s">
        <v>232</v>
      </c>
      <c r="B182" s="42">
        <v>462270</v>
      </c>
      <c r="C182" s="42">
        <v>413743</v>
      </c>
      <c r="D182" s="42">
        <v>257731</v>
      </c>
      <c r="E182" s="42">
        <v>292983</v>
      </c>
    </row>
    <row r="183" spans="1:5" ht="15" customHeight="1" x14ac:dyDescent="0.2">
      <c r="A183" s="7" t="s">
        <v>233</v>
      </c>
      <c r="B183" s="42">
        <v>-36125</v>
      </c>
      <c r="C183" s="42">
        <v>-24876</v>
      </c>
      <c r="D183" s="42">
        <v>-25738</v>
      </c>
      <c r="E183" s="42">
        <v>-1302</v>
      </c>
    </row>
    <row r="184" spans="1:5" ht="15" customHeight="1" x14ac:dyDescent="0.2">
      <c r="A184" s="7" t="s">
        <v>234</v>
      </c>
      <c r="B184" s="42">
        <v>-625356</v>
      </c>
      <c r="C184" s="42">
        <v>-644606</v>
      </c>
      <c r="D184" s="42">
        <v>-691090</v>
      </c>
      <c r="E184" s="42">
        <v>-165749</v>
      </c>
    </row>
    <row r="185" spans="1:5" ht="15" customHeight="1" x14ac:dyDescent="0.2">
      <c r="A185" s="7" t="s">
        <v>235</v>
      </c>
      <c r="B185" s="42">
        <v>-303042</v>
      </c>
      <c r="C185" s="42">
        <v>-386481</v>
      </c>
      <c r="D185" s="42">
        <v>-327355</v>
      </c>
      <c r="E185" s="42">
        <v>-26065</v>
      </c>
    </row>
    <row r="186" spans="1:5" ht="15" customHeight="1" x14ac:dyDescent="0.2">
      <c r="A186" s="7" t="s">
        <v>236</v>
      </c>
      <c r="B186" s="42">
        <v>-388814</v>
      </c>
      <c r="C186" s="42">
        <v>-499927</v>
      </c>
      <c r="D186" s="42">
        <v>-562197</v>
      </c>
      <c r="E186" s="42">
        <v>-123816</v>
      </c>
    </row>
    <row r="187" spans="1:5" ht="15" customHeight="1" x14ac:dyDescent="0.2">
      <c r="A187" s="7" t="s">
        <v>237</v>
      </c>
      <c r="B187" s="42">
        <v>76294</v>
      </c>
      <c r="C187" s="42">
        <v>80028</v>
      </c>
      <c r="D187" s="42">
        <v>90668</v>
      </c>
      <c r="E187" s="42">
        <v>21400</v>
      </c>
    </row>
    <row r="188" spans="1:5" ht="15" customHeight="1" x14ac:dyDescent="0.2">
      <c r="A188" s="7" t="s">
        <v>238</v>
      </c>
      <c r="B188" s="42">
        <v>267648</v>
      </c>
      <c r="C188" s="42">
        <v>231747</v>
      </c>
      <c r="D188" s="42">
        <v>185466</v>
      </c>
      <c r="E188" s="42">
        <v>60632</v>
      </c>
    </row>
    <row r="189" spans="1:5" ht="15" customHeight="1" x14ac:dyDescent="0.2">
      <c r="A189" s="7" t="s">
        <v>239</v>
      </c>
      <c r="B189" s="42">
        <v>48049</v>
      </c>
      <c r="C189" s="42">
        <v>53432</v>
      </c>
      <c r="D189" s="42">
        <v>66005</v>
      </c>
      <c r="E189" s="42">
        <v>19628</v>
      </c>
    </row>
    <row r="190" spans="1:5" ht="15" customHeight="1" x14ac:dyDescent="0.2">
      <c r="A190" s="7" t="s">
        <v>240</v>
      </c>
      <c r="B190" s="42">
        <v>-124544</v>
      </c>
      <c r="C190" s="42">
        <v>-106433</v>
      </c>
      <c r="D190" s="42">
        <v>-219746</v>
      </c>
      <c r="E190" s="42">
        <v>-46311</v>
      </c>
    </row>
    <row r="191" spans="1:5" ht="15" customHeight="1" x14ac:dyDescent="0.2">
      <c r="A191" s="7" t="s">
        <v>241</v>
      </c>
      <c r="B191" s="42">
        <v>5759655</v>
      </c>
      <c r="C191" s="42">
        <v>5740627</v>
      </c>
      <c r="D191" s="42">
        <v>5779259</v>
      </c>
      <c r="E191" s="42">
        <v>1721312</v>
      </c>
    </row>
    <row r="194" spans="2:5" ht="15" customHeight="1" x14ac:dyDescent="0.2">
      <c r="B194" s="18"/>
      <c r="C194" s="18"/>
      <c r="D194" s="18"/>
      <c r="E194" s="18"/>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5"/>
  <sheetViews>
    <sheetView showGridLines="0" zoomScaleNormal="100" workbookViewId="0">
      <pane xSplit="1" ySplit="4" topLeftCell="B5" activePane="bottomRight" state="frozen"/>
      <selection pane="topRight" activeCell="B1" sqref="B1"/>
      <selection pane="bottomLeft" activeCell="A5" sqref="A5"/>
      <selection pane="bottomRight" activeCell="L51" sqref="L51"/>
    </sheetView>
  </sheetViews>
  <sheetFormatPr baseColWidth="10" defaultColWidth="8.6640625" defaultRowHeight="15" x14ac:dyDescent="0.2"/>
  <cols>
    <col min="1" max="1" width="46" customWidth="1"/>
    <col min="2" max="5" width="12" customWidth="1"/>
    <col min="6" max="6" width="4" customWidth="1"/>
    <col min="7" max="7" width="9.1640625" customWidth="1"/>
  </cols>
  <sheetData>
    <row r="1" spans="1:6" ht="17.25" customHeight="1" x14ac:dyDescent="0.2">
      <c r="A1" s="4" t="s">
        <v>242</v>
      </c>
    </row>
    <row r="2" spans="1:6" ht="15" customHeight="1" x14ac:dyDescent="0.2">
      <c r="A2" s="6" t="s">
        <v>243</v>
      </c>
    </row>
    <row r="4" spans="1:6" ht="15" customHeight="1" x14ac:dyDescent="0.2">
      <c r="A4" s="6" t="s">
        <v>244</v>
      </c>
      <c r="B4" s="14" t="s">
        <v>49</v>
      </c>
      <c r="C4" s="14" t="s">
        <v>50</v>
      </c>
      <c r="D4" s="14" t="s">
        <v>51</v>
      </c>
      <c r="E4" s="14" t="s">
        <v>52</v>
      </c>
    </row>
    <row r="5" spans="1:6" ht="15" customHeight="1" x14ac:dyDescent="0.2">
      <c r="A5" s="16" t="s">
        <v>245</v>
      </c>
      <c r="B5" s="17"/>
      <c r="C5" s="17"/>
      <c r="D5" s="17"/>
      <c r="E5" s="17"/>
      <c r="F5" s="17"/>
    </row>
    <row r="6" spans="1:6" ht="15" customHeight="1" x14ac:dyDescent="0.2">
      <c r="A6" s="7" t="s">
        <v>57</v>
      </c>
      <c r="B6" s="43">
        <f>Data_Collection!B4</f>
        <v>6818542</v>
      </c>
      <c r="C6" s="43">
        <f>Data_Collection!C4</f>
        <v>7514705</v>
      </c>
      <c r="D6" s="43">
        <f>Data_Collection!D4</f>
        <v>8158904</v>
      </c>
      <c r="E6" s="43">
        <f>Data_Collection!E4</f>
        <v>2125084</v>
      </c>
    </row>
    <row r="7" spans="1:6" ht="15" customHeight="1" x14ac:dyDescent="0.2">
      <c r="A7" s="7" t="s">
        <v>59</v>
      </c>
      <c r="B7" s="43">
        <f>Data_Collection!B5</f>
        <v>1200232</v>
      </c>
      <c r="C7" s="43">
        <f>Data_Collection!C5</f>
        <v>671907</v>
      </c>
      <c r="D7" s="43">
        <f>Data_Collection!D5</f>
        <v>592353</v>
      </c>
      <c r="E7" s="43">
        <f>Data_Collection!E5</f>
        <v>160812</v>
      </c>
    </row>
    <row r="8" spans="1:6" ht="15" customHeight="1" x14ac:dyDescent="0.2">
      <c r="A8" s="7" t="s">
        <v>60</v>
      </c>
      <c r="B8" s="43">
        <f>Data_Collection!B6</f>
        <v>4695</v>
      </c>
      <c r="C8" s="43">
        <f>Data_Collection!C6</f>
        <v>14998</v>
      </c>
      <c r="D8" s="43">
        <f>Data_Collection!D6</f>
        <v>38870</v>
      </c>
      <c r="E8" s="43">
        <f>Data_Collection!E6</f>
        <v>11827</v>
      </c>
    </row>
    <row r="9" spans="1:6" ht="15" customHeight="1" x14ac:dyDescent="0.2">
      <c r="A9" s="10" t="s">
        <v>246</v>
      </c>
      <c r="B9" s="44">
        <f>SUM(B6:B8)</f>
        <v>8023469</v>
      </c>
      <c r="C9" s="44">
        <f>SUM(C6:C8)</f>
        <v>8201610</v>
      </c>
      <c r="D9" s="44">
        <f>SUM(D6:D8)</f>
        <v>8790127</v>
      </c>
      <c r="E9" s="44">
        <f>SUM(E6:E8)</f>
        <v>2297723</v>
      </c>
    </row>
    <row r="10" spans="1:6" ht="15" customHeight="1" x14ac:dyDescent="0.2">
      <c r="A10" s="7" t="s">
        <v>61</v>
      </c>
      <c r="B10" s="43">
        <f>-Data_Collection!B7</f>
        <v>-1624793</v>
      </c>
      <c r="C10" s="43">
        <f>-Data_Collection!C7</f>
        <v>-1765385</v>
      </c>
      <c r="D10" s="43">
        <f>-Data_Collection!D7</f>
        <v>-1964137</v>
      </c>
      <c r="E10" s="43">
        <f>-Data_Collection!E7</f>
        <v>-520283</v>
      </c>
    </row>
    <row r="11" spans="1:6" ht="15" customHeight="1" x14ac:dyDescent="0.2">
      <c r="A11" s="7" t="s">
        <v>62</v>
      </c>
      <c r="B11" s="43">
        <f>-Data_Collection!B8</f>
        <v>-385542</v>
      </c>
      <c r="C11" s="43">
        <f>-Data_Collection!C8</f>
        <v>-291856</v>
      </c>
      <c r="D11" s="43">
        <f>-Data_Collection!D8</f>
        <v>-270517</v>
      </c>
      <c r="E11" s="43">
        <f>-Data_Collection!E8</f>
        <v>-81889</v>
      </c>
    </row>
    <row r="12" spans="1:6" ht="15" customHeight="1" x14ac:dyDescent="0.2">
      <c r="A12" s="7" t="s">
        <v>63</v>
      </c>
      <c r="B12" s="43">
        <f>-Data_Collection!B9</f>
        <v>-390406</v>
      </c>
      <c r="C12" s="43">
        <f>-Data_Collection!C9</f>
        <v>-418765</v>
      </c>
      <c r="D12" s="43">
        <f>-Data_Collection!D9</f>
        <v>-469114</v>
      </c>
      <c r="E12" s="43">
        <f>-Data_Collection!E9</f>
        <v>-126890</v>
      </c>
    </row>
    <row r="13" spans="1:6" ht="15" customHeight="1" x14ac:dyDescent="0.2">
      <c r="A13" s="7" t="s">
        <v>64</v>
      </c>
      <c r="B13" s="43">
        <f>-Data_Collection!B10</f>
        <v>-2484891</v>
      </c>
      <c r="C13" s="43">
        <f>-Data_Collection!C10</f>
        <v>-2580519</v>
      </c>
      <c r="D13" s="43">
        <f>-Data_Collection!D10</f>
        <v>-2626028</v>
      </c>
      <c r="E13" s="43">
        <f>-Data_Collection!E10</f>
        <v>-731506</v>
      </c>
    </row>
    <row r="14" spans="1:6" ht="15" customHeight="1" x14ac:dyDescent="0.2">
      <c r="A14" s="7" t="s">
        <v>65</v>
      </c>
      <c r="B14" s="43">
        <f>-Data_Collection!B11</f>
        <v>-53354</v>
      </c>
      <c r="C14" s="43">
        <f>-Data_Collection!C11</f>
        <v>-47044</v>
      </c>
      <c r="D14" s="43">
        <f>-Data_Collection!D11</f>
        <v>-46029</v>
      </c>
      <c r="E14" s="43">
        <f>-Data_Collection!E11</f>
        <v>-10123</v>
      </c>
    </row>
    <row r="15" spans="1:6" ht="15" customHeight="1" x14ac:dyDescent="0.2">
      <c r="A15" s="10" t="s">
        <v>247</v>
      </c>
      <c r="B15" s="44">
        <f>SUM(B10:B14)</f>
        <v>-4938986</v>
      </c>
      <c r="C15" s="44">
        <f>SUM(C10:C14)</f>
        <v>-5103569</v>
      </c>
      <c r="D15" s="44">
        <f>SUM(D10:D14)</f>
        <v>-5375825</v>
      </c>
      <c r="E15" s="44">
        <f>SUM(E10:E14)</f>
        <v>-1470691</v>
      </c>
    </row>
    <row r="16" spans="1:6" ht="15" customHeight="1" x14ac:dyDescent="0.2">
      <c r="A16" s="10" t="s">
        <v>248</v>
      </c>
      <c r="B16" s="44">
        <f>B9+B15</f>
        <v>3084483</v>
      </c>
      <c r="C16" s="44">
        <f>C9+C15</f>
        <v>3098041</v>
      </c>
      <c r="D16" s="44">
        <f>D9+D15</f>
        <v>3414302</v>
      </c>
      <c r="E16" s="44">
        <f>E9+E15</f>
        <v>827032</v>
      </c>
    </row>
    <row r="17" spans="1:7" ht="15" customHeight="1" x14ac:dyDescent="0.2">
      <c r="A17" s="7" t="s">
        <v>66</v>
      </c>
      <c r="B17" s="43">
        <f>Data_Collection!B12</f>
        <v>623309</v>
      </c>
      <c r="C17" s="43">
        <f>Data_Collection!C12</f>
        <v>1317879</v>
      </c>
      <c r="D17" s="43">
        <f>Data_Collection!D12</f>
        <v>943562</v>
      </c>
      <c r="E17" s="43">
        <f>Data_Collection!E12</f>
        <v>384023</v>
      </c>
    </row>
    <row r="18" spans="1:7" ht="15" customHeight="1" x14ac:dyDescent="0.2">
      <c r="A18" s="10" t="s">
        <v>249</v>
      </c>
      <c r="B18" s="44">
        <f>B16+B17</f>
        <v>3707792</v>
      </c>
      <c r="C18" s="44">
        <f>C16+C17</f>
        <v>4415920</v>
      </c>
      <c r="D18" s="44">
        <f>D16+D17</f>
        <v>4357864</v>
      </c>
      <c r="E18" s="44">
        <f>E16+E17</f>
        <v>1211055</v>
      </c>
      <c r="G18" s="45"/>
    </row>
    <row r="19" spans="1:7" ht="15" customHeight="1" x14ac:dyDescent="0.2">
      <c r="A19" s="7" t="s">
        <v>67</v>
      </c>
      <c r="B19" s="43">
        <f>Data_Collection!B13</f>
        <v>307227</v>
      </c>
      <c r="C19" s="43">
        <f>Data_Collection!C13</f>
        <v>353623</v>
      </c>
      <c r="D19" s="43">
        <f>Data_Collection!D13</f>
        <v>402531</v>
      </c>
      <c r="E19" s="43">
        <f>Data_Collection!E13</f>
        <v>93296</v>
      </c>
    </row>
    <row r="20" spans="1:7" ht="15" customHeight="1" x14ac:dyDescent="0.2">
      <c r="A20" s="7" t="s">
        <v>68</v>
      </c>
      <c r="B20" s="43">
        <f>Data_Collection!B14</f>
        <v>-641332</v>
      </c>
      <c r="C20" s="43">
        <f>Data_Collection!C14</f>
        <v>-863932</v>
      </c>
      <c r="D20" s="43">
        <f>Data_Collection!D14</f>
        <v>-1002344</v>
      </c>
      <c r="E20" s="43">
        <f>Data_Collection!E14</f>
        <v>-254286</v>
      </c>
    </row>
    <row r="21" spans="1:7" ht="15" customHeight="1" x14ac:dyDescent="0.2">
      <c r="A21" s="7" t="s">
        <v>69</v>
      </c>
      <c r="B21" s="43">
        <f>Data_Collection!B15</f>
        <v>-243609</v>
      </c>
      <c r="C21" s="43">
        <f>Data_Collection!C15</f>
        <v>-301042</v>
      </c>
      <c r="D21" s="43">
        <f>Data_Collection!D15</f>
        <v>-588548</v>
      </c>
      <c r="E21" s="43">
        <f>Data_Collection!E15</f>
        <v>-118269</v>
      </c>
    </row>
    <row r="22" spans="1:7" ht="15" customHeight="1" x14ac:dyDescent="0.2">
      <c r="A22" s="7" t="s">
        <v>70</v>
      </c>
      <c r="B22" s="43">
        <f>Data_Collection!B16</f>
        <v>87221</v>
      </c>
      <c r="C22" s="43">
        <f>Data_Collection!C16</f>
        <v>208731</v>
      </c>
      <c r="D22" s="43">
        <f>Data_Collection!D16</f>
        <v>14763</v>
      </c>
      <c r="E22" s="43">
        <f>Data_Collection!E16</f>
        <v>44611</v>
      </c>
    </row>
    <row r="23" spans="1:7" ht="15" customHeight="1" x14ac:dyDescent="0.2">
      <c r="A23" s="7" t="s">
        <v>71</v>
      </c>
      <c r="B23" s="43">
        <f>Data_Collection!B17</f>
        <v>3275</v>
      </c>
      <c r="C23" s="43">
        <f>Data_Collection!C17</f>
        <v>536</v>
      </c>
      <c r="D23" s="43">
        <f>Data_Collection!D17</f>
        <v>-3498</v>
      </c>
      <c r="E23" s="43">
        <f>Data_Collection!E17</f>
        <v>-1890</v>
      </c>
    </row>
    <row r="24" spans="1:7" ht="15" customHeight="1" x14ac:dyDescent="0.2">
      <c r="A24" s="10" t="s">
        <v>250</v>
      </c>
      <c r="B24" s="44">
        <f>B18+SUM(B19:B20)+SUM(B22:B23)</f>
        <v>3464183</v>
      </c>
      <c r="C24" s="44">
        <f>C18+SUM(C19:C20)+SUM(C22:C23)</f>
        <v>4114878</v>
      </c>
      <c r="D24" s="44">
        <f>D18+SUM(D19:D20)+SUM(D22:D23)</f>
        <v>3769316</v>
      </c>
      <c r="E24" s="44">
        <f>E18+SUM(E19:E20)+SUM(E22:E23)</f>
        <v>1092786</v>
      </c>
    </row>
    <row r="25" spans="1:7" ht="15" customHeight="1" x14ac:dyDescent="0.2">
      <c r="A25" s="7" t="s">
        <v>72</v>
      </c>
      <c r="B25" s="43">
        <f>-Data_Collection!B18</f>
        <v>-211038</v>
      </c>
      <c r="C25" s="43">
        <f>-Data_Collection!C18</f>
        <v>-166943</v>
      </c>
      <c r="D25" s="43">
        <f>-Data_Collection!D18</f>
        <v>-204017</v>
      </c>
      <c r="E25" s="43">
        <f>-Data_Collection!E18</f>
        <v>-47971</v>
      </c>
    </row>
    <row r="26" spans="1:7" ht="15" customHeight="1" x14ac:dyDescent="0.2">
      <c r="A26" s="10" t="s">
        <v>95</v>
      </c>
      <c r="B26" s="44">
        <f>B24+B25</f>
        <v>3253145</v>
      </c>
      <c r="C26" s="44">
        <f>C24+C25</f>
        <v>3947935</v>
      </c>
      <c r="D26" s="44">
        <f>D24+D25</f>
        <v>3565299</v>
      </c>
      <c r="E26" s="44">
        <f>E24+E25</f>
        <v>1044815</v>
      </c>
    </row>
    <row r="27" spans="1:7" ht="15" customHeight="1" x14ac:dyDescent="0.2">
      <c r="A27" s="7" t="s">
        <v>251</v>
      </c>
      <c r="B27" s="43">
        <f>-Data_Collection!B19</f>
        <v>-193931</v>
      </c>
      <c r="C27" s="43">
        <f>-Data_Collection!C19</f>
        <v>-216300</v>
      </c>
      <c r="D27" s="43">
        <f>-Data_Collection!D19</f>
        <v>-237068</v>
      </c>
      <c r="E27" s="43">
        <f>-Data_Collection!E19</f>
        <v>-39978</v>
      </c>
    </row>
    <row r="28" spans="1:7" ht="15" customHeight="1" x14ac:dyDescent="0.2">
      <c r="A28" s="7" t="s">
        <v>252</v>
      </c>
      <c r="B28" s="43">
        <f>-Data_Collection!B20</f>
        <v>-5841</v>
      </c>
      <c r="C28" s="43">
        <f>-Data_Collection!C20</f>
        <v>-5881</v>
      </c>
      <c r="D28" s="43">
        <f>-Data_Collection!D20</f>
        <v>-5882</v>
      </c>
      <c r="E28" s="43">
        <f>-Data_Collection!E20</f>
        <v>-1500</v>
      </c>
    </row>
    <row r="29" spans="1:7" ht="15" customHeight="1" x14ac:dyDescent="0.2">
      <c r="A29" s="10" t="s">
        <v>75</v>
      </c>
      <c r="B29" s="44">
        <f>B26+B27+B28</f>
        <v>3053373</v>
      </c>
      <c r="C29" s="44">
        <f>C26+C27+C28</f>
        <v>3725754</v>
      </c>
      <c r="D29" s="44">
        <f>D26+D27+D28</f>
        <v>3322349</v>
      </c>
      <c r="E29" s="44">
        <f>E26+E27+E28</f>
        <v>1003337</v>
      </c>
    </row>
    <row r="31" spans="1:7" ht="15" customHeight="1" x14ac:dyDescent="0.2">
      <c r="A31" s="7" t="s">
        <v>253</v>
      </c>
      <c r="B31" s="44">
        <f>B6+B10</f>
        <v>5193749</v>
      </c>
      <c r="C31" s="44">
        <f>C6+C10</f>
        <v>5749320</v>
      </c>
      <c r="D31" s="44">
        <f>D6+D10</f>
        <v>6194767</v>
      </c>
      <c r="E31" s="44">
        <f>E6+E10</f>
        <v>1604801</v>
      </c>
    </row>
    <row r="32" spans="1:7" ht="15" customHeight="1" x14ac:dyDescent="0.2">
      <c r="A32" s="7" t="s">
        <v>254</v>
      </c>
      <c r="B32" s="46">
        <f>IF(B6=0,0,B31/B6)</f>
        <v>0.76170961475341792</v>
      </c>
      <c r="C32" s="46">
        <f>IF(C6=0,0,C31/C6)</f>
        <v>0.76507594110480714</v>
      </c>
      <c r="D32" s="46">
        <f>IF(D6=0,0,D31/D6)</f>
        <v>0.75926460220637482</v>
      </c>
      <c r="E32" s="46">
        <f>IF(E6=0,0,E31/E6)</f>
        <v>0.75517061913787875</v>
      </c>
    </row>
    <row r="34" spans="1:6" ht="15" customHeight="1" x14ac:dyDescent="0.2">
      <c r="A34" s="16" t="s">
        <v>255</v>
      </c>
      <c r="B34" s="17"/>
      <c r="C34" s="17"/>
      <c r="D34" s="17"/>
      <c r="E34" s="17"/>
      <c r="F34" s="17"/>
    </row>
    <row r="35" spans="1:6" ht="15" customHeight="1" x14ac:dyDescent="0.2">
      <c r="A35" s="7" t="s">
        <v>256</v>
      </c>
      <c r="B35" s="43">
        <f>Data_Collection!B26</f>
        <v>88666575</v>
      </c>
      <c r="C35" s="43">
        <f>Data_Collection!C26</f>
        <v>91246176</v>
      </c>
      <c r="D35" s="43">
        <f>Data_Collection!D26</f>
        <v>95129356</v>
      </c>
      <c r="E35" s="43">
        <f>Data_Collection!E26</f>
        <v>95241445</v>
      </c>
    </row>
    <row r="36" spans="1:6" ht="15" customHeight="1" x14ac:dyDescent="0.2">
      <c r="A36" s="7" t="s">
        <v>257</v>
      </c>
      <c r="B36" s="43">
        <f>-Data_Collection!B27</f>
        <v>-10931485</v>
      </c>
      <c r="C36" s="43">
        <f>-Data_Collection!C27</f>
        <v>-12758159</v>
      </c>
      <c r="D36" s="43">
        <f>-Data_Collection!D27</f>
        <v>-14729149</v>
      </c>
      <c r="E36" s="43">
        <f>-Data_Collection!E27</f>
        <v>-15298353</v>
      </c>
    </row>
    <row r="37" spans="1:6" ht="15" customHeight="1" x14ac:dyDescent="0.2">
      <c r="A37" s="10" t="s">
        <v>258</v>
      </c>
      <c r="B37" s="44">
        <f>B35+B36</f>
        <v>77735090</v>
      </c>
      <c r="C37" s="44">
        <f>C35+C36</f>
        <v>78488017</v>
      </c>
      <c r="D37" s="44">
        <f>D35+D36</f>
        <v>80400207</v>
      </c>
      <c r="E37" s="44">
        <f>E35+E36</f>
        <v>79943092</v>
      </c>
    </row>
    <row r="38" spans="1:6" ht="15" customHeight="1" x14ac:dyDescent="0.2">
      <c r="A38" s="7" t="s">
        <v>259</v>
      </c>
      <c r="B38" s="43">
        <f>Data_Collection!B28</f>
        <v>9543970</v>
      </c>
      <c r="C38" s="43">
        <f>Data_Collection!C28</f>
        <v>10079448</v>
      </c>
      <c r="D38" s="43">
        <f>Data_Collection!D28</f>
        <v>11093936</v>
      </c>
      <c r="E38" s="43">
        <f>Data_Collection!E28</f>
        <v>11241723</v>
      </c>
    </row>
    <row r="39" spans="1:6" ht="15" customHeight="1" x14ac:dyDescent="0.2">
      <c r="A39" s="7" t="s">
        <v>82</v>
      </c>
      <c r="B39" s="43">
        <f>Data_Collection!B29</f>
        <v>461657</v>
      </c>
      <c r="C39" s="43">
        <f>Data_Collection!C29</f>
        <v>248511</v>
      </c>
      <c r="D39" s="43">
        <f>Data_Collection!D29</f>
        <v>203344</v>
      </c>
      <c r="E39" s="43">
        <f>Data_Collection!E29</f>
        <v>499799</v>
      </c>
    </row>
    <row r="40" spans="1:6" ht="15" customHeight="1" x14ac:dyDescent="0.2">
      <c r="A40" s="10" t="s">
        <v>260</v>
      </c>
      <c r="B40" s="44">
        <f>B37+B38+B39</f>
        <v>87740717</v>
      </c>
      <c r="C40" s="44">
        <f>C37+C38+C39</f>
        <v>88815976</v>
      </c>
      <c r="D40" s="44">
        <f>D37+D38+D39</f>
        <v>91697487</v>
      </c>
      <c r="E40" s="44">
        <f>E37+E38+E39</f>
        <v>91684614</v>
      </c>
    </row>
    <row r="41" spans="1:6" ht="15" customHeight="1" x14ac:dyDescent="0.2">
      <c r="A41" s="7" t="s">
        <v>83</v>
      </c>
      <c r="B41" s="43">
        <f>Data_Collection!B30</f>
        <v>530388</v>
      </c>
      <c r="C41" s="43">
        <f>Data_Collection!C30</f>
        <v>1318591</v>
      </c>
      <c r="D41" s="43">
        <f>Data_Collection!D30</f>
        <v>1145647</v>
      </c>
      <c r="E41" s="43">
        <f>Data_Collection!E30</f>
        <v>861144</v>
      </c>
    </row>
    <row r="42" spans="1:6" ht="15" customHeight="1" x14ac:dyDescent="0.2">
      <c r="A42" s="7" t="s">
        <v>84</v>
      </c>
      <c r="B42" s="43">
        <f>Data_Collection!B31</f>
        <v>4749735</v>
      </c>
      <c r="C42" s="43">
        <f>Data_Collection!C31</f>
        <v>5194342</v>
      </c>
      <c r="D42" s="43">
        <f>Data_Collection!D31</f>
        <v>5881122</v>
      </c>
      <c r="E42" s="43">
        <f>Data_Collection!E31</f>
        <v>5587693</v>
      </c>
    </row>
    <row r="43" spans="1:6" ht="15" customHeight="1" x14ac:dyDescent="0.2">
      <c r="A43" s="10" t="s">
        <v>261</v>
      </c>
      <c r="B43" s="44">
        <f>B40+B41+B42</f>
        <v>93020840</v>
      </c>
      <c r="C43" s="44">
        <f>C40+C41+C42</f>
        <v>95328909</v>
      </c>
      <c r="D43" s="44">
        <f>D40+D41+D42</f>
        <v>98724256</v>
      </c>
      <c r="E43" s="44">
        <f>E40+E41+E42</f>
        <v>98133451</v>
      </c>
    </row>
    <row r="44" spans="1:6" ht="15" customHeight="1" x14ac:dyDescent="0.2">
      <c r="A44" s="7" t="s">
        <v>262</v>
      </c>
      <c r="B44" s="43">
        <f>Data_Collection!B33</f>
        <v>29000501</v>
      </c>
      <c r="C44" s="43">
        <f>Data_Collection!C33</f>
        <v>30879263</v>
      </c>
      <c r="D44" s="43">
        <f>Data_Collection!D33</f>
        <v>35037073</v>
      </c>
      <c r="E44" s="43">
        <f>Data_Collection!E33</f>
        <v>34669592</v>
      </c>
    </row>
    <row r="45" spans="1:6" ht="15" customHeight="1" x14ac:dyDescent="0.2">
      <c r="A45" s="7" t="s">
        <v>263</v>
      </c>
      <c r="B45" s="43">
        <f>Data_Collection!B34</f>
        <v>1766018</v>
      </c>
      <c r="C45" s="43">
        <f>Data_Collection!C34</f>
        <v>1769327</v>
      </c>
      <c r="D45" s="43">
        <f>Data_Collection!D34</f>
        <v>1963645</v>
      </c>
      <c r="E45" s="43">
        <f>Data_Collection!E34</f>
        <v>1681047</v>
      </c>
    </row>
    <row r="46" spans="1:6" ht="15" customHeight="1" x14ac:dyDescent="0.2">
      <c r="A46" s="7" t="s">
        <v>88</v>
      </c>
      <c r="B46" s="43">
        <f>Data_Collection!B35</f>
        <v>4430601</v>
      </c>
      <c r="C46" s="43">
        <f>Data_Collection!C35</f>
        <v>4063549</v>
      </c>
      <c r="D46" s="43">
        <f>Data_Collection!D35</f>
        <v>3969530</v>
      </c>
      <c r="E46" s="43">
        <f>Data_Collection!E35</f>
        <v>3834320</v>
      </c>
    </row>
    <row r="47" spans="1:6" ht="15" customHeight="1" x14ac:dyDescent="0.2">
      <c r="A47" s="10" t="s">
        <v>264</v>
      </c>
      <c r="B47" s="44">
        <f>SUM(B44:B46)</f>
        <v>35197120</v>
      </c>
      <c r="C47" s="44">
        <f>SUM(C44:C46)</f>
        <v>36712139</v>
      </c>
      <c r="D47" s="44">
        <f>SUM(D44:D46)</f>
        <v>40970248</v>
      </c>
      <c r="E47" s="44">
        <f>SUM(E44:E46)</f>
        <v>40184959</v>
      </c>
    </row>
    <row r="48" spans="1:6" ht="15" customHeight="1" x14ac:dyDescent="0.2">
      <c r="A48" s="7" t="s">
        <v>90</v>
      </c>
      <c r="B48" s="43">
        <f>Data_Collection!B37</f>
        <v>63948</v>
      </c>
      <c r="C48" s="43">
        <f>Data_Collection!C37</f>
        <v>63948</v>
      </c>
      <c r="D48" s="43">
        <f>Data_Collection!D37</f>
        <v>63948</v>
      </c>
      <c r="E48" s="43">
        <f>Data_Collection!E37</f>
        <v>63948</v>
      </c>
    </row>
    <row r="49" spans="1:6" ht="15" customHeight="1" x14ac:dyDescent="0.2">
      <c r="A49" s="7" t="s">
        <v>265</v>
      </c>
      <c r="B49" s="43">
        <f>Data_Collection!B38</f>
        <v>53181724</v>
      </c>
      <c r="C49" s="43">
        <f>Data_Collection!C38</f>
        <v>53951138</v>
      </c>
      <c r="D49" s="43">
        <f>Data_Collection!D38</f>
        <v>53193178</v>
      </c>
      <c r="E49" s="43">
        <f>Data_Collection!E38</f>
        <v>53503401</v>
      </c>
    </row>
    <row r="50" spans="1:6" ht="15" customHeight="1" x14ac:dyDescent="0.2">
      <c r="A50" s="7" t="s">
        <v>92</v>
      </c>
      <c r="B50" s="43">
        <f>Data_Collection!B39</f>
        <v>4641996</v>
      </c>
      <c r="C50" s="43">
        <f>Data_Collection!C39</f>
        <v>4665632</v>
      </c>
      <c r="D50" s="43">
        <f>Data_Collection!D39</f>
        <v>4560830</v>
      </c>
      <c r="E50" s="43">
        <f>Data_Collection!E39</f>
        <v>4445091</v>
      </c>
    </row>
    <row r="51" spans="1:6" ht="15" customHeight="1" x14ac:dyDescent="0.2">
      <c r="A51" s="10" t="s">
        <v>266</v>
      </c>
      <c r="B51" s="44">
        <f>B49+B50</f>
        <v>57823720</v>
      </c>
      <c r="C51" s="44">
        <f>C49+C50</f>
        <v>58616770</v>
      </c>
      <c r="D51" s="44">
        <f>D49+D50</f>
        <v>57754008</v>
      </c>
      <c r="E51" s="44">
        <f>E49+E50</f>
        <v>57948492</v>
      </c>
    </row>
    <row r="52" spans="1:6" ht="15" customHeight="1" x14ac:dyDescent="0.2">
      <c r="A52" s="7" t="s">
        <v>267</v>
      </c>
      <c r="B52" s="47">
        <f>B43-(B47+B51)</f>
        <v>0</v>
      </c>
      <c r="C52" s="47">
        <f>C43-(C47+C51)</f>
        <v>0</v>
      </c>
      <c r="D52" s="47">
        <f>D43-(D47+D51)</f>
        <v>0</v>
      </c>
      <c r="E52" s="47">
        <f>E43-(E47+E51)</f>
        <v>0</v>
      </c>
    </row>
    <row r="54" spans="1:6" ht="15" customHeight="1" x14ac:dyDescent="0.2">
      <c r="A54" s="16" t="s">
        <v>268</v>
      </c>
      <c r="B54" s="17"/>
      <c r="C54" s="17"/>
      <c r="D54" s="17"/>
      <c r="E54" s="17"/>
      <c r="F54" s="17"/>
    </row>
    <row r="55" spans="1:6" ht="15" customHeight="1" x14ac:dyDescent="0.2">
      <c r="A55" s="7" t="s">
        <v>95</v>
      </c>
      <c r="B55" s="43">
        <f>Data_Collection!B43</f>
        <v>3253145</v>
      </c>
      <c r="C55" s="43">
        <f>Data_Collection!C43</f>
        <v>3947935</v>
      </c>
      <c r="D55" s="43">
        <f>Data_Collection!D43</f>
        <v>3565299</v>
      </c>
      <c r="E55" s="43">
        <f>Data_Collection!E43</f>
        <v>1044815</v>
      </c>
    </row>
    <row r="56" spans="1:6" ht="15" customHeight="1" x14ac:dyDescent="0.2">
      <c r="A56" s="7" t="s">
        <v>64</v>
      </c>
      <c r="B56" s="43">
        <f>Data_Collection!B44</f>
        <v>2484891</v>
      </c>
      <c r="C56" s="43">
        <f>Data_Collection!C44</f>
        <v>2580519</v>
      </c>
      <c r="D56" s="43">
        <f>Data_Collection!D44</f>
        <v>2626028</v>
      </c>
      <c r="E56" s="43">
        <f>Data_Collection!E44</f>
        <v>731506</v>
      </c>
    </row>
    <row r="57" spans="1:6" ht="15" customHeight="1" x14ac:dyDescent="0.2">
      <c r="A57" s="7" t="s">
        <v>269</v>
      </c>
      <c r="B57" s="43">
        <f>Data_Collection!B45</f>
        <v>-613005</v>
      </c>
      <c r="C57" s="43">
        <f>Data_Collection!C45</f>
        <v>-644606</v>
      </c>
      <c r="D57" s="43">
        <f>Data_Collection!D45</f>
        <v>-691090</v>
      </c>
      <c r="E57" s="43">
        <f>Data_Collection!E45</f>
        <v>-165749</v>
      </c>
    </row>
    <row r="58" spans="1:6" ht="15" customHeight="1" x14ac:dyDescent="0.2">
      <c r="A58" s="7" t="s">
        <v>98</v>
      </c>
      <c r="B58" s="43">
        <f>Data_Collection!B46</f>
        <v>267648</v>
      </c>
      <c r="C58" s="43">
        <f>Data_Collection!C46</f>
        <v>231747</v>
      </c>
      <c r="D58" s="43">
        <f>Data_Collection!D46</f>
        <v>185466</v>
      </c>
      <c r="E58" s="43">
        <f>Data_Collection!E46</f>
        <v>60632</v>
      </c>
    </row>
    <row r="59" spans="1:6" ht="15" customHeight="1" x14ac:dyDescent="0.2">
      <c r="A59" s="7" t="s">
        <v>99</v>
      </c>
      <c r="B59" s="43">
        <f>Data_Collection!B47</f>
        <v>398440</v>
      </c>
      <c r="C59" s="43">
        <f>Data_Collection!C47</f>
        <v>796614</v>
      </c>
      <c r="D59" s="43">
        <f>Data_Collection!D47</f>
        <v>131730</v>
      </c>
      <c r="E59" s="43">
        <f>Data_Collection!E47</f>
        <v>253373</v>
      </c>
    </row>
    <row r="60" spans="1:6" ht="15" customHeight="1" x14ac:dyDescent="0.2">
      <c r="A60" s="10" t="s">
        <v>270</v>
      </c>
      <c r="B60" s="43">
        <f>Data_Collection!B48</f>
        <v>5373058</v>
      </c>
      <c r="C60" s="43">
        <f>Data_Collection!C48</f>
        <v>4912209</v>
      </c>
      <c r="D60" s="43">
        <f>Data_Collection!D48</f>
        <v>5008434</v>
      </c>
      <c r="E60" s="43">
        <f>Data_Collection!E48</f>
        <v>1288136</v>
      </c>
    </row>
    <row r="61" spans="1:6" ht="15" customHeight="1" x14ac:dyDescent="0.2">
      <c r="A61" s="7" t="s">
        <v>271</v>
      </c>
      <c r="B61" s="43">
        <f>Data_Collection!B49</f>
        <v>-4092956</v>
      </c>
      <c r="C61" s="43">
        <f>Data_Collection!C49</f>
        <v>-4092639</v>
      </c>
      <c r="D61" s="43">
        <f>Data_Collection!D49</f>
        <v>-3678815</v>
      </c>
      <c r="E61" s="43">
        <f>Data_Collection!E49</f>
        <v>-914336</v>
      </c>
    </row>
    <row r="62" spans="1:6" ht="15" customHeight="1" x14ac:dyDescent="0.2">
      <c r="A62" s="7" t="s">
        <v>272</v>
      </c>
      <c r="B62" s="43">
        <f>Data_Collection!B50</f>
        <v>-4195714</v>
      </c>
      <c r="C62" s="43">
        <f>Data_Collection!C50</f>
        <v>-2327605</v>
      </c>
      <c r="D62" s="43">
        <f>Data_Collection!D50</f>
        <v>-1800527</v>
      </c>
      <c r="E62" s="43">
        <f>Data_Collection!E50</f>
        <v>-223053</v>
      </c>
    </row>
    <row r="63" spans="1:6" ht="15" customHeight="1" x14ac:dyDescent="0.2">
      <c r="A63" s="7" t="s">
        <v>103</v>
      </c>
      <c r="B63" s="43">
        <f>Data_Collection!B51</f>
        <v>1764322</v>
      </c>
      <c r="C63" s="43">
        <f>Data_Collection!C51</f>
        <v>3790388</v>
      </c>
      <c r="D63" s="43">
        <f>Data_Collection!D51</f>
        <v>2246186</v>
      </c>
      <c r="E63" s="43">
        <f>Data_Collection!E51</f>
        <v>624036</v>
      </c>
    </row>
    <row r="64" spans="1:6" ht="15" customHeight="1" x14ac:dyDescent="0.2">
      <c r="A64" s="7" t="s">
        <v>104</v>
      </c>
      <c r="B64" s="43">
        <f>Data_Collection!B52</f>
        <v>104951</v>
      </c>
      <c r="C64" s="43">
        <f>Data_Collection!C52</f>
        <v>-469201</v>
      </c>
      <c r="D64" s="43">
        <f>Data_Collection!D52</f>
        <v>-397291</v>
      </c>
      <c r="E64" s="43">
        <f>Data_Collection!E52</f>
        <v>112868</v>
      </c>
    </row>
    <row r="65" spans="1:5" ht="15" customHeight="1" x14ac:dyDescent="0.2">
      <c r="A65" s="10" t="s">
        <v>273</v>
      </c>
      <c r="B65" s="44">
        <f>SUM(B61:B64)</f>
        <v>-6419397</v>
      </c>
      <c r="C65" s="44">
        <f>SUM(C61:C64)</f>
        <v>-3099057</v>
      </c>
      <c r="D65" s="44">
        <f>SUM(D61:D64)</f>
        <v>-3630447</v>
      </c>
      <c r="E65" s="44">
        <f>SUM(E61:E64)</f>
        <v>-400485</v>
      </c>
    </row>
    <row r="66" spans="1:5" ht="15" customHeight="1" x14ac:dyDescent="0.2">
      <c r="A66" s="7" t="s">
        <v>105</v>
      </c>
      <c r="B66" s="43">
        <f>Data_Collection!B53</f>
        <v>5755096</v>
      </c>
      <c r="C66" s="43">
        <f>Data_Collection!C53</f>
        <v>4505830</v>
      </c>
      <c r="D66" s="43">
        <f>Data_Collection!D53</f>
        <v>3460904</v>
      </c>
      <c r="E66" s="43">
        <f>Data_Collection!E53</f>
        <v>161620</v>
      </c>
    </row>
    <row r="67" spans="1:5" ht="15" customHeight="1" x14ac:dyDescent="0.2">
      <c r="A67" s="7" t="s">
        <v>106</v>
      </c>
      <c r="B67" s="43">
        <f>Data_Collection!B54</f>
        <v>-272203</v>
      </c>
      <c r="C67" s="43">
        <f>Data_Collection!C54</f>
        <v>-919481</v>
      </c>
      <c r="D67" s="43">
        <f>Data_Collection!D54</f>
        <v>-701861</v>
      </c>
      <c r="E67" s="43">
        <f>Data_Collection!E54</f>
        <v>-686276</v>
      </c>
    </row>
    <row r="68" spans="1:5" ht="15" customHeight="1" x14ac:dyDescent="0.2">
      <c r="A68" s="7" t="s">
        <v>274</v>
      </c>
      <c r="B68" s="43">
        <f>Data_Collection!B55</f>
        <v>-3228589</v>
      </c>
      <c r="C68" s="43">
        <f>Data_Collection!C55</f>
        <v>-3570480</v>
      </c>
      <c r="D68" s="43">
        <f>Data_Collection!D55</f>
        <v>-3764745</v>
      </c>
      <c r="E68" s="43">
        <f>Data_Collection!E55</f>
        <v>-1026181</v>
      </c>
    </row>
    <row r="69" spans="1:5" ht="15" customHeight="1" x14ac:dyDescent="0.2">
      <c r="A69" s="7" t="s">
        <v>275</v>
      </c>
      <c r="B69" s="43">
        <f>Data_Collection!B56</f>
        <v>-153003</v>
      </c>
      <c r="C69" s="43">
        <f>Data_Collection!C56</f>
        <v>-63142</v>
      </c>
      <c r="D69" s="43">
        <f>Data_Collection!D56</f>
        <v>-97598</v>
      </c>
      <c r="E69" s="43">
        <f>Data_Collection!E56</f>
        <v>-83556</v>
      </c>
    </row>
    <row r="70" spans="1:5" ht="15" customHeight="1" x14ac:dyDescent="0.2">
      <c r="A70" s="7" t="s">
        <v>109</v>
      </c>
      <c r="B70" s="43">
        <f>Data_Collection!B57</f>
        <v>-213943</v>
      </c>
      <c r="C70" s="43">
        <f>Data_Collection!C57</f>
        <v>-222607</v>
      </c>
      <c r="D70" s="43">
        <f>Data_Collection!D57</f>
        <v>-256402</v>
      </c>
      <c r="E70" s="43">
        <f>Data_Collection!E57</f>
        <v>-41796</v>
      </c>
    </row>
    <row r="71" spans="1:5" ht="15" customHeight="1" x14ac:dyDescent="0.2">
      <c r="A71" s="7" t="s">
        <v>110</v>
      </c>
      <c r="B71" s="43">
        <f>Data_Collection!B58</f>
        <v>-567076</v>
      </c>
      <c r="C71" s="43">
        <f>Data_Collection!C58</f>
        <v>-730077</v>
      </c>
      <c r="D71" s="43">
        <f>Data_Collection!D58</f>
        <v>-203917</v>
      </c>
      <c r="E71" s="43">
        <f>Data_Collection!E58</f>
        <v>517779</v>
      </c>
    </row>
    <row r="72" spans="1:5" ht="15" customHeight="1" x14ac:dyDescent="0.2">
      <c r="A72" s="10" t="s">
        <v>276</v>
      </c>
      <c r="B72" s="44">
        <f>SUM(B66:B71)</f>
        <v>1320282</v>
      </c>
      <c r="C72" s="44">
        <f>SUM(C66:C71)</f>
        <v>-999957</v>
      </c>
      <c r="D72" s="44">
        <f>SUM(D66:D71)</f>
        <v>-1563619</v>
      </c>
      <c r="E72" s="44">
        <f>SUM(E66:E71)</f>
        <v>-1158410</v>
      </c>
    </row>
    <row r="73" spans="1:5" ht="15" customHeight="1" x14ac:dyDescent="0.2">
      <c r="A73" s="7" t="s">
        <v>111</v>
      </c>
      <c r="B73" s="43">
        <f>Data_Collection!B59</f>
        <v>-22038</v>
      </c>
      <c r="C73" s="43">
        <f>Data_Collection!C59</f>
        <v>-24992</v>
      </c>
      <c r="D73" s="43">
        <f>Data_Collection!D59</f>
        <v>12688</v>
      </c>
      <c r="E73" s="43">
        <f>Data_Collection!E59</f>
        <v>-13744</v>
      </c>
    </row>
    <row r="74" spans="1:5" ht="15" customHeight="1" x14ac:dyDescent="0.2">
      <c r="A74" s="10" t="s">
        <v>112</v>
      </c>
      <c r="B74" s="44">
        <f>B60+B65+B72+B73</f>
        <v>251905</v>
      </c>
      <c r="C74" s="44">
        <f>C60+C65+C72+C73</f>
        <v>788203</v>
      </c>
      <c r="D74" s="44">
        <f>D60+D65+D72+D73</f>
        <v>-172944</v>
      </c>
      <c r="E74" s="44">
        <f>E60+E65+E72+E73</f>
        <v>-284503</v>
      </c>
    </row>
    <row r="75" spans="1:5" ht="15" customHeight="1" x14ac:dyDescent="0.2">
      <c r="A75" s="7" t="s">
        <v>277</v>
      </c>
      <c r="B75" s="47">
        <f>B74-Data_Collection!B60</f>
        <v>0</v>
      </c>
      <c r="C75" s="47">
        <f>C74-Data_Collection!C60</f>
        <v>0</v>
      </c>
      <c r="D75" s="47">
        <f>D74-Data_Collection!D60</f>
        <v>0</v>
      </c>
      <c r="E75" s="47">
        <f>E74-Data_Collection!E60</f>
        <v>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7"/>
  <sheetViews>
    <sheetView showGridLines="0" zoomScaleNormal="100" workbookViewId="0">
      <pane xSplit="1" ySplit="3" topLeftCell="B4" activePane="bottomRight" state="frozen"/>
      <selection pane="topRight" activeCell="B1" sqref="B1"/>
      <selection pane="bottomLeft" activeCell="A4" sqref="A4"/>
      <selection pane="bottomRight" activeCell="I30" sqref="I30"/>
    </sheetView>
  </sheetViews>
  <sheetFormatPr baseColWidth="10" defaultColWidth="8.6640625" defaultRowHeight="15" x14ac:dyDescent="0.2"/>
  <cols>
    <col min="1" max="1" width="48" customWidth="1"/>
    <col min="2" max="5" width="12" customWidth="1"/>
    <col min="6" max="6" width="4" customWidth="1"/>
  </cols>
  <sheetData>
    <row r="1" spans="1:6" ht="17.25" customHeight="1" x14ac:dyDescent="0.2">
      <c r="A1" s="4" t="s">
        <v>278</v>
      </c>
    </row>
    <row r="3" spans="1:6" ht="15" customHeight="1" x14ac:dyDescent="0.2">
      <c r="A3" s="6" t="s">
        <v>279</v>
      </c>
      <c r="B3" s="14" t="s">
        <v>49</v>
      </c>
      <c r="C3" s="14" t="s">
        <v>50</v>
      </c>
      <c r="D3" s="14" t="s">
        <v>51</v>
      </c>
      <c r="E3" s="14" t="s">
        <v>52</v>
      </c>
    </row>
    <row r="4" spans="1:6" ht="15" customHeight="1" x14ac:dyDescent="0.2">
      <c r="A4" s="16" t="s">
        <v>280</v>
      </c>
      <c r="B4" s="48"/>
      <c r="C4" s="48"/>
      <c r="D4" s="48"/>
      <c r="E4" s="48"/>
      <c r="F4" s="7"/>
    </row>
    <row r="5" spans="1:6" ht="15" customHeight="1" x14ac:dyDescent="0.2">
      <c r="A5" s="7" t="s">
        <v>75</v>
      </c>
      <c r="B5" s="43">
        <f>Data_Collection!B168</f>
        <v>3053373</v>
      </c>
      <c r="C5" s="43">
        <f>Data_Collection!C168</f>
        <v>3725754</v>
      </c>
      <c r="D5" s="43">
        <f>Data_Collection!D168</f>
        <v>3322349</v>
      </c>
      <c r="E5" s="43">
        <f>Data_Collection!E168</f>
        <v>980476</v>
      </c>
      <c r="F5" s="7"/>
    </row>
    <row r="6" spans="1:6" ht="15" customHeight="1" x14ac:dyDescent="0.2">
      <c r="A6" s="7" t="s">
        <v>281</v>
      </c>
      <c r="B6" s="43">
        <f>Data_Collection!B169</f>
        <v>2433610</v>
      </c>
      <c r="C6" s="43">
        <f>Data_Collection!C169</f>
        <v>2504001</v>
      </c>
      <c r="D6" s="43">
        <f>Data_Collection!D169</f>
        <v>2538805</v>
      </c>
      <c r="E6" s="43">
        <f>Data_Collection!E169</f>
        <v>705550</v>
      </c>
      <c r="F6" s="7"/>
    </row>
    <row r="7" spans="1:6" ht="15" customHeight="1" x14ac:dyDescent="0.2">
      <c r="A7" s="7" t="s">
        <v>282</v>
      </c>
      <c r="B7" s="43">
        <f>Data_Collection!B170</f>
        <v>-157940</v>
      </c>
      <c r="C7" s="43">
        <f>Data_Collection!C170</f>
        <v>-899270</v>
      </c>
      <c r="D7" s="43">
        <f>Data_Collection!D170</f>
        <v>-684854</v>
      </c>
      <c r="E7" s="43">
        <f>Data_Collection!E170</f>
        <v>-91040</v>
      </c>
      <c r="F7" s="7"/>
    </row>
    <row r="8" spans="1:6" ht="15" customHeight="1" x14ac:dyDescent="0.2">
      <c r="A8" s="7" t="s">
        <v>283</v>
      </c>
      <c r="B8" s="43">
        <f>Data_Collection!B171</f>
        <v>-38246</v>
      </c>
      <c r="C8" s="43">
        <f>Data_Collection!C171</f>
        <v>-31334</v>
      </c>
      <c r="D8" s="43">
        <f>Data_Collection!D171</f>
        <v>-47819</v>
      </c>
      <c r="E8" s="43">
        <f>Data_Collection!E171</f>
        <v>-10737</v>
      </c>
      <c r="F8" s="7"/>
    </row>
    <row r="9" spans="1:6" ht="15" customHeight="1" x14ac:dyDescent="0.2">
      <c r="A9" s="7" t="s">
        <v>284</v>
      </c>
      <c r="B9" s="43">
        <f>Data_Collection!B172</f>
        <v>455355</v>
      </c>
      <c r="C9" s="43">
        <f>Data_Collection!C172</f>
        <v>495448</v>
      </c>
      <c r="D9" s="43">
        <f>Data_Collection!D172</f>
        <v>551044</v>
      </c>
      <c r="E9" s="43">
        <f>Data_Collection!E172</f>
        <v>151155</v>
      </c>
      <c r="F9" s="7"/>
    </row>
    <row r="10" spans="1:6" ht="15" customHeight="1" x14ac:dyDescent="0.2">
      <c r="A10" s="10" t="s">
        <v>280</v>
      </c>
      <c r="B10" s="44">
        <f>SUM(B5:B9)</f>
        <v>5746152</v>
      </c>
      <c r="C10" s="44">
        <f>SUM(C5:C9)</f>
        <v>5794599</v>
      </c>
      <c r="D10" s="44">
        <f>SUM(D5:D9)</f>
        <v>5679525</v>
      </c>
      <c r="E10" s="44">
        <f>SUM(E5:E9)</f>
        <v>1735404</v>
      </c>
      <c r="F10" s="7"/>
    </row>
    <row r="11" spans="1:6" ht="15" customHeight="1" x14ac:dyDescent="0.2">
      <c r="A11" s="7" t="s">
        <v>285</v>
      </c>
      <c r="B11" s="49" t="str">
        <f>IF(Data_Collection!B63="","n/a",IF(ABS(B10-Data_Collection!B63)&lt;1,"OK","ERROR"))</f>
        <v>OK</v>
      </c>
      <c r="C11" s="49" t="str">
        <f>IF(Data_Collection!C63="","n/a",IF(ABS(C10-Data_Collection!C63)&lt;1,"OK","ERROR"))</f>
        <v>OK</v>
      </c>
      <c r="D11" s="49" t="str">
        <f>IF(Data_Collection!D63="","n/a",IF(ABS(D10-Data_Collection!D63)&lt;1,"OK","ERROR"))</f>
        <v>OK</v>
      </c>
      <c r="E11" s="49" t="str">
        <f>IF(Data_Collection!E63="","n/a",IF(ABS(E10-Data_Collection!E63)&lt;1,"OK","ERROR"))</f>
        <v>OK</v>
      </c>
      <c r="F11" s="7"/>
    </row>
    <row r="12" spans="1:6" ht="15" customHeight="1" x14ac:dyDescent="0.2">
      <c r="A12" s="7"/>
      <c r="B12" s="50"/>
      <c r="C12" s="50"/>
      <c r="D12" s="50"/>
      <c r="E12" s="50"/>
      <c r="F12" s="7"/>
    </row>
    <row r="13" spans="1:6" ht="15" customHeight="1" x14ac:dyDescent="0.2">
      <c r="A13" s="16" t="s">
        <v>286</v>
      </c>
      <c r="B13" s="48"/>
      <c r="C13" s="48"/>
      <c r="D13" s="48"/>
      <c r="E13" s="48"/>
      <c r="F13" s="7"/>
    </row>
    <row r="14" spans="1:6" ht="15" customHeight="1" x14ac:dyDescent="0.2">
      <c r="A14" s="7" t="s">
        <v>287</v>
      </c>
      <c r="B14" s="51">
        <f>B10</f>
        <v>5746152</v>
      </c>
      <c r="C14" s="51">
        <f>C10</f>
        <v>5794599</v>
      </c>
      <c r="D14" s="51">
        <f>D10</f>
        <v>5679525</v>
      </c>
      <c r="E14" s="51">
        <f>E10</f>
        <v>1735404</v>
      </c>
      <c r="F14" s="7"/>
    </row>
    <row r="15" spans="1:6" ht="15" customHeight="1" x14ac:dyDescent="0.2">
      <c r="A15" s="7" t="s">
        <v>288</v>
      </c>
      <c r="B15" s="43">
        <f>Data_Collection!B173</f>
        <v>17619</v>
      </c>
      <c r="C15" s="43">
        <f>Data_Collection!C173</f>
        <v>-68095</v>
      </c>
      <c r="D15" s="43">
        <f>Data_Collection!D173</f>
        <v>125247</v>
      </c>
      <c r="E15" s="43">
        <f>Data_Collection!E173</f>
        <v>-14269</v>
      </c>
      <c r="F15" s="7"/>
    </row>
    <row r="16" spans="1:6" ht="15" customHeight="1" x14ac:dyDescent="0.2">
      <c r="A16" s="7" t="s">
        <v>289</v>
      </c>
      <c r="B16" s="43">
        <f>Data_Collection!B174</f>
        <v>6705</v>
      </c>
      <c r="C16" s="43">
        <f>Data_Collection!C174</f>
        <v>21161</v>
      </c>
      <c r="D16" s="43">
        <f>Data_Collection!D174</f>
        <v>4309</v>
      </c>
      <c r="E16" s="43">
        <f>Data_Collection!E174</f>
        <v>190</v>
      </c>
      <c r="F16" s="7"/>
    </row>
    <row r="17" spans="1:10" ht="15" customHeight="1" x14ac:dyDescent="0.2">
      <c r="A17" s="7" t="s">
        <v>290</v>
      </c>
      <c r="B17" s="43">
        <f>Data_Collection!B175</f>
        <v>403</v>
      </c>
      <c r="C17" s="43">
        <f>Data_Collection!C175</f>
        <v>0</v>
      </c>
      <c r="D17" s="43">
        <f>Data_Collection!D175</f>
        <v>-728</v>
      </c>
      <c r="E17" s="43">
        <f>Data_Collection!E175</f>
        <v>712</v>
      </c>
      <c r="F17" s="7"/>
    </row>
    <row r="18" spans="1:10" ht="15" customHeight="1" x14ac:dyDescent="0.2">
      <c r="A18" s="7" t="s">
        <v>291</v>
      </c>
      <c r="B18" s="43">
        <f>Data_Collection!B176</f>
        <v>-11224</v>
      </c>
      <c r="C18" s="43">
        <f>Data_Collection!C176</f>
        <v>-7038</v>
      </c>
      <c r="D18" s="43">
        <f>Data_Collection!D176</f>
        <v>-29094</v>
      </c>
      <c r="E18" s="43">
        <f>Data_Collection!E176</f>
        <v>-725</v>
      </c>
      <c r="F18" s="7"/>
    </row>
    <row r="19" spans="1:10" ht="15" customHeight="1" x14ac:dyDescent="0.2">
      <c r="A19" s="10" t="s">
        <v>286</v>
      </c>
      <c r="B19" s="44">
        <f>SUM(B14:B18)</f>
        <v>5759655</v>
      </c>
      <c r="C19" s="44">
        <f>SUM(C14:C18)</f>
        <v>5740627</v>
      </c>
      <c r="D19" s="44">
        <f>SUM(D14:D18)</f>
        <v>5779259</v>
      </c>
      <c r="E19" s="44">
        <f>SUM(E14:E18)</f>
        <v>1721312</v>
      </c>
      <c r="F19" s="7"/>
    </row>
    <row r="20" spans="1:10" ht="15" customHeight="1" x14ac:dyDescent="0.2">
      <c r="A20" s="7" t="s">
        <v>292</v>
      </c>
      <c r="B20" s="49" t="str">
        <f>IF(Data_Collection!B191="","n/a",IF(ABS(B19-Data_Collection!B191)&lt;1,"OK","ERROR"))</f>
        <v>OK</v>
      </c>
      <c r="C20" s="49" t="str">
        <f>IF(Data_Collection!C191="","n/a",IF(ABS(C19-Data_Collection!C191)&lt;1,"OK","ERROR"))</f>
        <v>OK</v>
      </c>
      <c r="D20" s="49" t="str">
        <f>IF(Data_Collection!D191="","n/a",IF(ABS(D19-Data_Collection!D191)&lt;1,"OK","ERROR"))</f>
        <v>OK</v>
      </c>
      <c r="E20" s="49" t="str">
        <f>IF(Data_Collection!E191="","n/a",IF(ABS(E19-Data_Collection!E191)&lt;1,"OK","ERROR"))</f>
        <v>OK</v>
      </c>
      <c r="F20" s="7"/>
    </row>
    <row r="21" spans="1:10" ht="15" customHeight="1" x14ac:dyDescent="0.2">
      <c r="A21" s="16" t="s">
        <v>293</v>
      </c>
      <c r="B21" s="52"/>
      <c r="C21" s="52"/>
      <c r="D21" s="52"/>
      <c r="E21" s="52"/>
      <c r="F21" s="7"/>
    </row>
    <row r="22" spans="1:10" ht="15" customHeight="1" x14ac:dyDescent="0.2">
      <c r="A22" s="7" t="s">
        <v>294</v>
      </c>
      <c r="B22" s="44">
        <f>B19</f>
        <v>5759655</v>
      </c>
      <c r="C22" s="44">
        <f>C19</f>
        <v>5740627</v>
      </c>
      <c r="D22" s="44">
        <f>D19</f>
        <v>5779259</v>
      </c>
      <c r="E22" s="44">
        <f>E19</f>
        <v>1721312</v>
      </c>
      <c r="F22" s="7"/>
    </row>
    <row r="23" spans="1:10" ht="15" customHeight="1" x14ac:dyDescent="0.2">
      <c r="A23" s="7" t="s">
        <v>295</v>
      </c>
      <c r="B23" s="43">
        <f>Data_Collection!B177</f>
        <v>-462270</v>
      </c>
      <c r="C23" s="43">
        <f>Data_Collection!C177</f>
        <v>-413743</v>
      </c>
      <c r="D23" s="43">
        <f>Data_Collection!D177</f>
        <v>-257731</v>
      </c>
      <c r="E23" s="43">
        <f>Data_Collection!E177</f>
        <v>-292983</v>
      </c>
      <c r="F23" s="7"/>
    </row>
    <row r="24" spans="1:10" ht="15" customHeight="1" x14ac:dyDescent="0.2">
      <c r="A24" s="7" t="s">
        <v>296</v>
      </c>
      <c r="B24" s="43">
        <f>Data_Collection!B178</f>
        <v>36125</v>
      </c>
      <c r="C24" s="43">
        <f>Data_Collection!C178</f>
        <v>24876</v>
      </c>
      <c r="D24" s="43">
        <f>Data_Collection!D178</f>
        <v>25738</v>
      </c>
      <c r="E24" s="43">
        <f>Data_Collection!E178</f>
        <v>1302</v>
      </c>
      <c r="F24" s="7"/>
    </row>
    <row r="25" spans="1:10" ht="15" customHeight="1" x14ac:dyDescent="0.2">
      <c r="A25" s="7" t="s">
        <v>297</v>
      </c>
      <c r="B25" s="43">
        <f>Data_Collection!B179</f>
        <v>-3275</v>
      </c>
      <c r="C25" s="43">
        <f>Data_Collection!C179</f>
        <v>-536</v>
      </c>
      <c r="D25" s="43">
        <f>Data_Collection!D179</f>
        <v>3498</v>
      </c>
      <c r="E25" s="43">
        <f>Data_Collection!E179</f>
        <v>1890</v>
      </c>
      <c r="F25" s="7"/>
    </row>
    <row r="26" spans="1:10" ht="15" customHeight="1" x14ac:dyDescent="0.2">
      <c r="A26" s="7" t="s">
        <v>290</v>
      </c>
      <c r="B26" s="43">
        <f>Data_Collection!B180</f>
        <v>9359</v>
      </c>
      <c r="C26" s="43">
        <f>Data_Collection!C180</f>
        <v>6244</v>
      </c>
      <c r="D26" s="43">
        <f>Data_Collection!D180</f>
        <v>14944</v>
      </c>
      <c r="E26" s="43">
        <f>Data_Collection!E180</f>
        <v>271</v>
      </c>
      <c r="F26" s="7"/>
    </row>
    <row r="27" spans="1:10" ht="15" customHeight="1" x14ac:dyDescent="0.2">
      <c r="A27" s="7" t="s">
        <v>291</v>
      </c>
      <c r="B27" s="43">
        <f>Data_Collection!B181</f>
        <v>-5344</v>
      </c>
      <c r="C27" s="43">
        <f>Data_Collection!C181</f>
        <v>-52529</v>
      </c>
      <c r="D27" s="43">
        <f>Data_Collection!D181</f>
        <v>-4408</v>
      </c>
      <c r="E27" s="43">
        <f>Data_Collection!E181</f>
        <v>8701</v>
      </c>
      <c r="F27" s="7"/>
    </row>
    <row r="28" spans="1:10" ht="15" customHeight="1" x14ac:dyDescent="0.2">
      <c r="A28" s="10" t="s">
        <v>293</v>
      </c>
      <c r="B28" s="44">
        <f>SUM(B22:B27)</f>
        <v>5334250</v>
      </c>
      <c r="C28" s="44">
        <f>SUM(C22:C27)</f>
        <v>5304939</v>
      </c>
      <c r="D28" s="44">
        <f>SUM(D22:D27)</f>
        <v>5561300</v>
      </c>
      <c r="E28" s="44">
        <f>SUM(E22:E27)</f>
        <v>1440493</v>
      </c>
      <c r="F28" s="7"/>
      <c r="H28" s="53"/>
      <c r="I28" s="54"/>
      <c r="J28" s="55"/>
    </row>
    <row r="29" spans="1:10" ht="15" customHeight="1" x14ac:dyDescent="0.2">
      <c r="A29" s="7" t="s">
        <v>298</v>
      </c>
      <c r="B29" s="49" t="str">
        <f>IF(Data_Collection!B65="","n/a",IF(ABS(B28-Data_Collection!B65)&lt;1,"OK","ERROR"))</f>
        <v>OK</v>
      </c>
      <c r="C29" s="49" t="str">
        <f>IF(Data_Collection!C65="","n/a",IF(ABS(C28-Data_Collection!C65)&lt;1,"OK","ERROR"))</f>
        <v>OK</v>
      </c>
      <c r="D29" s="49" t="str">
        <f>IF(Data_Collection!D65="","n/a",IF(ABS(D28-Data_Collection!D65)&lt;1,"OK","ERROR"))</f>
        <v>OK</v>
      </c>
      <c r="E29" s="49" t="str">
        <f>IF(Data_Collection!E65="","n/a",IF(ABS(E28-Data_Collection!E65)&lt;1,"OK","ERROR"))</f>
        <v>OK</v>
      </c>
      <c r="F29" s="7"/>
    </row>
    <row r="30" spans="1:10" ht="15" customHeight="1" x14ac:dyDescent="0.2">
      <c r="A30" s="7" t="s">
        <v>299</v>
      </c>
      <c r="B30" s="53">
        <f>B28/1000/Share_Count!B8</f>
        <v>5.6020268851081703</v>
      </c>
      <c r="C30" s="53">
        <f>C28/1000/Share_Count!C8</f>
        <v>5.560149879467561</v>
      </c>
      <c r="D30" s="53">
        <f>D28/1000/Share_Count!D8</f>
        <v>5.8099665691600499</v>
      </c>
      <c r="E30" s="53">
        <f>E28/1000/Share_Count!E8</f>
        <v>1.5000447776736436</v>
      </c>
      <c r="F30" s="7"/>
    </row>
    <row r="31" spans="1:10" ht="15" customHeight="1" x14ac:dyDescent="0.2">
      <c r="A31" s="7" t="s">
        <v>300</v>
      </c>
      <c r="B31" s="49" t="str">
        <f>IF(Data_Collection!B66="","n/a",IF(ABS(B30-Data_Collection!B66)&lt;0.005,"OK","ERROR"))</f>
        <v>OK</v>
      </c>
      <c r="C31" s="49" t="str">
        <f>IF(Data_Collection!C66="","n/a",IF(ABS(C30-Data_Collection!C66)&lt;0.005,"OK","ERROR"))</f>
        <v>OK</v>
      </c>
      <c r="D31" s="49" t="str">
        <f>IF(Data_Collection!D66="","n/a",IF(ABS(D30-Data_Collection!D66)&lt;0.005,"OK","ERROR"))</f>
        <v>OK</v>
      </c>
      <c r="E31" s="49" t="str">
        <f>IF(Data_Collection!E66="","n/a",IF(ABS(E30-Data_Collection!E66)&lt;0.005,"OK","ERROR"))</f>
        <v>OK</v>
      </c>
      <c r="F31" s="7"/>
    </row>
    <row r="32" spans="1:10" ht="15" customHeight="1" x14ac:dyDescent="0.2">
      <c r="A32" s="7" t="s">
        <v>301</v>
      </c>
      <c r="B32" s="43">
        <f>Data_Collection!B130</f>
        <v>478944</v>
      </c>
      <c r="C32" s="43">
        <f>Data_Collection!C130</f>
        <v>31714</v>
      </c>
      <c r="D32" s="43">
        <f>Data_Collection!D130</f>
        <v>-48960</v>
      </c>
      <c r="E32" s="43">
        <f>Data_Collection!E130</f>
        <v>-50448</v>
      </c>
      <c r="F32" s="7"/>
    </row>
    <row r="33" spans="1:6" ht="15" customHeight="1" x14ac:dyDescent="0.2">
      <c r="A33" s="7"/>
      <c r="B33" s="49"/>
      <c r="C33" s="49"/>
      <c r="D33" s="49"/>
      <c r="E33" s="49"/>
      <c r="F33" s="7"/>
    </row>
    <row r="34" spans="1:6" ht="15" customHeight="1" x14ac:dyDescent="0.2">
      <c r="A34" s="16" t="s">
        <v>302</v>
      </c>
      <c r="B34" s="52"/>
      <c r="C34" s="52"/>
      <c r="D34" s="52"/>
      <c r="E34" s="52"/>
      <c r="F34" s="7"/>
    </row>
    <row r="35" spans="1:6" ht="15" customHeight="1" x14ac:dyDescent="0.2">
      <c r="A35" s="7" t="s">
        <v>303</v>
      </c>
      <c r="B35" s="44">
        <f>B28</f>
        <v>5334250</v>
      </c>
      <c r="C35" s="44">
        <f>C28</f>
        <v>5304939</v>
      </c>
      <c r="D35" s="44">
        <f>D28</f>
        <v>5561300</v>
      </c>
      <c r="E35" s="44">
        <f>E28</f>
        <v>1440493</v>
      </c>
      <c r="F35" s="7"/>
    </row>
    <row r="36" spans="1:6" ht="15" customHeight="1" x14ac:dyDescent="0.2">
      <c r="A36" s="7" t="s">
        <v>304</v>
      </c>
      <c r="B36" s="43">
        <f>Data_Collection!B182</f>
        <v>462270</v>
      </c>
      <c r="C36" s="43">
        <f>Data_Collection!C182</f>
        <v>413743</v>
      </c>
      <c r="D36" s="43">
        <f>Data_Collection!D182</f>
        <v>257731</v>
      </c>
      <c r="E36" s="43">
        <f>Data_Collection!E182</f>
        <v>292983</v>
      </c>
      <c r="F36" s="7"/>
    </row>
    <row r="37" spans="1:6" ht="15" customHeight="1" x14ac:dyDescent="0.2">
      <c r="A37" s="7" t="s">
        <v>305</v>
      </c>
      <c r="B37" s="43">
        <f>Data_Collection!B183</f>
        <v>-36125</v>
      </c>
      <c r="C37" s="43">
        <f>Data_Collection!C183</f>
        <v>-24876</v>
      </c>
      <c r="D37" s="43">
        <f>Data_Collection!D183</f>
        <v>-25738</v>
      </c>
      <c r="E37" s="43">
        <f>Data_Collection!E183</f>
        <v>-1302</v>
      </c>
      <c r="F37" s="7"/>
    </row>
    <row r="38" spans="1:6" ht="15" customHeight="1" x14ac:dyDescent="0.2">
      <c r="A38" s="7" t="s">
        <v>306</v>
      </c>
      <c r="B38" s="43">
        <f>Data_Collection!B184</f>
        <v>-625356</v>
      </c>
      <c r="C38" s="43">
        <f>Data_Collection!C184</f>
        <v>-644606</v>
      </c>
      <c r="D38" s="43">
        <f>Data_Collection!D184</f>
        <v>-691090</v>
      </c>
      <c r="E38" s="43">
        <f>Data_Collection!E184</f>
        <v>-165749</v>
      </c>
      <c r="F38" s="7"/>
    </row>
    <row r="39" spans="1:6" ht="15" customHeight="1" x14ac:dyDescent="0.2">
      <c r="A39" s="7" t="s">
        <v>307</v>
      </c>
      <c r="B39" s="43">
        <f>Data_Collection!B185</f>
        <v>-303042</v>
      </c>
      <c r="C39" s="43">
        <f>Data_Collection!C185</f>
        <v>-386481</v>
      </c>
      <c r="D39" s="43">
        <f>Data_Collection!D185</f>
        <v>-327355</v>
      </c>
      <c r="E39" s="43">
        <f>Data_Collection!E185</f>
        <v>-26065</v>
      </c>
    </row>
    <row r="40" spans="1:6" ht="15" customHeight="1" x14ac:dyDescent="0.2">
      <c r="A40" s="7" t="s">
        <v>308</v>
      </c>
      <c r="B40" s="43">
        <f>Data_Collection!B186</f>
        <v>-388814</v>
      </c>
      <c r="C40" s="43">
        <f>Data_Collection!C186</f>
        <v>-499927</v>
      </c>
      <c r="D40" s="43">
        <f>Data_Collection!D186</f>
        <v>-562197</v>
      </c>
      <c r="E40" s="43">
        <f>Data_Collection!E186</f>
        <v>-123816</v>
      </c>
    </row>
    <row r="41" spans="1:6" ht="15" customHeight="1" x14ac:dyDescent="0.2">
      <c r="A41" s="7" t="s">
        <v>309</v>
      </c>
      <c r="B41" s="43">
        <f>Data_Collection!B187</f>
        <v>76294</v>
      </c>
      <c r="C41" s="43">
        <f>Data_Collection!C187</f>
        <v>80028</v>
      </c>
      <c r="D41" s="43">
        <f>Data_Collection!D187</f>
        <v>90668</v>
      </c>
      <c r="E41" s="43">
        <f>Data_Collection!E187</f>
        <v>21400</v>
      </c>
    </row>
    <row r="42" spans="1:6" ht="15" customHeight="1" x14ac:dyDescent="0.2">
      <c r="A42" s="7" t="s">
        <v>310</v>
      </c>
      <c r="B42" s="43">
        <f>Data_Collection!B188</f>
        <v>267648</v>
      </c>
      <c r="C42" s="43">
        <f>Data_Collection!C188</f>
        <v>231747</v>
      </c>
      <c r="D42" s="43">
        <f>Data_Collection!D188</f>
        <v>185466</v>
      </c>
      <c r="E42" s="43">
        <f>Data_Collection!E188</f>
        <v>60632</v>
      </c>
    </row>
    <row r="43" spans="1:6" ht="15" customHeight="1" x14ac:dyDescent="0.2">
      <c r="A43" s="7" t="s">
        <v>290</v>
      </c>
      <c r="B43" s="43">
        <f>Data_Collection!B189</f>
        <v>48049</v>
      </c>
      <c r="C43" s="43">
        <f>Data_Collection!C189</f>
        <v>53432</v>
      </c>
      <c r="D43" s="43">
        <f>Data_Collection!D189</f>
        <v>66005</v>
      </c>
      <c r="E43" s="43">
        <f>Data_Collection!E189</f>
        <v>19628</v>
      </c>
    </row>
    <row r="44" spans="1:6" ht="15" customHeight="1" x14ac:dyDescent="0.2">
      <c r="A44" s="7" t="s">
        <v>291</v>
      </c>
      <c r="B44" s="43">
        <f>Data_Collection!B190</f>
        <v>-124544</v>
      </c>
      <c r="C44" s="43">
        <f>Data_Collection!C190</f>
        <v>-106433</v>
      </c>
      <c r="D44" s="43">
        <f>Data_Collection!D190</f>
        <v>-219746</v>
      </c>
      <c r="E44" s="43">
        <f>Data_Collection!E190</f>
        <v>-46311</v>
      </c>
    </row>
    <row r="45" spans="1:6" ht="15" customHeight="1" x14ac:dyDescent="0.2">
      <c r="A45" s="10" t="s">
        <v>302</v>
      </c>
      <c r="B45" s="51">
        <f>SUM(B35:B44)</f>
        <v>4710630</v>
      </c>
      <c r="C45" s="51">
        <f>SUM(C35:C44)</f>
        <v>4421566</v>
      </c>
      <c r="D45" s="51">
        <f>SUM(D35:D44)</f>
        <v>4335044</v>
      </c>
      <c r="E45" s="51">
        <f>SUM(E35:E44)</f>
        <v>1471893</v>
      </c>
    </row>
    <row r="46" spans="1:6" ht="15" customHeight="1" x14ac:dyDescent="0.2">
      <c r="A46" s="7" t="s">
        <v>311</v>
      </c>
      <c r="B46" s="7" t="str">
        <f>IF(Data_Collection!B74="","n/a",IF(ABS(B45-Data_Collection!B74)&lt;1,"OK","ERROR"))</f>
        <v>OK</v>
      </c>
      <c r="C46" s="7" t="str">
        <f>IF(Data_Collection!C74="","n/a",IF(ABS(C45-Data_Collection!C74)&lt;1,"OK","ERROR"))</f>
        <v>OK</v>
      </c>
      <c r="D46" s="7" t="str">
        <f>IF(Data_Collection!D74="","n/a",IF(ABS(D45-Data_Collection!D74)&lt;1,"OK","ERROR"))</f>
        <v>OK</v>
      </c>
      <c r="E46" s="7" t="str">
        <f>IF(Data_Collection!E74="","n/a",IF(ABS(E45-Data_Collection!E74)&lt;1,"OK","ERROR"))</f>
        <v>OK</v>
      </c>
    </row>
    <row r="47" spans="1:6" ht="15" customHeight="1" x14ac:dyDescent="0.2">
      <c r="A47" s="7" t="s">
        <v>312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3"/>
  <sheetViews>
    <sheetView showGridLines="0" zoomScaleNormal="100" workbookViewId="0">
      <pane xSplit="1" ySplit="4" topLeftCell="B5" activePane="bottomRight" state="frozen"/>
      <selection pane="topRight" activeCell="B1" sqref="B1"/>
      <selection pane="bottomLeft" activeCell="A5" sqref="A5"/>
      <selection pane="bottomRight" activeCell="C40" sqref="C40"/>
    </sheetView>
  </sheetViews>
  <sheetFormatPr baseColWidth="10" defaultColWidth="8.6640625" defaultRowHeight="15" x14ac:dyDescent="0.2"/>
  <cols>
    <col min="1" max="1" width="46" customWidth="1"/>
    <col min="2" max="5" width="12" customWidth="1"/>
    <col min="6" max="6" width="4" customWidth="1"/>
  </cols>
  <sheetData>
    <row r="1" spans="1:6" ht="17.25" customHeight="1" x14ac:dyDescent="0.2">
      <c r="A1" s="4" t="s">
        <v>313</v>
      </c>
    </row>
    <row r="2" spans="1:6" ht="15" customHeight="1" x14ac:dyDescent="0.2">
      <c r="A2" s="6" t="s">
        <v>314</v>
      </c>
    </row>
    <row r="4" spans="1:6" ht="15" customHeight="1" x14ac:dyDescent="0.2">
      <c r="A4" s="6" t="s">
        <v>244</v>
      </c>
      <c r="B4" s="14" t="s">
        <v>49</v>
      </c>
      <c r="C4" s="14" t="s">
        <v>50</v>
      </c>
      <c r="D4" s="14" t="s">
        <v>51</v>
      </c>
      <c r="E4" s="14" t="s">
        <v>52</v>
      </c>
    </row>
    <row r="5" spans="1:6" ht="15" customHeight="1" x14ac:dyDescent="0.2">
      <c r="A5" s="16" t="s">
        <v>315</v>
      </c>
      <c r="B5" s="17"/>
      <c r="C5" s="17"/>
      <c r="D5" s="17"/>
      <c r="E5" s="17"/>
      <c r="F5" s="17"/>
    </row>
    <row r="6" spans="1:6" ht="15" customHeight="1" x14ac:dyDescent="0.2">
      <c r="A6" s="7" t="s">
        <v>138</v>
      </c>
      <c r="B6" s="56">
        <f>Data_Collection!B88</f>
        <v>0.97699999999999998</v>
      </c>
      <c r="C6" s="56">
        <f>Data_Collection!C88</f>
        <v>0.95799999999999996</v>
      </c>
      <c r="D6" s="56">
        <f>Data_Collection!D88</f>
        <v>0.95599999999999996</v>
      </c>
      <c r="E6" s="56">
        <f>Data_Collection!E88</f>
        <v>0.95299999999999996</v>
      </c>
    </row>
    <row r="7" spans="1:6" ht="15" customHeight="1" x14ac:dyDescent="0.2">
      <c r="A7" s="7" t="s">
        <v>139</v>
      </c>
      <c r="B7" s="56">
        <f>Data_Collection!B89</f>
        <v>0.97599999999999998</v>
      </c>
      <c r="C7" s="56">
        <f>Data_Collection!C89</f>
        <v>0.95899999999999996</v>
      </c>
      <c r="D7" s="56">
        <f>Data_Collection!D89</f>
        <v>0.95799999999999996</v>
      </c>
      <c r="E7" s="56">
        <f>Data_Collection!E89</f>
        <v>0.95299999999999996</v>
      </c>
    </row>
    <row r="8" spans="1:6" ht="15" customHeight="1" x14ac:dyDescent="0.2">
      <c r="A8" s="7" t="s">
        <v>140</v>
      </c>
      <c r="B8" s="56">
        <f>Data_Collection!B90</f>
        <v>0.97599999999999998</v>
      </c>
      <c r="C8" s="56">
        <f>Data_Collection!C90</f>
        <v>0.95899999999999996</v>
      </c>
      <c r="D8" s="56">
        <f>Data_Collection!D90</f>
        <v>0.95799999999999996</v>
      </c>
      <c r="E8" s="56">
        <f>Data_Collection!E90</f>
        <v>0.95299999999999996</v>
      </c>
    </row>
    <row r="9" spans="1:6" ht="15" customHeight="1" x14ac:dyDescent="0.2">
      <c r="A9" s="7" t="s">
        <v>141</v>
      </c>
      <c r="B9" s="56">
        <f>Data_Collection!B91</f>
        <v>0.97799999999999998</v>
      </c>
      <c r="C9" s="56">
        <f>Data_Collection!C91</f>
        <v>0.96</v>
      </c>
      <c r="D9" s="56">
        <f>Data_Collection!D91</f>
        <v>0.96199999999999997</v>
      </c>
      <c r="E9" s="56">
        <f>Data_Collection!E91</f>
        <v>0.95799999999999996</v>
      </c>
    </row>
    <row r="11" spans="1:6" ht="15" customHeight="1" x14ac:dyDescent="0.2">
      <c r="A11" s="16" t="s">
        <v>316</v>
      </c>
      <c r="B11" s="17"/>
      <c r="C11" s="17"/>
      <c r="D11" s="17"/>
      <c r="E11" s="17"/>
      <c r="F11" s="17"/>
    </row>
    <row r="12" spans="1:6" ht="15" customHeight="1" x14ac:dyDescent="0.2">
      <c r="A12" s="7" t="s">
        <v>317</v>
      </c>
      <c r="B12" s="56">
        <f>Data_Collection!B82</f>
        <v>8.5000000000000006E-2</v>
      </c>
      <c r="C12" s="56">
        <f>Data_Collection!C82</f>
        <v>4.4999999999999998E-2</v>
      </c>
      <c r="D12" s="56">
        <f>Data_Collection!D82</f>
        <v>6.3E-2</v>
      </c>
      <c r="E12" s="56">
        <f>Data_Collection!E82</f>
        <v>6.6000000000000003E-2</v>
      </c>
    </row>
    <row r="13" spans="1:6" ht="15" customHeight="1" x14ac:dyDescent="0.2">
      <c r="A13" s="7" t="s">
        <v>318</v>
      </c>
      <c r="B13" s="56">
        <f>Data_Collection!B83</f>
        <v>7.4999999999999997E-2</v>
      </c>
      <c r="C13" s="56">
        <f>Data_Collection!C83</f>
        <v>0.04</v>
      </c>
      <c r="D13" s="56">
        <f>Data_Collection!D83</f>
        <v>4.8000000000000001E-2</v>
      </c>
      <c r="E13" s="56">
        <f>Data_Collection!E83</f>
        <v>5.0999999999999997E-2</v>
      </c>
    </row>
    <row r="14" spans="1:6" ht="15" customHeight="1" x14ac:dyDescent="0.2">
      <c r="A14" s="7" t="s">
        <v>135</v>
      </c>
      <c r="B14" s="57">
        <f>Data_Collection!B84</f>
        <v>738498</v>
      </c>
      <c r="C14" s="57">
        <f>Data_Collection!C84</f>
        <v>764587</v>
      </c>
      <c r="D14" s="57">
        <f>Data_Collection!D84</f>
        <v>773176</v>
      </c>
      <c r="E14" s="57">
        <f>Data_Collection!E84</f>
        <v>777055</v>
      </c>
    </row>
    <row r="16" spans="1:6" ht="15" customHeight="1" x14ac:dyDescent="0.2">
      <c r="A16" s="16" t="s">
        <v>319</v>
      </c>
      <c r="B16" s="17"/>
      <c r="C16" s="17"/>
      <c r="D16" s="17"/>
      <c r="E16" s="17"/>
      <c r="F16" s="17"/>
    </row>
    <row r="17" spans="1:6" ht="15" customHeight="1" x14ac:dyDescent="0.2">
      <c r="A17" s="7" t="s">
        <v>143</v>
      </c>
      <c r="B17" s="56">
        <f>Data_Collection!B94</f>
        <v>0.74099999999999999</v>
      </c>
      <c r="C17" s="56">
        <f>Data_Collection!C94</f>
        <v>0.66300000000000003</v>
      </c>
      <c r="D17" s="56">
        <f>Data_Collection!D94</f>
        <v>0.438</v>
      </c>
      <c r="E17" s="56">
        <f>Data_Collection!E94</f>
        <v>0.31900000000000001</v>
      </c>
    </row>
    <row r="18" spans="1:6" ht="15" customHeight="1" x14ac:dyDescent="0.2">
      <c r="A18" s="7" t="s">
        <v>145</v>
      </c>
      <c r="B18" s="56">
        <f>Data_Collection!B95</f>
        <v>0.51800000000000002</v>
      </c>
      <c r="C18" s="56">
        <f>Data_Collection!C95</f>
        <v>0.40100000000000002</v>
      </c>
      <c r="D18" s="56">
        <f>Data_Collection!D95</f>
        <v>0.27300000000000002</v>
      </c>
      <c r="E18" s="56">
        <f>Data_Collection!E95</f>
        <v>0.16800000000000001</v>
      </c>
    </row>
    <row r="19" spans="1:6" ht="15" customHeight="1" x14ac:dyDescent="0.2">
      <c r="A19" s="7" t="s">
        <v>146</v>
      </c>
      <c r="B19" s="56">
        <f>Data_Collection!B96</f>
        <v>0.76800000000000002</v>
      </c>
      <c r="C19" s="56">
        <f>Data_Collection!C96</f>
        <v>0.78400000000000003</v>
      </c>
      <c r="D19" s="56">
        <f>Data_Collection!D96</f>
        <v>0.77700000000000002</v>
      </c>
      <c r="E19" s="56">
        <f>Data_Collection!E96</f>
        <v>0.75800000000000001</v>
      </c>
    </row>
    <row r="20" spans="1:6" ht="15" customHeight="1" x14ac:dyDescent="0.2">
      <c r="A20" s="7" t="s">
        <v>147</v>
      </c>
      <c r="B20" s="57">
        <f>Data_Collection!B97</f>
        <v>43.65</v>
      </c>
      <c r="C20" s="57">
        <f>Data_Collection!C97</f>
        <v>46.491</v>
      </c>
      <c r="D20" s="57">
        <f>Data_Collection!D97</f>
        <v>43.764000000000003</v>
      </c>
      <c r="E20" s="57">
        <f>Data_Collection!E97</f>
        <v>66.721999999999994</v>
      </c>
    </row>
    <row r="22" spans="1:6" ht="15" customHeight="1" x14ac:dyDescent="0.2">
      <c r="A22" s="16" t="s">
        <v>320</v>
      </c>
      <c r="B22" s="17"/>
      <c r="C22" s="17"/>
      <c r="D22" s="17"/>
      <c r="E22" s="17"/>
      <c r="F22" s="17"/>
    </row>
    <row r="23" spans="1:6" ht="15" customHeight="1" x14ac:dyDescent="0.2">
      <c r="A23" s="7" t="s">
        <v>321</v>
      </c>
      <c r="B23" s="56">
        <f>Data_Collection!B99</f>
        <v>9.0999999999999998E-2</v>
      </c>
      <c r="C23" s="56">
        <f>Data_Collection!C99</f>
        <v>9.0999999999999998E-2</v>
      </c>
      <c r="D23" s="56">
        <f>Data_Collection!D99</f>
        <v>0.10299999999999999</v>
      </c>
      <c r="E23" s="56">
        <f>Data_Collection!E99</f>
        <v>6.9000000000000006E-2</v>
      </c>
    </row>
    <row r="24" spans="1:6" ht="15" customHeight="1" x14ac:dyDescent="0.2">
      <c r="A24" s="7" t="s">
        <v>322</v>
      </c>
      <c r="B24" s="56">
        <f>Data_Collection!B100</f>
        <v>0.12</v>
      </c>
      <c r="C24" s="56">
        <f>Data_Collection!C100</f>
        <v>0.13500000000000001</v>
      </c>
      <c r="D24" s="56">
        <f>Data_Collection!D100</f>
        <v>0.14799999999999999</v>
      </c>
      <c r="E24" s="56">
        <f>Data_Collection!E100</f>
        <v>0.14699999999999999</v>
      </c>
    </row>
    <row r="25" spans="1:6" ht="15" customHeight="1" x14ac:dyDescent="0.2">
      <c r="A25" s="7" t="s">
        <v>323</v>
      </c>
      <c r="B25" s="56">
        <f>Data_Collection!B101</f>
        <v>0.13900000000000001</v>
      </c>
      <c r="C25" s="56">
        <f>Data_Collection!C101</f>
        <v>0.151</v>
      </c>
      <c r="D25" s="56">
        <f>Data_Collection!D101</f>
        <v>0.14599999999999999</v>
      </c>
      <c r="E25" s="56">
        <f>Data_Collection!E101</f>
        <v>0.14699999999999999</v>
      </c>
    </row>
    <row r="26" spans="1:6" ht="15" customHeight="1" x14ac:dyDescent="0.2">
      <c r="A26" s="7" t="s">
        <v>324</v>
      </c>
      <c r="B26" s="56">
        <f>Data_Collection!B102</f>
        <v>0.14799999999999999</v>
      </c>
      <c r="C26" s="56">
        <f>Data_Collection!C102</f>
        <v>0.14299999999999999</v>
      </c>
      <c r="D26" s="56">
        <f>Data_Collection!D102</f>
        <v>0.13600000000000001</v>
      </c>
      <c r="E26" s="56">
        <f>Data_Collection!E102</f>
        <v>0.14000000000000001</v>
      </c>
    </row>
    <row r="27" spans="1:6" ht="15" customHeight="1" x14ac:dyDescent="0.2">
      <c r="A27" s="7" t="s">
        <v>325</v>
      </c>
      <c r="B27" s="56">
        <f>Data_Collection!B103</f>
        <v>0.14599999999999999</v>
      </c>
      <c r="C27" s="56">
        <f>Data_Collection!C103</f>
        <v>0.13400000000000001</v>
      </c>
      <c r="D27" s="56">
        <f>Data_Collection!D103</f>
        <v>0.13300000000000001</v>
      </c>
      <c r="E27" s="56">
        <f>Data_Collection!E103</f>
        <v>0.13300000000000001</v>
      </c>
    </row>
    <row r="29" spans="1:6" ht="15" customHeight="1" x14ac:dyDescent="0.2">
      <c r="A29" s="16" t="s">
        <v>326</v>
      </c>
      <c r="B29" s="17"/>
      <c r="C29" s="17"/>
      <c r="D29" s="17"/>
      <c r="E29" s="17"/>
      <c r="F29" s="17"/>
    </row>
    <row r="30" spans="1:6" ht="15" customHeight="1" x14ac:dyDescent="0.2">
      <c r="A30" s="7" t="s">
        <v>155</v>
      </c>
      <c r="B30" s="56">
        <f>Data_Collection!B106</f>
        <v>0.76400000000000001</v>
      </c>
      <c r="C30" s="56">
        <f>Data_Collection!C106</f>
        <v>0.68700000000000006</v>
      </c>
      <c r="D30" s="56">
        <f>Data_Collection!D106</f>
        <v>0.501</v>
      </c>
      <c r="E30" s="56">
        <f>Data_Collection!E106</f>
        <v>0.435</v>
      </c>
    </row>
    <row r="31" spans="1:6" ht="15" customHeight="1" x14ac:dyDescent="0.2">
      <c r="A31" s="7" t="s">
        <v>327</v>
      </c>
      <c r="B31" s="43" t="str">
        <f>Data_Collection!B107</f>
        <v>N/D</v>
      </c>
      <c r="C31" s="43" t="str">
        <f>Data_Collection!C107</f>
        <v>N/D</v>
      </c>
      <c r="D31" s="43" t="str">
        <f>Data_Collection!D107</f>
        <v>N/D</v>
      </c>
      <c r="E31" s="43" t="str">
        <f>Data_Collection!E107</f>
        <v>N/D</v>
      </c>
    </row>
    <row r="33" spans="1:5" ht="15" customHeight="1" x14ac:dyDescent="0.2">
      <c r="A33" s="7" t="s">
        <v>328</v>
      </c>
      <c r="B33" s="27"/>
      <c r="C33" s="27"/>
      <c r="D33" s="27"/>
      <c r="E33" s="27"/>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0"/>
  <sheetViews>
    <sheetView showGridLines="0" zoomScaleNormal="100" workbookViewId="0">
      <pane xSplit="1" ySplit="4" topLeftCell="B5" activePane="bottomRight" state="frozen"/>
      <selection pane="topRight" activeCell="B1" sqref="B1"/>
      <selection pane="bottomLeft" activeCell="A5" sqref="A5"/>
      <selection pane="bottomRight" activeCell="A3" sqref="A3"/>
    </sheetView>
  </sheetViews>
  <sheetFormatPr baseColWidth="10" defaultColWidth="8.6640625" defaultRowHeight="15" x14ac:dyDescent="0.2"/>
  <cols>
    <col min="1" max="1" width="46" customWidth="1"/>
    <col min="2" max="5" width="12" customWidth="1"/>
    <col min="6" max="6" width="4" customWidth="1"/>
  </cols>
  <sheetData>
    <row r="1" spans="1:6" ht="17.25" customHeight="1" x14ac:dyDescent="0.2">
      <c r="A1" s="4" t="s">
        <v>329</v>
      </c>
    </row>
    <row r="2" spans="1:6" ht="15" customHeight="1" x14ac:dyDescent="0.2">
      <c r="A2" s="6" t="s">
        <v>314</v>
      </c>
    </row>
    <row r="4" spans="1:6" ht="15" customHeight="1" x14ac:dyDescent="0.2">
      <c r="A4" s="6" t="s">
        <v>244</v>
      </c>
      <c r="B4" s="14" t="s">
        <v>49</v>
      </c>
      <c r="C4" s="14" t="s">
        <v>50</v>
      </c>
      <c r="D4" s="14" t="s">
        <v>51</v>
      </c>
      <c r="E4" s="14" t="s">
        <v>52</v>
      </c>
    </row>
    <row r="5" spans="1:6" ht="15" customHeight="1" x14ac:dyDescent="0.2">
      <c r="A5" s="16" t="s">
        <v>330</v>
      </c>
      <c r="B5" s="17"/>
      <c r="C5" s="17"/>
      <c r="D5" s="17"/>
      <c r="E5" s="17"/>
      <c r="F5" s="17"/>
    </row>
    <row r="6" spans="1:6" ht="15" customHeight="1" x14ac:dyDescent="0.2">
      <c r="A6" s="7" t="s">
        <v>331</v>
      </c>
      <c r="B6" s="43">
        <f>Data_Collection!B110</f>
        <v>3397</v>
      </c>
      <c r="C6" s="43">
        <f>Data_Collection!C110</f>
        <v>1339</v>
      </c>
      <c r="D6" s="43">
        <f>Data_Collection!D110</f>
        <v>2956</v>
      </c>
      <c r="E6" s="43">
        <f>Data_Collection!E110</f>
        <v>1783</v>
      </c>
    </row>
    <row r="7" spans="1:6" ht="15" customHeight="1" x14ac:dyDescent="0.2">
      <c r="A7" s="7" t="s">
        <v>332</v>
      </c>
      <c r="B7" s="56">
        <f>Data_Collection!B111</f>
        <v>7.0000000000000007E-2</v>
      </c>
      <c r="C7" s="56">
        <f>Data_Collection!C111</f>
        <v>7.2999999999999995E-2</v>
      </c>
      <c r="D7" s="56">
        <f>Data_Collection!D111</f>
        <v>6.3E-2</v>
      </c>
      <c r="E7" s="56">
        <f>Data_Collection!E111</f>
        <v>8.7999999999999995E-2</v>
      </c>
    </row>
    <row r="8" spans="1:6" ht="15" customHeight="1" x14ac:dyDescent="0.2">
      <c r="A8" s="7" t="s">
        <v>333</v>
      </c>
      <c r="B8" s="56">
        <f>Data_Collection!B112</f>
        <v>0.27400000000000002</v>
      </c>
      <c r="C8" s="56">
        <f>Data_Collection!C112</f>
        <v>0.26900000000000002</v>
      </c>
      <c r="D8" s="56">
        <f>Data_Collection!D112</f>
        <v>0.193</v>
      </c>
      <c r="E8" s="56">
        <f>Data_Collection!E112</f>
        <v>0.32</v>
      </c>
    </row>
    <row r="9" spans="1:6" ht="15" customHeight="1" x14ac:dyDescent="0.2">
      <c r="A9" s="7" t="s">
        <v>334</v>
      </c>
      <c r="B9" s="43">
        <f>Data_Collection!B113</f>
        <v>931</v>
      </c>
      <c r="C9" s="43">
        <f>Data_Collection!C113</f>
        <v>366</v>
      </c>
      <c r="D9" s="43">
        <f>Data_Collection!D113</f>
        <v>569</v>
      </c>
      <c r="E9" s="43">
        <f>Data_Collection!E113</f>
        <v>571</v>
      </c>
    </row>
    <row r="10" spans="1:6" ht="15" customHeight="1" x14ac:dyDescent="0.2">
      <c r="A10" s="7" t="s">
        <v>335</v>
      </c>
      <c r="B10" s="56">
        <f>Data_Collection!B114</f>
        <v>0.53</v>
      </c>
      <c r="C10" s="56">
        <f>Data_Collection!C114</f>
        <v>0.33400000000000002</v>
      </c>
      <c r="D10" s="56">
        <f>Data_Collection!D114</f>
        <v>0.61099999999999999</v>
      </c>
      <c r="E10" s="56">
        <f>Data_Collection!E114</f>
        <v>0.81200000000000006</v>
      </c>
    </row>
    <row r="12" spans="1:6" ht="15" customHeight="1" x14ac:dyDescent="0.2">
      <c r="A12" s="16" t="s">
        <v>336</v>
      </c>
      <c r="B12" s="17"/>
      <c r="C12" s="17"/>
      <c r="D12" s="17"/>
      <c r="E12" s="17"/>
      <c r="F12" s="17"/>
    </row>
    <row r="13" spans="1:6" ht="15" customHeight="1" x14ac:dyDescent="0.2">
      <c r="A13" s="7" t="s">
        <v>337</v>
      </c>
      <c r="B13" s="43" t="str">
        <f>Data_Collection!B115</f>
        <v>N/D</v>
      </c>
      <c r="C13" s="43" t="str">
        <f>Data_Collection!C115</f>
        <v>N/D</v>
      </c>
      <c r="D13" s="43" t="str">
        <f>Data_Collection!D115</f>
        <v>N/D</v>
      </c>
      <c r="E13" s="43">
        <f>Data_Collection!E115</f>
        <v>1300</v>
      </c>
    </row>
    <row r="14" spans="1:6" ht="15" customHeight="1" x14ac:dyDescent="0.2">
      <c r="A14" s="7" t="s">
        <v>338</v>
      </c>
      <c r="B14" s="44">
        <f>B6-B10</f>
        <v>3396.47</v>
      </c>
      <c r="C14" s="44">
        <f>C6-C10</f>
        <v>1338.6659999999999</v>
      </c>
      <c r="D14" s="44">
        <f>D6-D10</f>
        <v>2955.3890000000001</v>
      </c>
      <c r="E14" s="44">
        <f>E6-E10</f>
        <v>1782.1880000000001</v>
      </c>
    </row>
    <row r="15" spans="1:6" ht="15" customHeight="1" x14ac:dyDescent="0.2">
      <c r="A15" s="7" t="s">
        <v>339</v>
      </c>
      <c r="B15" s="46">
        <f>IF(B6=0,0,B10/B6)</f>
        <v>1.5602001766264352E-4</v>
      </c>
      <c r="C15" s="46">
        <f>IF(C6=0,0,C10/C6)</f>
        <v>2.4943988050784167E-4</v>
      </c>
      <c r="D15" s="46">
        <f>IF(D6=0,0,D10/D6)</f>
        <v>2.0669824086603518E-4</v>
      </c>
      <c r="E15" s="46">
        <f>IF(E6=0,0,E10/E6)</f>
        <v>4.5541222658440834E-4</v>
      </c>
    </row>
    <row r="17" spans="1:6" ht="15" customHeight="1" x14ac:dyDescent="0.2">
      <c r="A17" s="16" t="s">
        <v>340</v>
      </c>
      <c r="B17" s="17"/>
      <c r="C17" s="17"/>
      <c r="D17" s="17"/>
      <c r="E17" s="17"/>
      <c r="F17" s="17"/>
    </row>
    <row r="18" spans="1:6" ht="15" customHeight="1" x14ac:dyDescent="0.2">
      <c r="A18" s="7" t="s">
        <v>341</v>
      </c>
      <c r="B18" s="43">
        <f>Data_Collection!B116</f>
        <v>3151</v>
      </c>
      <c r="C18" s="43">
        <f>Data_Collection!C116</f>
        <v>4168</v>
      </c>
      <c r="D18" s="43">
        <f>Data_Collection!D116</f>
        <v>2260</v>
      </c>
      <c r="E18" s="43">
        <f>Data_Collection!E116</f>
        <v>1113</v>
      </c>
    </row>
    <row r="19" spans="1:6" ht="15" customHeight="1" x14ac:dyDescent="0.2">
      <c r="A19" s="7" t="s">
        <v>342</v>
      </c>
      <c r="B19" s="56">
        <f>Data_Collection!B117</f>
        <v>6.3E-2</v>
      </c>
      <c r="C19" s="56">
        <f>Data_Collection!C117</f>
        <v>6.0999999999999999E-2</v>
      </c>
      <c r="D19" s="56">
        <f>Data_Collection!D117</f>
        <v>6.7000000000000004E-2</v>
      </c>
      <c r="E19" s="56">
        <f>Data_Collection!E117</f>
        <v>7.5999999999999998E-2</v>
      </c>
    </row>
    <row r="20" spans="1:6" ht="15" customHeight="1" x14ac:dyDescent="0.2">
      <c r="A20" s="7" t="s">
        <v>343</v>
      </c>
      <c r="B20" s="56">
        <f>Data_Collection!B118</f>
        <v>0.29099999999999998</v>
      </c>
      <c r="C20" s="56">
        <f>Data_Collection!C118</f>
        <v>0.185</v>
      </c>
      <c r="D20" s="56">
        <f>Data_Collection!D118</f>
        <v>0.251</v>
      </c>
      <c r="E20" s="56">
        <f>Data_Collection!E118</f>
        <v>0.34799999999999998</v>
      </c>
    </row>
    <row r="21" spans="1:6" ht="15" customHeight="1" x14ac:dyDescent="0.2">
      <c r="A21" s="7" t="s">
        <v>344</v>
      </c>
      <c r="B21" s="43">
        <f>Data_Collection!B119</f>
        <v>917</v>
      </c>
      <c r="C21" s="43">
        <f>Data_Collection!C119</f>
        <v>773</v>
      </c>
      <c r="D21" s="43">
        <f>Data_Collection!D119</f>
        <v>568</v>
      </c>
      <c r="E21" s="43">
        <f>Data_Collection!E119</f>
        <v>387</v>
      </c>
    </row>
    <row r="23" spans="1:6" ht="15" customHeight="1" x14ac:dyDescent="0.2">
      <c r="A23" s="16" t="s">
        <v>345</v>
      </c>
      <c r="B23" s="17"/>
      <c r="C23" s="17"/>
      <c r="D23" s="17"/>
      <c r="E23" s="17"/>
      <c r="F23" s="17"/>
    </row>
    <row r="24" spans="1:6" ht="15" customHeight="1" x14ac:dyDescent="0.2">
      <c r="A24" s="7" t="s">
        <v>170</v>
      </c>
      <c r="B24" s="43">
        <f>Data_Collection!B120</f>
        <v>7850</v>
      </c>
      <c r="C24" s="43">
        <f>Data_Collection!C120</f>
        <v>4712</v>
      </c>
      <c r="D24" s="43">
        <f>Data_Collection!D120</f>
        <v>5126</v>
      </c>
      <c r="E24" s="43">
        <f>Data_Collection!E120</f>
        <v>5491</v>
      </c>
    </row>
    <row r="25" spans="1:6" ht="15" customHeight="1" x14ac:dyDescent="0.2">
      <c r="A25" s="7" t="s">
        <v>171</v>
      </c>
      <c r="B25" s="56">
        <f>Data_Collection!B121</f>
        <v>0.372</v>
      </c>
      <c r="C25" s="56">
        <f>Data_Collection!C121</f>
        <v>0.33200000000000002</v>
      </c>
      <c r="D25" s="56">
        <f>Data_Collection!D121</f>
        <v>0.54800000000000004</v>
      </c>
      <c r="E25" s="56">
        <f>Data_Collection!E121</f>
        <v>0.47499999999999998</v>
      </c>
    </row>
    <row r="26" spans="1:6" ht="15" customHeight="1" x14ac:dyDescent="0.2">
      <c r="A26" s="7" t="s">
        <v>172</v>
      </c>
      <c r="B26" s="43">
        <f>Data_Collection!B122</f>
        <v>3814</v>
      </c>
      <c r="C26" s="43">
        <f>Data_Collection!C122</f>
        <v>4485</v>
      </c>
      <c r="D26" s="43">
        <f>Data_Collection!D122</f>
        <v>4979</v>
      </c>
      <c r="E26" s="43">
        <f>Data_Collection!E122</f>
        <v>4799</v>
      </c>
    </row>
    <row r="27" spans="1:6" ht="15" customHeight="1" x14ac:dyDescent="0.2">
      <c r="A27" s="7" t="s">
        <v>173</v>
      </c>
      <c r="B27" s="43">
        <f>Data_Collection!B123</f>
        <v>37000</v>
      </c>
      <c r="C27" s="43">
        <f>Data_Collection!C123</f>
        <v>38300</v>
      </c>
      <c r="D27" s="43">
        <f>Data_Collection!D123</f>
        <v>39000</v>
      </c>
      <c r="E27" s="43">
        <f>Data_Collection!E123</f>
        <v>38000</v>
      </c>
    </row>
    <row r="29" spans="1:6" ht="15" customHeight="1" x14ac:dyDescent="0.2">
      <c r="A29" s="16" t="s">
        <v>346</v>
      </c>
      <c r="B29" s="17"/>
      <c r="C29" s="17"/>
      <c r="D29" s="17"/>
      <c r="E29" s="17"/>
      <c r="F29" s="17"/>
    </row>
    <row r="30" spans="1:6" ht="15" customHeight="1" x14ac:dyDescent="0.2">
      <c r="A30" s="7" t="s">
        <v>347</v>
      </c>
      <c r="B30" s="46">
        <f>IF(B16=0,0,B19/B16)</f>
        <v>0</v>
      </c>
      <c r="C30" s="46">
        <f>IF(C16=0,0,C19/C16)</f>
        <v>0</v>
      </c>
      <c r="D30" s="46">
        <f>IF(D16=0,0,D19/D16)</f>
        <v>0</v>
      </c>
      <c r="E30" s="46">
        <f>IF(E16=0,0,E19/E16)</f>
        <v>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2"/>
  <sheetViews>
    <sheetView showGridLines="0" zoomScaleNormal="100" workbookViewId="0">
      <pane xSplit="1" ySplit="4" topLeftCell="B5" activePane="bottomRight" state="frozen"/>
      <selection pane="topRight" activeCell="B1" sqref="B1"/>
      <selection pane="bottomLeft" activeCell="A5" sqref="A5"/>
      <selection pane="bottomRight" activeCell="A3" sqref="A3"/>
    </sheetView>
  </sheetViews>
  <sheetFormatPr baseColWidth="10" defaultColWidth="8.6640625" defaultRowHeight="15" x14ac:dyDescent="0.2"/>
  <cols>
    <col min="1" max="1" width="46" customWidth="1"/>
    <col min="2" max="5" width="12" customWidth="1"/>
    <col min="6" max="6" width="4" customWidth="1"/>
  </cols>
  <sheetData>
    <row r="1" spans="1:6" ht="17.25" customHeight="1" x14ac:dyDescent="0.2">
      <c r="A1" s="4" t="s">
        <v>348</v>
      </c>
    </row>
    <row r="2" spans="1:6" ht="15" customHeight="1" x14ac:dyDescent="0.2">
      <c r="A2" s="6" t="s">
        <v>314</v>
      </c>
    </row>
    <row r="4" spans="1:6" ht="15" customHeight="1" x14ac:dyDescent="0.2">
      <c r="A4" s="6" t="s">
        <v>244</v>
      </c>
      <c r="B4" s="14" t="s">
        <v>49</v>
      </c>
      <c r="C4" s="14" t="s">
        <v>50</v>
      </c>
      <c r="D4" s="14" t="s">
        <v>51</v>
      </c>
      <c r="E4" s="14" t="s">
        <v>52</v>
      </c>
    </row>
    <row r="5" spans="1:6" ht="15" customHeight="1" x14ac:dyDescent="0.2">
      <c r="A5" s="16" t="s">
        <v>349</v>
      </c>
      <c r="B5" s="17"/>
      <c r="C5" s="17"/>
      <c r="D5" s="17"/>
      <c r="E5" s="17"/>
      <c r="F5" s="17"/>
    </row>
    <row r="6" spans="1:6" ht="15" customHeight="1" x14ac:dyDescent="0.2">
      <c r="A6" s="7" t="s">
        <v>350</v>
      </c>
      <c r="B6" s="57">
        <f>Data_Collection!B126</f>
        <v>219</v>
      </c>
      <c r="C6" s="57">
        <f>Data_Collection!C126</f>
        <v>198</v>
      </c>
      <c r="D6" s="57">
        <f>Data_Collection!D126</f>
        <v>230</v>
      </c>
      <c r="E6" s="57">
        <f>Data_Collection!E126</f>
        <v>235</v>
      </c>
    </row>
    <row r="7" spans="1:6" ht="15" customHeight="1" x14ac:dyDescent="0.2">
      <c r="A7" s="7" t="s">
        <v>351</v>
      </c>
      <c r="B7" s="57">
        <f>Data_Collection!B127</f>
        <v>159</v>
      </c>
      <c r="C7" s="57">
        <f>Data_Collection!C127</f>
        <v>136</v>
      </c>
      <c r="D7" s="57">
        <f>Data_Collection!D127</f>
        <v>162</v>
      </c>
      <c r="E7" s="57">
        <f>Data_Collection!E127</f>
        <v>166</v>
      </c>
    </row>
    <row r="8" spans="1:6" ht="15" customHeight="1" x14ac:dyDescent="0.2">
      <c r="A8" s="7" t="s">
        <v>352</v>
      </c>
      <c r="B8" s="58">
        <f>B6-B7</f>
        <v>60</v>
      </c>
      <c r="C8" s="58">
        <f>C6-C7</f>
        <v>62</v>
      </c>
      <c r="D8" s="58">
        <f>D6-D7</f>
        <v>68</v>
      </c>
      <c r="E8" s="58">
        <f>E6-E7</f>
        <v>69</v>
      </c>
    </row>
    <row r="10" spans="1:6" ht="15" customHeight="1" x14ac:dyDescent="0.2">
      <c r="A10" s="16" t="s">
        <v>353</v>
      </c>
      <c r="B10" s="17"/>
      <c r="C10" s="17"/>
      <c r="D10" s="17"/>
      <c r="E10" s="17"/>
      <c r="F10" s="17"/>
    </row>
    <row r="11" spans="1:6" ht="15" customHeight="1" x14ac:dyDescent="0.2">
      <c r="A11" s="7" t="s">
        <v>354</v>
      </c>
      <c r="B11" s="43">
        <f>Data_Collection!B128</f>
        <v>327456</v>
      </c>
      <c r="C11" s="43">
        <f>Data_Collection!C128</f>
        <v>347540</v>
      </c>
      <c r="D11" s="43">
        <f>Data_Collection!D128</f>
        <v>374044</v>
      </c>
      <c r="E11" s="43">
        <f>Data_Collection!E128</f>
        <v>379020</v>
      </c>
    </row>
    <row r="12" spans="1:6" ht="15" customHeight="1" x14ac:dyDescent="0.2">
      <c r="A12" s="7" t="s">
        <v>355</v>
      </c>
      <c r="B12" s="43">
        <f>Data_Collection!B129</f>
        <v>31801</v>
      </c>
      <c r="C12" s="43">
        <f>Data_Collection!C129</f>
        <v>29126</v>
      </c>
      <c r="D12" s="43">
        <f>Data_Collection!D129</f>
        <v>32512</v>
      </c>
      <c r="E12" s="43">
        <f>Data_Collection!E129</f>
        <v>37142</v>
      </c>
    </row>
    <row r="13" spans="1:6" ht="15" customHeight="1" x14ac:dyDescent="0.2">
      <c r="A13" s="7" t="s">
        <v>356</v>
      </c>
      <c r="B13" s="44">
        <f>B11+B12</f>
        <v>359257</v>
      </c>
      <c r="C13" s="44">
        <f>C11+C12</f>
        <v>376666</v>
      </c>
      <c r="D13" s="44">
        <f>D11+D12</f>
        <v>406556</v>
      </c>
      <c r="E13" s="44">
        <f>E11+E12</f>
        <v>416162</v>
      </c>
    </row>
    <row r="14" spans="1:6" ht="15" customHeight="1" x14ac:dyDescent="0.2">
      <c r="A14" s="7" t="s">
        <v>62</v>
      </c>
      <c r="B14" s="43">
        <f>Data_Collection!B131</f>
        <v>385542</v>
      </c>
      <c r="C14" s="43">
        <f>Data_Collection!C131</f>
        <v>291856</v>
      </c>
      <c r="D14" s="43">
        <f>Data_Collection!D131</f>
        <v>270517</v>
      </c>
      <c r="E14" s="43">
        <f>Data_Collection!E131</f>
        <v>81889</v>
      </c>
    </row>
    <row r="16" spans="1:6" ht="15" customHeight="1" x14ac:dyDescent="0.2">
      <c r="A16" s="16" t="s">
        <v>357</v>
      </c>
      <c r="B16" s="17"/>
      <c r="C16" s="17"/>
      <c r="D16" s="17"/>
      <c r="E16" s="17"/>
      <c r="F16" s="17"/>
    </row>
    <row r="17" spans="1:6" ht="15" customHeight="1" x14ac:dyDescent="0.2">
      <c r="A17" s="7" t="s">
        <v>120</v>
      </c>
      <c r="B17" s="43">
        <f>Data_Collection!B130</f>
        <v>478944</v>
      </c>
      <c r="C17" s="43">
        <f>Data_Collection!C130</f>
        <v>31714</v>
      </c>
      <c r="D17" s="43">
        <f>Data_Collection!D130</f>
        <v>-48960</v>
      </c>
      <c r="E17" s="43">
        <f>Data_Collection!E130</f>
        <v>-50448</v>
      </c>
    </row>
    <row r="19" spans="1:6" ht="15" customHeight="1" x14ac:dyDescent="0.2">
      <c r="A19" s="16" t="s">
        <v>358</v>
      </c>
      <c r="B19" s="17"/>
      <c r="C19" s="17"/>
      <c r="D19" s="17"/>
      <c r="E19" s="17"/>
      <c r="F19" s="17"/>
    </row>
    <row r="20" spans="1:6" ht="15" customHeight="1" x14ac:dyDescent="0.2">
      <c r="A20" s="7" t="s">
        <v>182</v>
      </c>
      <c r="B20" s="43">
        <f>Data_Collection!B132</f>
        <v>1253395</v>
      </c>
      <c r="C20" s="43">
        <f>Data_Collection!C132</f>
        <v>2306446</v>
      </c>
      <c r="D20" s="43">
        <f>Data_Collection!D132</f>
        <v>1042681</v>
      </c>
      <c r="E20" s="43">
        <f>Data_Collection!E132</f>
        <v>339404</v>
      </c>
    </row>
    <row r="21" spans="1:6" ht="15" customHeight="1" x14ac:dyDescent="0.2">
      <c r="A21" s="7" t="s">
        <v>183</v>
      </c>
      <c r="B21" s="43">
        <f>Data_Collection!B133</f>
        <v>3613882</v>
      </c>
      <c r="C21" s="43">
        <f>Data_Collection!C133</f>
        <v>4653326</v>
      </c>
      <c r="D21" s="43">
        <f>Data_Collection!D133</f>
        <v>5329877</v>
      </c>
      <c r="E21" s="43">
        <f>Data_Collection!E133</f>
        <v>5429782</v>
      </c>
    </row>
    <row r="22" spans="1:6" ht="15" customHeight="1" x14ac:dyDescent="0.2">
      <c r="A22" s="7" t="s">
        <v>359</v>
      </c>
      <c r="B22" s="46">
        <f>IF(B8=0,0,(B11)/(B8*1000))</f>
        <v>5.4576000000000002</v>
      </c>
      <c r="C22" s="46">
        <f>IF(C8=0,0,(C11)/(C8*1000))</f>
        <v>5.6054838709677419</v>
      </c>
      <c r="D22" s="46">
        <f>IF(D8=0,0,(D11)/(D8*1000))</f>
        <v>5.500647058823529</v>
      </c>
      <c r="E22" s="46">
        <f>IF(E8=0,0,(E11)/(E8*1000))</f>
        <v>5.4930434782608693</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
  <sheetViews>
    <sheetView showGridLines="0" zoomScaleNormal="100" workbookViewId="0">
      <pane xSplit="1" ySplit="4" topLeftCell="B5" activePane="bottomRight" state="frozen"/>
      <selection pane="topRight" activeCell="B1" sqref="B1"/>
      <selection pane="bottomLeft" activeCell="A5" sqref="A5"/>
      <selection pane="bottomRight" activeCell="L31" sqref="L31"/>
    </sheetView>
  </sheetViews>
  <sheetFormatPr baseColWidth="10" defaultColWidth="8.6640625" defaultRowHeight="15" x14ac:dyDescent="0.2"/>
  <cols>
    <col min="1" max="1" width="46" customWidth="1"/>
    <col min="2" max="5" width="12" customWidth="1"/>
    <col min="6" max="6" width="4" customWidth="1"/>
  </cols>
  <sheetData>
    <row r="1" spans="1:6" ht="17.25" customHeight="1" x14ac:dyDescent="0.2">
      <c r="A1" s="4" t="s">
        <v>360</v>
      </c>
    </row>
    <row r="2" spans="1:6" ht="15" customHeight="1" x14ac:dyDescent="0.2">
      <c r="A2" s="6" t="s">
        <v>314</v>
      </c>
    </row>
    <row r="4" spans="1:6" ht="15" customHeight="1" x14ac:dyDescent="0.2">
      <c r="A4" s="6" t="s">
        <v>244</v>
      </c>
      <c r="B4" s="14" t="s">
        <v>49</v>
      </c>
      <c r="C4" s="14" t="s">
        <v>50</v>
      </c>
      <c r="D4" s="14" t="s">
        <v>51</v>
      </c>
      <c r="E4" s="14" t="s">
        <v>52</v>
      </c>
    </row>
    <row r="5" spans="1:6" ht="15" customHeight="1" x14ac:dyDescent="0.2">
      <c r="A5" s="16" t="s">
        <v>361</v>
      </c>
      <c r="B5" s="17"/>
      <c r="C5" s="17"/>
      <c r="D5" s="17"/>
      <c r="E5" s="17"/>
      <c r="F5" s="17"/>
    </row>
    <row r="6" spans="1:6" ht="15" customHeight="1" x14ac:dyDescent="0.2">
      <c r="A6" s="7" t="s">
        <v>185</v>
      </c>
      <c r="B6" s="43">
        <f>Data_Collection!B136</f>
        <v>732636</v>
      </c>
      <c r="C6" s="43">
        <f>Data_Collection!C136</f>
        <v>1916744</v>
      </c>
      <c r="D6" s="43">
        <f>Data_Collection!D136</f>
        <v>1710000</v>
      </c>
      <c r="E6" s="43">
        <f>Data_Collection!E136</f>
        <v>267930</v>
      </c>
    </row>
    <row r="7" spans="1:6" ht="15" customHeight="1" x14ac:dyDescent="0.2">
      <c r="A7" s="7" t="s">
        <v>187</v>
      </c>
      <c r="B7" s="56">
        <f>Data_Collection!B137</f>
        <v>5.3999999999999999E-2</v>
      </c>
      <c r="C7" s="56">
        <f>Data_Collection!C137</f>
        <v>5.0999999999999997E-2</v>
      </c>
      <c r="D7" s="56">
        <f>Data_Collection!D137</f>
        <v>4.7E-2</v>
      </c>
      <c r="E7" s="56">
        <f>Data_Collection!E137</f>
        <v>4.7E-2</v>
      </c>
    </row>
    <row r="9" spans="1:6" ht="15" customHeight="1" x14ac:dyDescent="0.2">
      <c r="A9" s="16" t="s">
        <v>362</v>
      </c>
      <c r="B9" s="17"/>
      <c r="C9" s="17"/>
      <c r="D9" s="17"/>
      <c r="E9" s="17"/>
      <c r="F9" s="17"/>
    </row>
    <row r="10" spans="1:6" ht="15" customHeight="1" x14ac:dyDescent="0.2">
      <c r="A10" s="7" t="s">
        <v>363</v>
      </c>
      <c r="B10" s="43">
        <f>Data_Collection!B138</f>
        <v>1607994</v>
      </c>
      <c r="C10" s="43">
        <f>Data_Collection!C138</f>
        <v>3984920</v>
      </c>
      <c r="D10" s="43">
        <f>Data_Collection!D138</f>
        <v>2170174</v>
      </c>
      <c r="E10" s="43">
        <f>Data_Collection!E138</f>
        <v>676426</v>
      </c>
    </row>
    <row r="11" spans="1:6" ht="15" customHeight="1" x14ac:dyDescent="0.2">
      <c r="A11" s="7" t="s">
        <v>364</v>
      </c>
      <c r="B11" s="56">
        <f>Data_Collection!B139</f>
        <v>4.4999999999999998E-2</v>
      </c>
      <c r="C11" s="56">
        <f>Data_Collection!C139</f>
        <v>4.8000000000000001E-2</v>
      </c>
      <c r="D11" s="56">
        <f>Data_Collection!D139</f>
        <v>4.9000000000000002E-2</v>
      </c>
      <c r="E11" s="56">
        <f>Data_Collection!E139</f>
        <v>5.0999999999999997E-2</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7"/>
  <sheetViews>
    <sheetView showGridLines="0" zoomScaleNormal="100" workbookViewId="0">
      <pane xSplit="1" ySplit="4" topLeftCell="B5" activePane="bottomRight" state="frozen"/>
      <selection pane="topRight" activeCell="B1" sqref="B1"/>
      <selection pane="bottomLeft" activeCell="A5" sqref="A5"/>
      <selection pane="bottomRight" activeCell="A3" sqref="A3"/>
    </sheetView>
  </sheetViews>
  <sheetFormatPr baseColWidth="10" defaultColWidth="8.6640625" defaultRowHeight="15" x14ac:dyDescent="0.2"/>
  <cols>
    <col min="1" max="1" width="46" customWidth="1"/>
    <col min="2" max="5" width="12" customWidth="1"/>
    <col min="6" max="6" width="4" customWidth="1"/>
  </cols>
  <sheetData>
    <row r="1" spans="1:6" ht="17.25" customHeight="1" x14ac:dyDescent="0.2">
      <c r="A1" s="4" t="s">
        <v>365</v>
      </c>
    </row>
    <row r="2" spans="1:6" ht="15" customHeight="1" x14ac:dyDescent="0.2">
      <c r="A2" s="6" t="s">
        <v>314</v>
      </c>
    </row>
    <row r="4" spans="1:6" ht="15" customHeight="1" x14ac:dyDescent="0.2">
      <c r="A4" s="6" t="s">
        <v>244</v>
      </c>
      <c r="B4" s="14" t="s">
        <v>49</v>
      </c>
      <c r="C4" s="14" t="s">
        <v>50</v>
      </c>
      <c r="D4" s="14" t="s">
        <v>51</v>
      </c>
      <c r="E4" s="14" t="s">
        <v>52</v>
      </c>
    </row>
    <row r="5" spans="1:6" ht="15" customHeight="1" x14ac:dyDescent="0.2">
      <c r="A5" s="16" t="s">
        <v>366</v>
      </c>
      <c r="B5" s="17"/>
      <c r="C5" s="17"/>
      <c r="D5" s="17"/>
      <c r="E5" s="17"/>
      <c r="F5" s="17"/>
    </row>
    <row r="6" spans="1:6" ht="15" customHeight="1" x14ac:dyDescent="0.2">
      <c r="A6" s="7" t="s">
        <v>367</v>
      </c>
      <c r="B6" s="27"/>
      <c r="C6" s="27"/>
      <c r="D6" s="27"/>
      <c r="E6" s="27"/>
    </row>
    <row r="7" spans="1:6" ht="15" customHeight="1" x14ac:dyDescent="0.2">
      <c r="A7" s="7" t="s">
        <v>368</v>
      </c>
      <c r="B7" s="27"/>
      <c r="C7" s="27"/>
      <c r="D7" s="27"/>
      <c r="E7" s="27"/>
    </row>
    <row r="8" spans="1:6" ht="15" customHeight="1" x14ac:dyDescent="0.2">
      <c r="A8" s="7" t="s">
        <v>369</v>
      </c>
      <c r="B8" s="27"/>
      <c r="C8" s="27"/>
      <c r="D8" s="27"/>
      <c r="E8" s="27"/>
    </row>
    <row r="10" spans="1:6" ht="15" customHeight="1" x14ac:dyDescent="0.2">
      <c r="A10" s="16" t="s">
        <v>370</v>
      </c>
      <c r="B10" s="17"/>
      <c r="C10" s="17"/>
      <c r="D10" s="17"/>
      <c r="E10" s="17"/>
      <c r="F10" s="17"/>
    </row>
    <row r="11" spans="1:6" ht="15" customHeight="1" x14ac:dyDescent="0.2">
      <c r="A11" s="7" t="s">
        <v>194</v>
      </c>
      <c r="B11" s="56">
        <f>Data_Collection!B144</f>
        <v>0.03</v>
      </c>
      <c r="C11" s="56">
        <f>Data_Collection!C144</f>
        <v>3.2000000000000001E-2</v>
      </c>
      <c r="D11" s="56">
        <f>Data_Collection!D144</f>
        <v>3.3000000000000002E-2</v>
      </c>
      <c r="E11" s="56">
        <f>Data_Collection!E144</f>
        <v>3.3000000000000002E-2</v>
      </c>
    </row>
    <row r="12" spans="1:6" ht="15" customHeight="1" x14ac:dyDescent="0.2">
      <c r="A12" s="7" t="s">
        <v>195</v>
      </c>
      <c r="B12" s="57">
        <f>Data_Collection!B145</f>
        <v>9.1</v>
      </c>
      <c r="C12" s="57">
        <f>Data_Collection!C145</f>
        <v>9</v>
      </c>
      <c r="D12" s="57">
        <f>Data_Collection!D145</f>
        <v>8.1999999999999993</v>
      </c>
      <c r="E12" s="57">
        <f>Data_Collection!E145</f>
        <v>8.1</v>
      </c>
    </row>
    <row r="13" spans="1:6" ht="15" customHeight="1" x14ac:dyDescent="0.2">
      <c r="A13" s="7" t="s">
        <v>196</v>
      </c>
      <c r="B13" s="56">
        <f>Data_Collection!B146</f>
        <v>0.91</v>
      </c>
      <c r="C13" s="56">
        <f>Data_Collection!C146</f>
        <v>0.95199999999999996</v>
      </c>
      <c r="D13" s="56">
        <f>Data_Collection!D146</f>
        <v>0.96199999999999997</v>
      </c>
      <c r="E13" s="56">
        <f>Data_Collection!E146</f>
        <v>0.95399999999999996</v>
      </c>
    </row>
    <row r="14" spans="1:6" ht="15" customHeight="1" x14ac:dyDescent="0.2">
      <c r="A14" s="7" t="s">
        <v>197</v>
      </c>
      <c r="B14" s="56">
        <f>Data_Collection!B147</f>
        <v>6.0000000000000001E-3</v>
      </c>
      <c r="C14" s="56">
        <f>Data_Collection!C147</f>
        <v>5.0000000000000001E-3</v>
      </c>
      <c r="D14" s="56">
        <f>Data_Collection!D147</f>
        <v>3.0000000000000001E-3</v>
      </c>
      <c r="E14" s="56">
        <f>Data_Collection!E147</f>
        <v>4.0000000000000001E-3</v>
      </c>
    </row>
    <row r="15" spans="1:6" ht="15" customHeight="1" x14ac:dyDescent="0.2">
      <c r="A15" s="7" t="s">
        <v>198</v>
      </c>
      <c r="B15" s="59">
        <f>Data_Collection!B148</f>
        <v>4.5999999999999996</v>
      </c>
      <c r="C15" s="59">
        <f>Data_Collection!C148</f>
        <v>4.5999999999999996</v>
      </c>
      <c r="D15" s="59">
        <f>Data_Collection!D148</f>
        <v>5.3</v>
      </c>
      <c r="E15" s="59">
        <f>Data_Collection!E148</f>
        <v>4.8</v>
      </c>
    </row>
    <row r="16" spans="1:6" ht="15" customHeight="1" x14ac:dyDescent="0.2">
      <c r="A16" s="7" t="s">
        <v>199</v>
      </c>
      <c r="B16" s="59">
        <f>Data_Collection!B149</f>
        <v>7.9</v>
      </c>
      <c r="C16" s="59">
        <f>Data_Collection!C149</f>
        <v>6.8</v>
      </c>
      <c r="D16" s="59">
        <f>Data_Collection!D149</f>
        <v>5.9</v>
      </c>
      <c r="E16" s="59">
        <f>Data_Collection!E149</f>
        <v>6.4</v>
      </c>
    </row>
    <row r="17" spans="1:6" ht="15" customHeight="1" x14ac:dyDescent="0.2">
      <c r="A17" s="7" t="s">
        <v>203</v>
      </c>
      <c r="B17" s="43">
        <f>Data_Collection!B152</f>
        <v>6000</v>
      </c>
      <c r="C17" s="43">
        <f>Data_Collection!C152</f>
        <v>7400</v>
      </c>
      <c r="D17" s="43">
        <f>Data_Collection!D152</f>
        <v>7600</v>
      </c>
      <c r="E17" s="43">
        <f>Data_Collection!E152</f>
        <v>6700</v>
      </c>
    </row>
    <row r="19" spans="1:6" ht="15" customHeight="1" x14ac:dyDescent="0.2">
      <c r="A19" s="16" t="s">
        <v>371</v>
      </c>
      <c r="B19" s="17"/>
      <c r="C19" s="17"/>
      <c r="D19" s="17"/>
      <c r="E19" s="17"/>
      <c r="F19" s="17"/>
    </row>
    <row r="20" spans="1:6" ht="15" customHeight="1" x14ac:dyDescent="0.2">
      <c r="A20" s="7" t="s">
        <v>200</v>
      </c>
      <c r="B20" s="43">
        <f>Data_Collection!B150</f>
        <v>5755</v>
      </c>
      <c r="C20" s="43">
        <f>Data_Collection!C150</f>
        <v>4506</v>
      </c>
      <c r="D20" s="43">
        <f>Data_Collection!D150</f>
        <v>3461</v>
      </c>
      <c r="E20" s="43">
        <f>Data_Collection!E150</f>
        <v>162</v>
      </c>
    </row>
    <row r="21" spans="1:6" ht="15" customHeight="1" x14ac:dyDescent="0.2">
      <c r="A21" s="7" t="s">
        <v>202</v>
      </c>
      <c r="B21" s="56">
        <f>Data_Collection!B151</f>
        <v>4.7E-2</v>
      </c>
      <c r="C21" s="56">
        <f>Data_Collection!C151</f>
        <v>4.8000000000000001E-2</v>
      </c>
      <c r="D21" s="56">
        <f>Data_Collection!D151</f>
        <v>4.2000000000000003E-2</v>
      </c>
      <c r="E21" s="56">
        <f>Data_Collection!E151</f>
        <v>3.6999999999999998E-2</v>
      </c>
    </row>
    <row r="23" spans="1:6" ht="15" customHeight="1" x14ac:dyDescent="0.2">
      <c r="A23" s="16" t="s">
        <v>372</v>
      </c>
      <c r="B23" s="17"/>
      <c r="C23" s="17"/>
      <c r="D23" s="17"/>
      <c r="E23" s="17"/>
      <c r="F23" s="17"/>
    </row>
    <row r="24" spans="1:6" ht="15" customHeight="1" x14ac:dyDescent="0.2">
      <c r="A24" s="7" t="s">
        <v>373</v>
      </c>
      <c r="B24" s="27"/>
      <c r="C24" s="27"/>
      <c r="D24" s="27"/>
      <c r="E24" s="27"/>
    </row>
    <row r="25" spans="1:6" ht="15" customHeight="1" x14ac:dyDescent="0.2">
      <c r="A25" s="7" t="s">
        <v>374</v>
      </c>
      <c r="B25" s="27"/>
      <c r="C25" s="27"/>
      <c r="D25" s="27"/>
      <c r="E25" s="27"/>
    </row>
    <row r="26" spans="1:6" ht="15" customHeight="1" x14ac:dyDescent="0.2">
      <c r="A26" s="7" t="s">
        <v>375</v>
      </c>
      <c r="B26" s="27"/>
      <c r="C26" s="27"/>
      <c r="D26" s="27"/>
      <c r="E26" s="27"/>
    </row>
    <row r="27" spans="1:6" ht="15" customHeight="1" x14ac:dyDescent="0.2">
      <c r="A27" s="7" t="s">
        <v>376</v>
      </c>
      <c r="B27" s="60"/>
      <c r="C27" s="60"/>
      <c r="D27" s="60"/>
      <c r="E27" s="60"/>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5"/>
  <sheetViews>
    <sheetView showGridLines="0" zoomScaleNormal="100" workbookViewId="0">
      <pane xSplit="1" ySplit="4" topLeftCell="B5" activePane="bottomRight" state="frozen"/>
      <selection pane="topRight" activeCell="B1" sqref="B1"/>
      <selection pane="bottomLeft" activeCell="A5" sqref="A5"/>
      <selection pane="bottomRight" activeCell="A2" sqref="A2"/>
    </sheetView>
  </sheetViews>
  <sheetFormatPr baseColWidth="10" defaultColWidth="8.6640625" defaultRowHeight="15" x14ac:dyDescent="0.2"/>
  <cols>
    <col min="1" max="1" width="46" customWidth="1"/>
    <col min="2" max="5" width="12" customWidth="1"/>
    <col min="6" max="6" width="4" customWidth="1"/>
  </cols>
  <sheetData>
    <row r="1" spans="1:6" ht="17.25" customHeight="1" x14ac:dyDescent="0.2">
      <c r="A1" s="4" t="s">
        <v>377</v>
      </c>
    </row>
    <row r="2" spans="1:6" ht="15" customHeight="1" x14ac:dyDescent="0.2">
      <c r="A2" s="6" t="s">
        <v>378</v>
      </c>
    </row>
    <row r="4" spans="1:6" ht="15" customHeight="1" x14ac:dyDescent="0.2">
      <c r="A4" s="6" t="s">
        <v>244</v>
      </c>
      <c r="B4" s="14" t="s">
        <v>49</v>
      </c>
      <c r="C4" s="14" t="s">
        <v>50</v>
      </c>
      <c r="D4" s="14" t="s">
        <v>51</v>
      </c>
      <c r="E4" s="14" t="s">
        <v>52</v>
      </c>
    </row>
    <row r="5" spans="1:6" ht="15" customHeight="1" x14ac:dyDescent="0.2">
      <c r="A5" s="16" t="s">
        <v>379</v>
      </c>
      <c r="B5" s="17"/>
      <c r="C5" s="17"/>
      <c r="D5" s="17"/>
      <c r="E5" s="17"/>
      <c r="F5" s="17"/>
    </row>
    <row r="6" spans="1:6" ht="15" customHeight="1" x14ac:dyDescent="0.2">
      <c r="A6" s="7" t="s">
        <v>380</v>
      </c>
      <c r="B6" s="57">
        <f>Data_Collection!B155</f>
        <v>924.4</v>
      </c>
      <c r="C6" s="57">
        <f>Data_Collection!C155</f>
        <v>926.3</v>
      </c>
      <c r="D6" s="57">
        <f>Data_Collection!D155</f>
        <v>929.2</v>
      </c>
      <c r="E6" s="57">
        <f>Data_Collection!E155</f>
        <v>932.3</v>
      </c>
    </row>
    <row r="7" spans="1:6" ht="15" customHeight="1" x14ac:dyDescent="0.2">
      <c r="A7" s="7" t="s">
        <v>381</v>
      </c>
      <c r="B7" s="57">
        <f>Data_Collection!B156</f>
        <v>951.8</v>
      </c>
      <c r="C7" s="57">
        <f>Data_Collection!C156</f>
        <v>953.6</v>
      </c>
      <c r="D7" s="57">
        <f>Data_Collection!D156</f>
        <v>956.8</v>
      </c>
      <c r="E7" s="57">
        <f>Data_Collection!E156</f>
        <v>957.6</v>
      </c>
    </row>
    <row r="8" spans="1:6" ht="15" customHeight="1" x14ac:dyDescent="0.2">
      <c r="A8" s="7" t="s">
        <v>382</v>
      </c>
      <c r="B8" s="57">
        <f>Data_Collection!B157</f>
        <v>952.2</v>
      </c>
      <c r="C8" s="57">
        <f>Data_Collection!C157</f>
        <v>954.1</v>
      </c>
      <c r="D8" s="57">
        <f>Data_Collection!D157</f>
        <v>957.2</v>
      </c>
      <c r="E8" s="57">
        <f>Data_Collection!E157</f>
        <v>960.3</v>
      </c>
    </row>
    <row r="9" spans="1:6" ht="15" customHeight="1" x14ac:dyDescent="0.2">
      <c r="A9" s="7" t="s">
        <v>383</v>
      </c>
      <c r="B9" s="57">
        <f>Data_Collection!B158</f>
        <v>23.3</v>
      </c>
      <c r="C9" s="57">
        <f>Data_Collection!C158</f>
        <v>23.4</v>
      </c>
      <c r="D9" s="57">
        <f>Data_Collection!D158</f>
        <v>22.1</v>
      </c>
      <c r="E9" s="57">
        <f>Data_Collection!E158</f>
        <v>20</v>
      </c>
    </row>
    <row r="10" spans="1:6" ht="15" customHeight="1" x14ac:dyDescent="0.2">
      <c r="A10" s="7" t="s">
        <v>384</v>
      </c>
      <c r="B10" s="58">
        <f>B8-B7</f>
        <v>0.40000000000009095</v>
      </c>
      <c r="C10" s="58">
        <f>C8-C7</f>
        <v>0.5</v>
      </c>
      <c r="D10" s="58">
        <f>D8-D7</f>
        <v>0.40000000000009095</v>
      </c>
      <c r="E10" s="58">
        <f>E8-E7</f>
        <v>2.6999999999999318</v>
      </c>
    </row>
    <row r="11" spans="1:6" ht="15" customHeight="1" x14ac:dyDescent="0.2">
      <c r="A11" s="7" t="s">
        <v>385</v>
      </c>
      <c r="B11" s="61" t="str">
        <f>IF(B8="","n/a",IF(B8&gt;=B7,"OK","ERROR"))</f>
        <v>OK</v>
      </c>
      <c r="C11" s="61" t="str">
        <f>IF(C8="","n/a",IF(C8&gt;=C7,"OK","ERROR"))</f>
        <v>OK</v>
      </c>
      <c r="D11" s="61" t="str">
        <f>IF(D8="","n/a",IF(D8&gt;=D7,"OK","ERROR"))</f>
        <v>OK</v>
      </c>
      <c r="E11" s="61" t="str">
        <f>IF(E8="","n/a",IF(E8&gt;=E7,"OK","ERROR"))</f>
        <v>OK</v>
      </c>
    </row>
    <row r="13" spans="1:6" ht="15" customHeight="1" x14ac:dyDescent="0.2">
      <c r="A13" s="16" t="s">
        <v>386</v>
      </c>
      <c r="B13" s="17"/>
      <c r="C13" s="17"/>
      <c r="D13" s="17"/>
      <c r="E13" s="17"/>
      <c r="F13" s="17"/>
    </row>
    <row r="14" spans="1:6" ht="15" customHeight="1" x14ac:dyDescent="0.2">
      <c r="A14" s="7" t="s">
        <v>210</v>
      </c>
      <c r="B14" s="43">
        <f>Data_Collection!B159</f>
        <v>0</v>
      </c>
      <c r="C14" s="43">
        <f>Data_Collection!C159</f>
        <v>0</v>
      </c>
      <c r="D14" s="43">
        <f>Data_Collection!D159</f>
        <v>0</v>
      </c>
      <c r="E14" s="43">
        <f>Data_Collection!E159</f>
        <v>0</v>
      </c>
    </row>
    <row r="15" spans="1:6" ht="15" customHeight="1" x14ac:dyDescent="0.2">
      <c r="A15" s="7" t="s">
        <v>387</v>
      </c>
      <c r="B15" s="57">
        <f>Data_Collection!B160</f>
        <v>0</v>
      </c>
      <c r="C15" s="57">
        <f>Data_Collection!C160</f>
        <v>0</v>
      </c>
      <c r="D15" s="57">
        <f>Data_Collection!D160</f>
        <v>0</v>
      </c>
      <c r="E15" s="57">
        <f>Data_Collection!E160</f>
        <v>0</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2"/>
  <sheetViews>
    <sheetView showGridLines="0" zoomScaleNormal="100" workbookViewId="0">
      <selection activeCell="E28" sqref="E28"/>
    </sheetView>
  </sheetViews>
  <sheetFormatPr baseColWidth="10" defaultColWidth="8.6640625" defaultRowHeight="15" x14ac:dyDescent="0.2"/>
  <cols>
    <col min="1" max="1" width="6" customWidth="1"/>
    <col min="2" max="2" width="52" customWidth="1"/>
    <col min="3" max="3" width="14" customWidth="1"/>
    <col min="4" max="4" width="40" customWidth="1"/>
    <col min="5" max="5" width="12" customWidth="1"/>
  </cols>
  <sheetData>
    <row r="1" spans="1:5" ht="17.25" customHeight="1" x14ac:dyDescent="0.2">
      <c r="A1" s="4" t="s">
        <v>388</v>
      </c>
    </row>
    <row r="2" spans="1:5" ht="15" customHeight="1" x14ac:dyDescent="0.2">
      <c r="A2" s="6" t="s">
        <v>389</v>
      </c>
    </row>
    <row r="4" spans="1:5" ht="15" customHeight="1" x14ac:dyDescent="0.2">
      <c r="A4" s="16" t="s">
        <v>390</v>
      </c>
      <c r="B4" s="16" t="s">
        <v>391</v>
      </c>
      <c r="C4" s="16" t="s">
        <v>392</v>
      </c>
      <c r="D4" s="16" t="s">
        <v>393</v>
      </c>
      <c r="E4" s="16" t="s">
        <v>394</v>
      </c>
    </row>
    <row r="5" spans="1:5" ht="15" customHeight="1" x14ac:dyDescent="0.2">
      <c r="A5" s="7">
        <v>1</v>
      </c>
      <c r="B5" s="7" t="s">
        <v>395</v>
      </c>
      <c r="C5" s="7" t="s">
        <v>396</v>
      </c>
      <c r="D5" s="25" t="s">
        <v>397</v>
      </c>
      <c r="E5" s="50" t="str">
        <f>IF(SUMPRODUCT(ABS(Historicals!B52:E52))&lt;4,"OK","ERROR")</f>
        <v>OK</v>
      </c>
    </row>
    <row r="6" spans="1:5" ht="15" customHeight="1" x14ac:dyDescent="0.2">
      <c r="A6" s="7">
        <v>2</v>
      </c>
      <c r="B6" s="7" t="s">
        <v>398</v>
      </c>
      <c r="C6" s="7" t="s">
        <v>399</v>
      </c>
      <c r="D6" s="25" t="s">
        <v>400</v>
      </c>
      <c r="E6" s="50" t="str">
        <f>IF(COUNTIF(FFO_Recon!B11:E11,"ERROR")=0,"OK","ERROR")</f>
        <v>OK</v>
      </c>
    </row>
    <row r="7" spans="1:5" ht="15" customHeight="1" x14ac:dyDescent="0.2">
      <c r="A7" s="7">
        <v>3</v>
      </c>
      <c r="B7" s="7" t="s">
        <v>401</v>
      </c>
      <c r="C7" s="7" t="s">
        <v>399</v>
      </c>
      <c r="D7" s="25" t="s">
        <v>402</v>
      </c>
      <c r="E7" s="50" t="str">
        <f>IF(COUNTIF(FFO_Recon!B31:E31,"ERROR")=0,"OK","ERROR")</f>
        <v>OK</v>
      </c>
    </row>
    <row r="8" spans="1:5" ht="15" customHeight="1" x14ac:dyDescent="0.2">
      <c r="A8" s="7">
        <v>4</v>
      </c>
      <c r="B8" s="7" t="s">
        <v>403</v>
      </c>
      <c r="C8" s="7" t="s">
        <v>404</v>
      </c>
      <c r="D8" s="25" t="s">
        <v>405</v>
      </c>
      <c r="E8" s="50" t="str">
        <f>IF(COUNTIF(FFO_Recon!B46:E46,"ERROR")=0,"OK","ERROR")</f>
        <v>OK</v>
      </c>
    </row>
    <row r="9" spans="1:5" ht="15" customHeight="1" x14ac:dyDescent="0.2">
      <c r="A9" s="7">
        <v>5</v>
      </c>
      <c r="B9" s="7" t="s">
        <v>406</v>
      </c>
      <c r="C9" s="7" t="s">
        <v>407</v>
      </c>
      <c r="D9" s="25" t="s">
        <v>408</v>
      </c>
      <c r="E9" s="50" t="str">
        <f>IF(COUNTIF(Share_Count!B11:E11,"ERROR")=0,"OK","ERROR")</f>
        <v>OK</v>
      </c>
    </row>
    <row r="10" spans="1:5" ht="15" customHeight="1" x14ac:dyDescent="0.2">
      <c r="A10" s="7">
        <v>6</v>
      </c>
      <c r="B10" s="7" t="s">
        <v>409</v>
      </c>
      <c r="C10" s="7" t="s">
        <v>262</v>
      </c>
      <c r="D10" s="25" t="s">
        <v>410</v>
      </c>
      <c r="E10" s="50" t="str">
        <f>IF(Debt!B6="","PENDING","REVIEW")</f>
        <v>PENDING</v>
      </c>
    </row>
    <row r="11" spans="1:5" ht="15" customHeight="1" x14ac:dyDescent="0.2">
      <c r="A11" s="7">
        <v>7</v>
      </c>
      <c r="B11" s="7" t="s">
        <v>411</v>
      </c>
      <c r="C11" s="7" t="s">
        <v>412</v>
      </c>
      <c r="D11" s="25" t="s">
        <v>413</v>
      </c>
      <c r="E11" s="50" t="str">
        <f>IF(1=1,"MANUAL","")</f>
        <v>MANUAL</v>
      </c>
    </row>
    <row r="12" spans="1:5" ht="15" customHeight="1" x14ac:dyDescent="0.2">
      <c r="A12" s="7">
        <v>8</v>
      </c>
      <c r="B12" s="7" t="s">
        <v>414</v>
      </c>
      <c r="C12" s="7" t="s">
        <v>412</v>
      </c>
      <c r="D12" s="25" t="s">
        <v>415</v>
      </c>
      <c r="E12" s="50" t="str">
        <f>IF(1=1,"MANUAL","")</f>
        <v>MANUAL</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64"/>
  <sheetViews>
    <sheetView showGridLines="0" zoomScaleNormal="100" workbookViewId="0">
      <pane xSplit="2" ySplit="8" topLeftCell="C18" activePane="bottomRight" state="frozen"/>
      <selection pane="topRight" activeCell="C1" sqref="C1"/>
      <selection pane="bottomLeft" activeCell="A9" sqref="A9"/>
      <selection pane="bottomRight" activeCell="P17" sqref="P17"/>
    </sheetView>
  </sheetViews>
  <sheetFormatPr baseColWidth="10" defaultColWidth="8.6640625" defaultRowHeight="15" x14ac:dyDescent="0.2"/>
  <cols>
    <col min="1" max="1" width="44" customWidth="1"/>
    <col min="2" max="8" width="14" customWidth="1"/>
  </cols>
  <sheetData>
    <row r="1" spans="1:21" ht="17.25" customHeight="1" x14ac:dyDescent="0.2">
      <c r="A1" s="4" t="s">
        <v>416</v>
      </c>
      <c r="B1" s="7"/>
      <c r="C1" s="7"/>
      <c r="D1" s="7"/>
      <c r="E1" s="7"/>
      <c r="F1" s="7"/>
      <c r="G1" s="7"/>
    </row>
    <row r="2" spans="1:21" ht="15" customHeight="1" x14ac:dyDescent="0.2">
      <c r="A2" s="19" t="s">
        <v>417</v>
      </c>
      <c r="B2" s="7"/>
      <c r="C2" s="7"/>
      <c r="D2" s="7"/>
      <c r="E2" s="7"/>
      <c r="F2" s="7"/>
      <c r="G2" s="7"/>
    </row>
    <row r="3" spans="1:21" ht="15" customHeight="1" x14ac:dyDescent="0.2">
      <c r="A3" s="7"/>
      <c r="B3" s="7"/>
      <c r="C3" s="7"/>
      <c r="D3" s="7"/>
      <c r="E3" s="7"/>
      <c r="F3" s="7"/>
      <c r="G3" s="7"/>
    </row>
    <row r="4" spans="1:21" x14ac:dyDescent="0.2">
      <c r="A4" s="16" t="s">
        <v>418</v>
      </c>
      <c r="B4" s="48"/>
      <c r="C4" s="48"/>
      <c r="D4" s="48"/>
      <c r="E4" s="48"/>
      <c r="F4" s="48"/>
      <c r="G4" s="48"/>
      <c r="U4" s="62">
        <v>1</v>
      </c>
    </row>
    <row r="5" spans="1:21" ht="15" customHeight="1" x14ac:dyDescent="0.2">
      <c r="A5" s="10" t="s">
        <v>419</v>
      </c>
      <c r="B5" s="63">
        <v>1</v>
      </c>
      <c r="C5" s="7"/>
      <c r="D5" s="7"/>
      <c r="E5" s="7"/>
      <c r="F5" s="7"/>
      <c r="G5" s="2" t="s">
        <v>420</v>
      </c>
      <c r="U5" s="62">
        <v>2</v>
      </c>
    </row>
    <row r="6" spans="1:21" ht="15" customHeight="1" x14ac:dyDescent="0.2">
      <c r="A6" s="7" t="s">
        <v>421</v>
      </c>
      <c r="B6" s="50" t="str">
        <f>CHOOSE($B$5,"BASE","BULL","BEAR")</f>
        <v>BASE</v>
      </c>
      <c r="C6" s="7"/>
      <c r="D6" s="7"/>
      <c r="E6" s="7"/>
      <c r="F6" s="7"/>
      <c r="G6" s="7"/>
      <c r="U6" s="62">
        <v>3</v>
      </c>
    </row>
    <row r="7" spans="1:21" ht="15" customHeight="1" x14ac:dyDescent="0.2">
      <c r="A7" s="7"/>
      <c r="B7" s="7"/>
      <c r="C7" s="7"/>
      <c r="D7" s="7"/>
      <c r="E7" s="7"/>
      <c r="F7" s="7"/>
      <c r="G7" s="7"/>
    </row>
    <row r="8" spans="1:21" ht="15" customHeight="1" x14ac:dyDescent="0.2">
      <c r="A8" s="64" t="s">
        <v>422</v>
      </c>
      <c r="B8" s="14" t="s">
        <v>423</v>
      </c>
      <c r="C8" s="14" t="s">
        <v>424</v>
      </c>
      <c r="D8" s="14" t="s">
        <v>425</v>
      </c>
      <c r="E8" s="14" t="s">
        <v>426</v>
      </c>
      <c r="F8" s="65" t="s">
        <v>427</v>
      </c>
      <c r="G8" s="64" t="s">
        <v>428</v>
      </c>
    </row>
    <row r="9" spans="1:21" ht="15" customHeight="1" x14ac:dyDescent="0.2">
      <c r="A9" s="16" t="s">
        <v>429</v>
      </c>
      <c r="B9" s="48"/>
      <c r="C9" s="48"/>
      <c r="D9" s="48"/>
      <c r="E9" s="48"/>
      <c r="F9" s="48"/>
      <c r="G9" s="48"/>
    </row>
    <row r="10" spans="1:21" ht="15" customHeight="1" x14ac:dyDescent="0.2">
      <c r="A10" s="7" t="s">
        <v>430</v>
      </c>
      <c r="B10" s="66">
        <f>Drivers!D6</f>
        <v>0.95599999999999996</v>
      </c>
      <c r="C10" s="67">
        <v>0.95299999999999996</v>
      </c>
      <c r="D10" s="67">
        <v>0.95699999999999996</v>
      </c>
      <c r="E10" s="67">
        <v>0.93500000000000005</v>
      </c>
      <c r="F10" s="68">
        <f>CHOOSE($B$5,C10,D10,E10)</f>
        <v>0.95299999999999996</v>
      </c>
      <c r="G10" s="2" t="s">
        <v>431</v>
      </c>
    </row>
    <row r="11" spans="1:21" ht="15" customHeight="1" x14ac:dyDescent="0.2">
      <c r="A11" s="7" t="s">
        <v>432</v>
      </c>
      <c r="B11" s="69" t="s">
        <v>433</v>
      </c>
      <c r="C11" s="67">
        <v>0.03</v>
      </c>
      <c r="D11" s="67">
        <v>0.06</v>
      </c>
      <c r="E11" s="67">
        <v>-0.01</v>
      </c>
      <c r="F11" s="68">
        <f>CHOOSE($B$5,C11,D11,E11)</f>
        <v>0.03</v>
      </c>
      <c r="G11" s="2" t="s">
        <v>434</v>
      </c>
    </row>
    <row r="12" spans="1:21" ht="15" customHeight="1" x14ac:dyDescent="0.2">
      <c r="A12" s="7" t="s">
        <v>435</v>
      </c>
      <c r="B12" s="69" t="s">
        <v>433</v>
      </c>
      <c r="C12" s="67">
        <v>3.5000000000000003E-2</v>
      </c>
      <c r="D12" s="67">
        <v>5.5E-2</v>
      </c>
      <c r="E12" s="67">
        <v>0.01</v>
      </c>
      <c r="F12" s="68">
        <f>CHOOSE($B$5,C12,D12,E12)</f>
        <v>3.5000000000000003E-2</v>
      </c>
      <c r="G12" s="2" t="s">
        <v>436</v>
      </c>
    </row>
    <row r="13" spans="1:21" ht="15" customHeight="1" x14ac:dyDescent="0.2">
      <c r="A13" s="7" t="s">
        <v>437</v>
      </c>
      <c r="B13" s="69" t="s">
        <v>433</v>
      </c>
      <c r="C13" s="67">
        <v>0.04</v>
      </c>
      <c r="D13" s="67">
        <v>4.4999999999999998E-2</v>
      </c>
      <c r="E13" s="67">
        <v>3.5000000000000003E-2</v>
      </c>
      <c r="F13" s="68">
        <f>CHOOSE($B$5,C13,D13,E13)</f>
        <v>0.04</v>
      </c>
      <c r="G13" s="2" t="s">
        <v>438</v>
      </c>
    </row>
    <row r="14" spans="1:21" ht="15" customHeight="1" x14ac:dyDescent="0.2">
      <c r="A14" s="7" t="s">
        <v>439</v>
      </c>
      <c r="B14" s="66">
        <f>Drivers!D12</f>
        <v>6.3E-2</v>
      </c>
      <c r="C14" s="7"/>
      <c r="D14" s="7"/>
      <c r="E14" s="7"/>
      <c r="F14" s="70"/>
      <c r="G14" s="2" t="s">
        <v>440</v>
      </c>
    </row>
    <row r="15" spans="1:21" ht="15" customHeight="1" x14ac:dyDescent="0.2">
      <c r="A15" s="7" t="s">
        <v>441</v>
      </c>
      <c r="B15" s="69" t="s">
        <v>433</v>
      </c>
      <c r="C15" s="67">
        <v>0.245</v>
      </c>
      <c r="D15" s="67">
        <v>0.24</v>
      </c>
      <c r="E15" s="67">
        <v>0.255</v>
      </c>
      <c r="F15" s="68">
        <f>CHOOSE($B$5,C15,D15,E15)</f>
        <v>0.245</v>
      </c>
      <c r="G15" s="2" t="s">
        <v>442</v>
      </c>
    </row>
    <row r="16" spans="1:21" ht="15" customHeight="1" x14ac:dyDescent="0.2">
      <c r="A16" s="7"/>
      <c r="B16" s="7"/>
      <c r="C16" s="7"/>
      <c r="D16" s="7"/>
      <c r="E16" s="7"/>
      <c r="F16" s="7"/>
      <c r="G16" s="7"/>
    </row>
    <row r="17" spans="1:7" ht="15" customHeight="1" x14ac:dyDescent="0.2">
      <c r="A17" s="16" t="s">
        <v>443</v>
      </c>
      <c r="B17" s="48"/>
      <c r="C17" s="48"/>
      <c r="D17" s="48"/>
      <c r="E17" s="48"/>
      <c r="F17" s="48"/>
      <c r="G17" s="48"/>
    </row>
    <row r="18" spans="1:7" ht="15" customHeight="1" x14ac:dyDescent="0.2">
      <c r="A18" s="7" t="s">
        <v>444</v>
      </c>
      <c r="B18" s="66">
        <f>Drivers!D17</f>
        <v>0.438</v>
      </c>
      <c r="C18" s="67">
        <v>0.3</v>
      </c>
      <c r="D18" s="67">
        <v>0.4</v>
      </c>
      <c r="E18" s="67">
        <v>0.18</v>
      </c>
      <c r="F18" s="68">
        <f>CHOOSE($B$5,C18,D18,E18)</f>
        <v>0.3</v>
      </c>
      <c r="G18" s="2" t="s">
        <v>445</v>
      </c>
    </row>
    <row r="19" spans="1:7" ht="15" customHeight="1" x14ac:dyDescent="0.2">
      <c r="A19" s="7" t="s">
        <v>446</v>
      </c>
      <c r="B19" s="69" t="s">
        <v>433</v>
      </c>
      <c r="C19" s="67">
        <v>0.1</v>
      </c>
      <c r="D19" s="67">
        <v>0.22</v>
      </c>
      <c r="E19" s="67">
        <v>0.03</v>
      </c>
      <c r="F19" s="68">
        <f>CHOOSE($B$5,C19,D19,E19)</f>
        <v>0.1</v>
      </c>
      <c r="G19" s="2" t="s">
        <v>447</v>
      </c>
    </row>
    <row r="20" spans="1:7" ht="15" customHeight="1" x14ac:dyDescent="0.2">
      <c r="A20" s="7" t="s">
        <v>448</v>
      </c>
      <c r="B20" s="66">
        <f>Drivers!D23</f>
        <v>0.10299999999999999</v>
      </c>
      <c r="C20" s="67">
        <v>0.13</v>
      </c>
      <c r="D20" s="67">
        <v>0.15</v>
      </c>
      <c r="E20" s="67">
        <v>0.11</v>
      </c>
      <c r="F20" s="68">
        <f>CHOOSE($B$5,C20,D20,E20)</f>
        <v>0.13</v>
      </c>
      <c r="G20" s="2" t="s">
        <v>449</v>
      </c>
    </row>
    <row r="21" spans="1:7" ht="15" customHeight="1" x14ac:dyDescent="0.2">
      <c r="A21" s="7" t="s">
        <v>450</v>
      </c>
      <c r="B21" s="66">
        <f>Drivers!D19</f>
        <v>0.77700000000000002</v>
      </c>
      <c r="C21" s="67">
        <v>0.77</v>
      </c>
      <c r="D21" s="67">
        <v>0.8</v>
      </c>
      <c r="E21" s="67">
        <v>0.72</v>
      </c>
      <c r="F21" s="68">
        <f>CHOOSE($B$5,C21,D21,E21)</f>
        <v>0.77</v>
      </c>
      <c r="G21" s="2" t="s">
        <v>451</v>
      </c>
    </row>
    <row r="22" spans="1:7" ht="15" customHeight="1" x14ac:dyDescent="0.2">
      <c r="A22" s="7" t="s">
        <v>452</v>
      </c>
      <c r="B22" s="66">
        <f>Drivers!D30</f>
        <v>0.501</v>
      </c>
      <c r="C22" s="67">
        <v>0.5</v>
      </c>
      <c r="D22" s="67">
        <v>0.5</v>
      </c>
      <c r="E22" s="67">
        <v>0.5</v>
      </c>
      <c r="F22" s="68">
        <f>CHOOSE($B$5,C22,D22,E22)</f>
        <v>0.5</v>
      </c>
      <c r="G22" s="2" t="s">
        <v>453</v>
      </c>
    </row>
    <row r="23" spans="1:7" ht="15" customHeight="1" x14ac:dyDescent="0.2">
      <c r="A23" s="7"/>
      <c r="B23" s="7"/>
      <c r="C23" s="7"/>
      <c r="D23" s="7"/>
      <c r="E23" s="7"/>
      <c r="F23" s="7"/>
      <c r="G23" s="7"/>
    </row>
    <row r="24" spans="1:7" ht="15" customHeight="1" x14ac:dyDescent="0.2">
      <c r="A24" s="16" t="s">
        <v>454</v>
      </c>
      <c r="B24" s="48"/>
      <c r="C24" s="48"/>
      <c r="D24" s="48"/>
      <c r="E24" s="48"/>
      <c r="F24" s="48"/>
      <c r="G24" s="48"/>
    </row>
    <row r="25" spans="1:7" ht="15" customHeight="1" x14ac:dyDescent="0.2">
      <c r="A25" s="7" t="s">
        <v>455</v>
      </c>
      <c r="B25" s="71">
        <f>Drivers!D14/1000</f>
        <v>773.17600000000004</v>
      </c>
      <c r="C25" s="72">
        <v>4000</v>
      </c>
      <c r="D25" s="72">
        <v>5500</v>
      </c>
      <c r="E25" s="72">
        <v>2500</v>
      </c>
      <c r="F25" s="73">
        <f t="shared" ref="F25:F34" si="0">CHOOSE($B$5,C25,D25,E25)</f>
        <v>4000</v>
      </c>
      <c r="G25" s="2" t="s">
        <v>456</v>
      </c>
    </row>
    <row r="26" spans="1:7" ht="15" customHeight="1" x14ac:dyDescent="0.2">
      <c r="A26" s="7" t="s">
        <v>457</v>
      </c>
      <c r="B26" s="69" t="s">
        <v>433</v>
      </c>
      <c r="C26" s="67">
        <v>0.05</v>
      </c>
      <c r="D26" s="67">
        <v>0.12</v>
      </c>
      <c r="E26" s="67">
        <v>-0.2</v>
      </c>
      <c r="F26" s="68">
        <f t="shared" si="0"/>
        <v>0.05</v>
      </c>
      <c r="G26" s="2" t="s">
        <v>458</v>
      </c>
    </row>
    <row r="27" spans="1:7" ht="15" customHeight="1" x14ac:dyDescent="0.2">
      <c r="A27" s="7" t="s">
        <v>459</v>
      </c>
      <c r="B27" s="66">
        <f>Development!D19</f>
        <v>6.7000000000000004E-2</v>
      </c>
      <c r="C27" s="67">
        <v>6.5000000000000002E-2</v>
      </c>
      <c r="D27" s="67">
        <v>7.4999999999999997E-2</v>
      </c>
      <c r="E27" s="67">
        <v>5.5E-2</v>
      </c>
      <c r="F27" s="68">
        <f t="shared" si="0"/>
        <v>6.5000000000000002E-2</v>
      </c>
      <c r="G27" s="2" t="s">
        <v>460</v>
      </c>
    </row>
    <row r="28" spans="1:7" ht="15" customHeight="1" x14ac:dyDescent="0.2">
      <c r="A28" s="7" t="s">
        <v>461</v>
      </c>
      <c r="B28" s="66">
        <f>Development!D20</f>
        <v>0.251</v>
      </c>
      <c r="C28" s="67">
        <v>0.2</v>
      </c>
      <c r="D28" s="67">
        <v>0.3</v>
      </c>
      <c r="E28" s="67">
        <v>0.05</v>
      </c>
      <c r="F28" s="68">
        <f t="shared" si="0"/>
        <v>0.2</v>
      </c>
      <c r="G28" s="2" t="s">
        <v>462</v>
      </c>
    </row>
    <row r="29" spans="1:7" ht="15" customHeight="1" x14ac:dyDescent="0.2">
      <c r="A29" s="7" t="s">
        <v>463</v>
      </c>
      <c r="B29" s="71">
        <f>Development!E13</f>
        <v>1300</v>
      </c>
      <c r="C29" s="72">
        <v>1300</v>
      </c>
      <c r="D29" s="72">
        <v>2500</v>
      </c>
      <c r="E29" s="72">
        <v>500</v>
      </c>
      <c r="F29" s="73">
        <f t="shared" si="0"/>
        <v>1300</v>
      </c>
      <c r="G29" s="2" t="s">
        <v>464</v>
      </c>
    </row>
    <row r="30" spans="1:7" ht="15" customHeight="1" x14ac:dyDescent="0.2">
      <c r="A30" s="7" t="s">
        <v>465</v>
      </c>
      <c r="B30" s="69" t="s">
        <v>433</v>
      </c>
      <c r="C30" s="67">
        <v>0.1</v>
      </c>
      <c r="D30" s="67">
        <v>0.25</v>
      </c>
      <c r="E30" s="67">
        <v>-0.3</v>
      </c>
      <c r="F30" s="68">
        <f t="shared" si="0"/>
        <v>0.1</v>
      </c>
      <c r="G30" s="2" t="s">
        <v>466</v>
      </c>
    </row>
    <row r="31" spans="1:7" ht="15" customHeight="1" x14ac:dyDescent="0.2">
      <c r="A31" s="7" t="s">
        <v>467</v>
      </c>
      <c r="B31" s="69" t="s">
        <v>433</v>
      </c>
      <c r="C31" s="67">
        <v>0.08</v>
      </c>
      <c r="D31" s="67">
        <v>0.09</v>
      </c>
      <c r="E31" s="67">
        <v>6.5000000000000002E-2</v>
      </c>
      <c r="F31" s="68">
        <f t="shared" si="0"/>
        <v>0.08</v>
      </c>
      <c r="G31" s="2" t="s">
        <v>468</v>
      </c>
    </row>
    <row r="32" spans="1:7" ht="15" customHeight="1" x14ac:dyDescent="0.2">
      <c r="A32" s="7" t="s">
        <v>469</v>
      </c>
      <c r="B32" s="69" t="s">
        <v>433</v>
      </c>
      <c r="C32" s="67">
        <v>0.25</v>
      </c>
      <c r="D32" s="67">
        <v>0.35</v>
      </c>
      <c r="E32" s="67">
        <v>0.1</v>
      </c>
      <c r="F32" s="68">
        <f t="shared" si="0"/>
        <v>0.25</v>
      </c>
      <c r="G32" s="2" t="s">
        <v>470</v>
      </c>
    </row>
    <row r="33" spans="1:7" ht="15" customHeight="1" x14ac:dyDescent="0.2">
      <c r="A33" s="7" t="s">
        <v>471</v>
      </c>
      <c r="B33" s="69" t="s">
        <v>433</v>
      </c>
      <c r="C33" s="74">
        <v>6</v>
      </c>
      <c r="D33" s="74">
        <v>5</v>
      </c>
      <c r="E33" s="74">
        <v>7</v>
      </c>
      <c r="F33" s="75">
        <f t="shared" si="0"/>
        <v>6</v>
      </c>
      <c r="G33" s="2" t="s">
        <v>472</v>
      </c>
    </row>
    <row r="34" spans="1:7" ht="15" customHeight="1" x14ac:dyDescent="0.2">
      <c r="A34" s="7" t="s">
        <v>473</v>
      </c>
      <c r="B34" s="69" t="s">
        <v>433</v>
      </c>
      <c r="C34" s="67">
        <v>0.4</v>
      </c>
      <c r="D34" s="67">
        <v>0.5</v>
      </c>
      <c r="E34" s="67">
        <v>0.2</v>
      </c>
      <c r="F34" s="68">
        <f t="shared" si="0"/>
        <v>0.4</v>
      </c>
      <c r="G34" s="2" t="s">
        <v>474</v>
      </c>
    </row>
    <row r="36" spans="1:7" ht="15" customHeight="1" x14ac:dyDescent="0.2">
      <c r="A36" s="16" t="s">
        <v>475</v>
      </c>
      <c r="B36" s="17"/>
      <c r="C36" s="17"/>
      <c r="D36" s="17"/>
      <c r="E36" s="17"/>
      <c r="F36" s="17"/>
      <c r="G36" s="17"/>
    </row>
    <row r="37" spans="1:7" ht="15" customHeight="1" x14ac:dyDescent="0.2">
      <c r="A37" s="7" t="s">
        <v>476</v>
      </c>
      <c r="B37" s="76">
        <f>Strategic_Capital!D22</f>
        <v>5.500647058823529</v>
      </c>
      <c r="C37" s="77">
        <v>5.4999999999999997E-3</v>
      </c>
      <c r="D37" s="77">
        <v>5.7999999999999996E-3</v>
      </c>
      <c r="E37" s="77">
        <v>5.0000000000000001E-3</v>
      </c>
      <c r="F37" s="78">
        <f t="shared" ref="F37:F42" si="1">CHOOSE($B$5,C37,D37,E37)</f>
        <v>5.4999999999999997E-3</v>
      </c>
      <c r="G37" s="2" t="s">
        <v>477</v>
      </c>
    </row>
    <row r="38" spans="1:7" ht="15" customHeight="1" x14ac:dyDescent="0.2">
      <c r="A38" s="7" t="s">
        <v>478</v>
      </c>
      <c r="B38" s="69" t="s">
        <v>433</v>
      </c>
      <c r="C38" s="67">
        <v>0.05</v>
      </c>
      <c r="D38" s="67">
        <v>0.1</v>
      </c>
      <c r="E38" s="67">
        <v>-0.05</v>
      </c>
      <c r="F38" s="68">
        <f t="shared" si="1"/>
        <v>0.05</v>
      </c>
      <c r="G38" s="2" t="s">
        <v>479</v>
      </c>
    </row>
    <row r="39" spans="1:7" ht="15" customHeight="1" x14ac:dyDescent="0.2">
      <c r="A39" s="7" t="s">
        <v>480</v>
      </c>
      <c r="B39" s="69" t="s">
        <v>433</v>
      </c>
      <c r="C39" s="67">
        <v>0.03</v>
      </c>
      <c r="D39" s="67">
        <v>0.08</v>
      </c>
      <c r="E39" s="67">
        <v>-0.1</v>
      </c>
      <c r="F39" s="68">
        <f t="shared" si="1"/>
        <v>0.03</v>
      </c>
      <c r="G39" s="2" t="s">
        <v>481</v>
      </c>
    </row>
    <row r="40" spans="1:7" ht="15" customHeight="1" x14ac:dyDescent="0.2">
      <c r="A40" s="7" t="s">
        <v>482</v>
      </c>
      <c r="B40" s="71">
        <f>Strategic_Capital!D17/1000</f>
        <v>-48.96</v>
      </c>
      <c r="C40" s="72">
        <v>-50</v>
      </c>
      <c r="D40" s="72">
        <v>-50</v>
      </c>
      <c r="E40" s="72">
        <v>-50</v>
      </c>
      <c r="F40" s="73">
        <f t="shared" si="1"/>
        <v>-50</v>
      </c>
      <c r="G40" s="2" t="s">
        <v>483</v>
      </c>
    </row>
    <row r="41" spans="1:7" ht="15" customHeight="1" x14ac:dyDescent="0.2">
      <c r="A41" s="7" t="s">
        <v>484</v>
      </c>
      <c r="B41" s="69" t="s">
        <v>433</v>
      </c>
      <c r="C41" s="72">
        <v>0</v>
      </c>
      <c r="D41" s="72">
        <v>150</v>
      </c>
      <c r="E41" s="72">
        <v>-50</v>
      </c>
      <c r="F41" s="73">
        <f t="shared" si="1"/>
        <v>0</v>
      </c>
      <c r="G41" s="2" t="s">
        <v>485</v>
      </c>
    </row>
    <row r="42" spans="1:7" ht="15" customHeight="1" x14ac:dyDescent="0.2">
      <c r="A42" s="7" t="s">
        <v>486</v>
      </c>
      <c r="B42" s="69" t="s">
        <v>433</v>
      </c>
      <c r="C42" s="67">
        <v>0.55000000000000004</v>
      </c>
      <c r="D42" s="67">
        <v>0.52</v>
      </c>
      <c r="E42" s="67">
        <v>0.57999999999999996</v>
      </c>
      <c r="F42" s="68">
        <f t="shared" si="1"/>
        <v>0.55000000000000004</v>
      </c>
      <c r="G42" s="2" t="s">
        <v>487</v>
      </c>
    </row>
    <row r="44" spans="1:7" ht="15" customHeight="1" x14ac:dyDescent="0.2">
      <c r="A44" s="16" t="s">
        <v>488</v>
      </c>
      <c r="B44" s="17"/>
      <c r="C44" s="17"/>
      <c r="D44" s="17"/>
      <c r="E44" s="17"/>
      <c r="F44" s="17"/>
      <c r="G44" s="17"/>
    </row>
    <row r="45" spans="1:7" ht="15" customHeight="1" x14ac:dyDescent="0.2">
      <c r="A45" s="7" t="s">
        <v>489</v>
      </c>
      <c r="B45" s="76">
        <f>Debt!D21</f>
        <v>4.2000000000000003E-2</v>
      </c>
      <c r="C45" s="77">
        <v>0.05</v>
      </c>
      <c r="D45" s="77">
        <v>4.2500000000000003E-2</v>
      </c>
      <c r="E45" s="77">
        <v>0.06</v>
      </c>
      <c r="F45" s="78">
        <f>CHOOSE($B$5,C45,D45,E45)</f>
        <v>0.05</v>
      </c>
      <c r="G45" s="2" t="s">
        <v>490</v>
      </c>
    </row>
    <row r="46" spans="1:7" ht="15" customHeight="1" x14ac:dyDescent="0.2">
      <c r="A46" s="7" t="s">
        <v>491</v>
      </c>
      <c r="B46" s="79">
        <f>Debt!D15</f>
        <v>5.3</v>
      </c>
      <c r="C46" s="80">
        <v>4.8</v>
      </c>
      <c r="D46" s="80">
        <v>4.5</v>
      </c>
      <c r="E46" s="80">
        <v>5.5</v>
      </c>
      <c r="F46" s="81">
        <f>CHOOSE($B$5,C46,D46,E46)</f>
        <v>4.8</v>
      </c>
      <c r="G46" s="2" t="s">
        <v>492</v>
      </c>
    </row>
    <row r="47" spans="1:7" ht="15" customHeight="1" x14ac:dyDescent="0.2">
      <c r="A47" s="7" t="s">
        <v>493</v>
      </c>
      <c r="B47" s="76">
        <f>Debt!D11</f>
        <v>3.3000000000000002E-2</v>
      </c>
      <c r="C47" s="77">
        <v>4.4999999999999998E-2</v>
      </c>
      <c r="D47" s="77">
        <v>0.04</v>
      </c>
      <c r="E47" s="77">
        <v>5.5E-2</v>
      </c>
      <c r="F47" s="78">
        <f>CHOOSE($B$5,C47,D47,E47)</f>
        <v>4.4999999999999998E-2</v>
      </c>
      <c r="G47" s="2" t="s">
        <v>494</v>
      </c>
    </row>
    <row r="48" spans="1:7" ht="15" customHeight="1" x14ac:dyDescent="0.2">
      <c r="A48" s="7" t="s">
        <v>495</v>
      </c>
      <c r="B48" s="69" t="s">
        <v>433</v>
      </c>
      <c r="C48" s="67">
        <v>0.6</v>
      </c>
      <c r="D48" s="67">
        <v>0.5</v>
      </c>
      <c r="E48" s="67">
        <v>0.7</v>
      </c>
      <c r="F48" s="68">
        <f>CHOOSE($B$5,C48,D48,E48)</f>
        <v>0.6</v>
      </c>
      <c r="G48" s="2" t="s">
        <v>496</v>
      </c>
    </row>
    <row r="49" spans="1:7" ht="15" customHeight="1" x14ac:dyDescent="0.2">
      <c r="A49" s="7" t="s">
        <v>497</v>
      </c>
      <c r="B49" s="76">
        <f>Capital_Deployment!D11</f>
        <v>4.9000000000000002E-2</v>
      </c>
      <c r="C49" s="77">
        <v>0.05</v>
      </c>
      <c r="D49" s="77">
        <v>4.4999999999999998E-2</v>
      </c>
      <c r="E49" s="77">
        <v>5.8000000000000003E-2</v>
      </c>
      <c r="F49" s="78">
        <f>CHOOSE($B$5,C49,D49,E49)</f>
        <v>0.05</v>
      </c>
      <c r="G49" s="2" t="s">
        <v>498</v>
      </c>
    </row>
    <row r="51" spans="1:7" ht="15" customHeight="1" x14ac:dyDescent="0.2">
      <c r="A51" s="16" t="s">
        <v>499</v>
      </c>
      <c r="B51" s="17"/>
      <c r="C51" s="17"/>
      <c r="D51" s="17"/>
      <c r="E51" s="17"/>
      <c r="F51" s="17"/>
      <c r="G51" s="17"/>
    </row>
    <row r="52" spans="1:7" ht="15" customHeight="1" x14ac:dyDescent="0.2">
      <c r="A52" s="7" t="s">
        <v>500</v>
      </c>
      <c r="B52" s="82">
        <f>Share_Count!D8</f>
        <v>957.2</v>
      </c>
      <c r="F52" s="83">
        <f>CHOOSE($B$5,C52,D52,E52)</f>
        <v>0</v>
      </c>
      <c r="G52" s="2" t="s">
        <v>501</v>
      </c>
    </row>
    <row r="53" spans="1:7" ht="15" customHeight="1" x14ac:dyDescent="0.2">
      <c r="A53" s="7" t="s">
        <v>502</v>
      </c>
      <c r="B53" s="69" t="s">
        <v>433</v>
      </c>
      <c r="C53" s="77">
        <v>3.0000000000000001E-3</v>
      </c>
      <c r="D53" s="77">
        <v>3.0000000000000001E-3</v>
      </c>
      <c r="E53" s="77">
        <v>4.0000000000000001E-3</v>
      </c>
      <c r="F53" s="78">
        <f>CHOOSE($B$5,C53,D53,E53)</f>
        <v>3.0000000000000001E-3</v>
      </c>
      <c r="G53" s="2" t="s">
        <v>503</v>
      </c>
    </row>
    <row r="54" spans="1:7" ht="15" customHeight="1" x14ac:dyDescent="0.2">
      <c r="A54" s="7" t="s">
        <v>504</v>
      </c>
      <c r="B54" s="69" t="s">
        <v>433</v>
      </c>
      <c r="C54" s="72">
        <v>1500</v>
      </c>
      <c r="D54" s="72">
        <v>2500</v>
      </c>
      <c r="E54" s="72">
        <v>500</v>
      </c>
      <c r="F54" s="73">
        <f>CHOOSE($B$5,C54,D54,E54)</f>
        <v>1500</v>
      </c>
      <c r="G54" s="2" t="s">
        <v>505</v>
      </c>
    </row>
    <row r="55" spans="1:7" ht="15" customHeight="1" x14ac:dyDescent="0.2">
      <c r="A55" s="7" t="s">
        <v>506</v>
      </c>
      <c r="B55" s="66">
        <f>Share_Count!D9</f>
        <v>22.1</v>
      </c>
      <c r="C55" s="67">
        <v>0</v>
      </c>
      <c r="D55" s="67">
        <v>0</v>
      </c>
      <c r="E55" s="67">
        <v>0</v>
      </c>
      <c r="F55" s="68">
        <f>CHOOSE($B$5,C55,D55,E55)</f>
        <v>0</v>
      </c>
      <c r="G55" s="2" t="s">
        <v>507</v>
      </c>
    </row>
    <row r="57" spans="1:7" ht="15" customHeight="1" x14ac:dyDescent="0.2">
      <c r="A57" s="16" t="s">
        <v>508</v>
      </c>
      <c r="B57" s="17"/>
      <c r="C57" s="17"/>
      <c r="D57" s="17"/>
      <c r="E57" s="17"/>
      <c r="F57" s="17"/>
      <c r="G57" s="17"/>
    </row>
    <row r="58" spans="1:7" ht="15" customHeight="1" x14ac:dyDescent="0.2">
      <c r="A58" s="7" t="s">
        <v>509</v>
      </c>
      <c r="B58" s="66">
        <f>-Data_Collection!D55/Data_Collection!D74</f>
        <v>0.86844447253591894</v>
      </c>
      <c r="C58" s="67">
        <v>0.87</v>
      </c>
      <c r="D58" s="67">
        <v>0.85</v>
      </c>
      <c r="E58" s="67">
        <v>0.92</v>
      </c>
      <c r="F58" s="68">
        <f>CHOOSE($B$5,C58,D58,E58)</f>
        <v>0.87</v>
      </c>
      <c r="G58" s="2" t="s">
        <v>510</v>
      </c>
    </row>
    <row r="59" spans="1:7" ht="15" customHeight="1" x14ac:dyDescent="0.2">
      <c r="A59" s="7" t="s">
        <v>511</v>
      </c>
      <c r="B59" s="69" t="s">
        <v>433</v>
      </c>
      <c r="C59" s="77">
        <v>7.4999999999999997E-2</v>
      </c>
      <c r="D59" s="77">
        <v>7.0000000000000007E-2</v>
      </c>
      <c r="E59" s="77">
        <v>8.5000000000000006E-2</v>
      </c>
      <c r="F59" s="78">
        <f>CHOOSE($B$5,C59,D59,E59)</f>
        <v>7.4999999999999997E-2</v>
      </c>
      <c r="G59" s="2" t="s">
        <v>512</v>
      </c>
    </row>
    <row r="60" spans="1:7" ht="15" customHeight="1" x14ac:dyDescent="0.2">
      <c r="A60" s="7" t="s">
        <v>513</v>
      </c>
      <c r="B60" s="69" t="s">
        <v>433</v>
      </c>
      <c r="C60" s="77">
        <v>0.05</v>
      </c>
      <c r="D60" s="77">
        <v>4.4999999999999998E-2</v>
      </c>
      <c r="E60" s="77">
        <v>0.06</v>
      </c>
      <c r="F60" s="78">
        <f>CHOOSE($B$5,C60,D60,E60)</f>
        <v>0.05</v>
      </c>
      <c r="G60" s="2" t="s">
        <v>514</v>
      </c>
    </row>
    <row r="61" spans="1:7" ht="15" customHeight="1" x14ac:dyDescent="0.2">
      <c r="A61" s="7" t="s">
        <v>515</v>
      </c>
      <c r="B61" s="76">
        <f>Capital_Deployment!D11</f>
        <v>4.9000000000000002E-2</v>
      </c>
      <c r="C61" s="77">
        <v>0.05</v>
      </c>
      <c r="D61" s="77">
        <v>4.4999999999999998E-2</v>
      </c>
      <c r="E61" s="77">
        <v>5.8000000000000003E-2</v>
      </c>
      <c r="F61" s="78">
        <f>CHOOSE($B$5,C61,D61,E61)</f>
        <v>0.05</v>
      </c>
      <c r="G61" s="2" t="s">
        <v>516</v>
      </c>
    </row>
    <row r="62" spans="1:7" ht="15" customHeight="1" x14ac:dyDescent="0.2">
      <c r="A62" s="7" t="s">
        <v>517</v>
      </c>
      <c r="B62" s="69" t="s">
        <v>433</v>
      </c>
      <c r="C62" s="67">
        <v>2.5000000000000001E-2</v>
      </c>
      <c r="D62" s="67">
        <v>0.03</v>
      </c>
      <c r="E62" s="67">
        <v>1.4999999999999999E-2</v>
      </c>
      <c r="F62" s="68">
        <f>CHOOSE($B$5,C62,D62,E62)</f>
        <v>2.5000000000000001E-2</v>
      </c>
      <c r="G62" s="2" t="s">
        <v>518</v>
      </c>
    </row>
    <row r="64" spans="1:7" ht="15" customHeight="1" x14ac:dyDescent="0.2">
      <c r="A64" s="2" t="s">
        <v>519</v>
      </c>
    </row>
  </sheetData>
  <dataValidations count="1">
    <dataValidation type="list" allowBlank="1" showInputMessage="1" showErrorMessage="1" sqref="B5" xr:uid="{00000000-0002-0000-0C00-000000000000}">
      <formula1>$U$4:$U$6</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0"/>
  <sheetViews>
    <sheetView showGridLines="0" zoomScaleNormal="100" workbookViewId="0">
      <selection activeCell="R69" sqref="R69"/>
    </sheetView>
  </sheetViews>
  <sheetFormatPr baseColWidth="10" defaultColWidth="8.6640625" defaultRowHeight="15" x14ac:dyDescent="0.2"/>
  <cols>
    <col min="1" max="1" width="46" customWidth="1"/>
    <col min="2" max="8" width="12" customWidth="1"/>
  </cols>
  <sheetData>
    <row r="1" spans="1:8" ht="17.25" customHeight="1" x14ac:dyDescent="0.2">
      <c r="A1" s="84" t="s">
        <v>520</v>
      </c>
      <c r="B1" s="85"/>
      <c r="C1" s="85"/>
      <c r="D1" s="85"/>
      <c r="E1" s="85"/>
      <c r="F1" s="85"/>
      <c r="G1" s="85"/>
      <c r="H1" s="85"/>
    </row>
    <row r="2" spans="1:8" ht="15" customHeight="1" x14ac:dyDescent="0.2">
      <c r="A2" s="19" t="s">
        <v>521</v>
      </c>
      <c r="B2" s="85"/>
      <c r="C2" s="85"/>
      <c r="D2" s="85"/>
      <c r="E2" s="85"/>
      <c r="F2" s="85"/>
      <c r="G2" s="85"/>
      <c r="H2" s="85"/>
    </row>
    <row r="3" spans="1:8" ht="15" customHeight="1" x14ac:dyDescent="0.2">
      <c r="A3" s="85"/>
      <c r="B3" s="85"/>
      <c r="C3" s="85"/>
      <c r="D3" s="85"/>
      <c r="E3" s="85"/>
      <c r="F3" s="85"/>
      <c r="G3" s="85"/>
      <c r="H3" s="85"/>
    </row>
    <row r="4" spans="1:8" ht="15" customHeight="1" x14ac:dyDescent="0.2">
      <c r="A4" s="86" t="s">
        <v>522</v>
      </c>
      <c r="B4" s="87" t="s">
        <v>523</v>
      </c>
      <c r="C4" s="87" t="s">
        <v>524</v>
      </c>
      <c r="D4" s="87" t="s">
        <v>525</v>
      </c>
      <c r="E4" s="87" t="s">
        <v>526</v>
      </c>
      <c r="F4" s="87" t="s">
        <v>527</v>
      </c>
      <c r="G4" s="87" t="s">
        <v>528</v>
      </c>
      <c r="H4" s="88" t="str">
        <f>"Scenario: "&amp;Assumptions!B6</f>
        <v>Scenario: BASE</v>
      </c>
    </row>
    <row r="5" spans="1:8" ht="15" customHeight="1" x14ac:dyDescent="0.2">
      <c r="A5" s="16" t="s">
        <v>529</v>
      </c>
      <c r="B5" s="89"/>
      <c r="C5" s="89"/>
      <c r="D5" s="89"/>
      <c r="E5" s="89"/>
      <c r="F5" s="89"/>
      <c r="G5" s="89"/>
      <c r="H5" s="89"/>
    </row>
    <row r="6" spans="1:8" ht="15" customHeight="1" x14ac:dyDescent="0.2">
      <c r="A6" s="85" t="s">
        <v>138</v>
      </c>
      <c r="B6" s="56">
        <f>Drivers!D6</f>
        <v>0.95599999999999996</v>
      </c>
      <c r="C6" s="46">
        <f>Assumptions!$F$10</f>
        <v>0.95299999999999996</v>
      </c>
      <c r="D6" s="46">
        <f>Assumptions!$F$10</f>
        <v>0.95299999999999996</v>
      </c>
      <c r="E6" s="46">
        <f>Assumptions!$F$10</f>
        <v>0.95299999999999996</v>
      </c>
      <c r="F6" s="46">
        <f>Assumptions!$F$10</f>
        <v>0.95299999999999996</v>
      </c>
      <c r="G6" s="46">
        <f>Assumptions!$F$10</f>
        <v>0.95299999999999996</v>
      </c>
      <c r="H6" s="2" t="s">
        <v>530</v>
      </c>
    </row>
    <row r="7" spans="1:8" ht="15" customHeight="1" x14ac:dyDescent="0.2">
      <c r="A7" s="85" t="s">
        <v>531</v>
      </c>
      <c r="B7" s="46" t="str">
        <f>""</f>
        <v/>
      </c>
      <c r="C7" s="46">
        <f>C6-B6</f>
        <v>-3.0000000000000027E-3</v>
      </c>
      <c r="D7" s="46">
        <f>D6-C6</f>
        <v>0</v>
      </c>
      <c r="E7" s="46">
        <f>E6-D6</f>
        <v>0</v>
      </c>
      <c r="F7" s="46">
        <f>F6-E6</f>
        <v>0</v>
      </c>
      <c r="G7" s="46">
        <f>G6-F6</f>
        <v>0</v>
      </c>
      <c r="H7" s="2" t="s">
        <v>532</v>
      </c>
    </row>
    <row r="8" spans="1:8" ht="15" customHeight="1" x14ac:dyDescent="0.2">
      <c r="A8" s="85" t="s">
        <v>533</v>
      </c>
      <c r="B8" s="46" t="str">
        <f>""</f>
        <v/>
      </c>
      <c r="C8" s="46">
        <f>Assumptions!$F$11</f>
        <v>0.03</v>
      </c>
      <c r="D8" s="46">
        <f>Assumptions!$F$11+(Assumptions!$F$12-Assumptions!$F$11)*1/4</f>
        <v>3.125E-2</v>
      </c>
      <c r="E8" s="46">
        <f>Assumptions!$F$11+(Assumptions!$F$12-Assumptions!$F$11)*2/4</f>
        <v>3.2500000000000001E-2</v>
      </c>
      <c r="F8" s="46">
        <f>Assumptions!$F$11+(Assumptions!$F$12-Assumptions!$F$11)*3/4</f>
        <v>3.3750000000000002E-2</v>
      </c>
      <c r="G8" s="46">
        <f>Assumptions!$F$12</f>
        <v>3.5000000000000003E-2</v>
      </c>
      <c r="H8" s="2" t="s">
        <v>534</v>
      </c>
    </row>
    <row r="9" spans="1:8" ht="15" customHeight="1" x14ac:dyDescent="0.2">
      <c r="A9" s="85" t="s">
        <v>535</v>
      </c>
      <c r="B9" s="46" t="str">
        <f>""</f>
        <v/>
      </c>
      <c r="C9" s="46">
        <f>Assumptions!$F$13</f>
        <v>0.04</v>
      </c>
      <c r="D9" s="46">
        <f>Assumptions!$F$13</f>
        <v>0.04</v>
      </c>
      <c r="E9" s="46">
        <f>Assumptions!$F$13</f>
        <v>0.04</v>
      </c>
      <c r="F9" s="46">
        <f>Assumptions!$F$13</f>
        <v>0.04</v>
      </c>
      <c r="G9" s="46">
        <f>Assumptions!$F$13</f>
        <v>0.04</v>
      </c>
      <c r="H9" s="2" t="s">
        <v>536</v>
      </c>
    </row>
    <row r="10" spans="1:8" ht="15" customHeight="1" x14ac:dyDescent="0.2">
      <c r="A10" s="85" t="s">
        <v>537</v>
      </c>
      <c r="B10" s="56">
        <f>Drivers!D17</f>
        <v>0.438</v>
      </c>
      <c r="C10" s="46">
        <f>Assumptions!$F$18</f>
        <v>0.3</v>
      </c>
      <c r="D10" s="46">
        <f>Assumptions!$F$18+(Assumptions!$F$19-Assumptions!$F$18)*1/4</f>
        <v>0.25</v>
      </c>
      <c r="E10" s="46">
        <f>Assumptions!$F$18+(Assumptions!$F$19-Assumptions!$F$18)*2/4</f>
        <v>0.2</v>
      </c>
      <c r="F10" s="46">
        <f>Assumptions!$F$18+(Assumptions!$F$19-Assumptions!$F$18)*3/4</f>
        <v>0.15</v>
      </c>
      <c r="G10" s="46">
        <f>Assumptions!$F$19</f>
        <v>0.1</v>
      </c>
      <c r="H10" s="2" t="s">
        <v>538</v>
      </c>
    </row>
    <row r="11" spans="1:8" ht="15" customHeight="1" x14ac:dyDescent="0.2">
      <c r="A11" s="85" t="s">
        <v>539</v>
      </c>
      <c r="B11" s="56">
        <f>Drivers!D23</f>
        <v>0.10299999999999999</v>
      </c>
      <c r="C11" s="46">
        <f>Assumptions!$F$20</f>
        <v>0.13</v>
      </c>
      <c r="D11" s="46">
        <f>Assumptions!$F$20</f>
        <v>0.13</v>
      </c>
      <c r="E11" s="46">
        <f>Assumptions!$F$20</f>
        <v>0.13</v>
      </c>
      <c r="F11" s="46">
        <f>Assumptions!$F$20</f>
        <v>0.13</v>
      </c>
      <c r="G11" s="46">
        <f>Assumptions!$F$20</f>
        <v>0.13</v>
      </c>
      <c r="H11" s="2" t="s">
        <v>540</v>
      </c>
    </row>
    <row r="12" spans="1:8" ht="15" customHeight="1" x14ac:dyDescent="0.2">
      <c r="A12" s="85" t="s">
        <v>541</v>
      </c>
      <c r="B12" s="46" t="str">
        <f>""</f>
        <v/>
      </c>
      <c r="C12" s="46">
        <f>C10*C11</f>
        <v>3.9E-2</v>
      </c>
      <c r="D12" s="46">
        <f>D10*D11</f>
        <v>3.2500000000000001E-2</v>
      </c>
      <c r="E12" s="46">
        <f>E10*E11</f>
        <v>2.6000000000000002E-2</v>
      </c>
      <c r="F12" s="46">
        <f>F10*F11</f>
        <v>1.95E-2</v>
      </c>
      <c r="G12" s="46">
        <f>G10*G11</f>
        <v>1.3000000000000001E-2</v>
      </c>
      <c r="H12" s="2" t="s">
        <v>542</v>
      </c>
    </row>
    <row r="13" spans="1:8" ht="15" customHeight="1" x14ac:dyDescent="0.2">
      <c r="A13" s="90" t="s">
        <v>543</v>
      </c>
      <c r="B13" s="56">
        <f>Drivers!D12</f>
        <v>6.3E-2</v>
      </c>
      <c r="C13" s="91">
        <f>C9+C7+C12</f>
        <v>7.5999999999999998E-2</v>
      </c>
      <c r="D13" s="91">
        <f>D9+D7+D12</f>
        <v>7.2500000000000009E-2</v>
      </c>
      <c r="E13" s="91">
        <f>E9+E7+E12</f>
        <v>6.6000000000000003E-2</v>
      </c>
      <c r="F13" s="91">
        <f>F9+F7+F12</f>
        <v>5.9499999999999997E-2</v>
      </c>
      <c r="G13" s="91">
        <f>G9+G7+G12</f>
        <v>5.3000000000000005E-2</v>
      </c>
      <c r="H13" s="2" t="s">
        <v>544</v>
      </c>
    </row>
    <row r="14" spans="1:8" ht="15" customHeight="1" x14ac:dyDescent="0.2">
      <c r="A14" s="85"/>
      <c r="B14" s="85"/>
      <c r="C14" s="85"/>
      <c r="D14" s="85"/>
      <c r="E14" s="85"/>
      <c r="F14" s="85"/>
      <c r="G14" s="85"/>
      <c r="H14" s="85"/>
    </row>
    <row r="15" spans="1:8" ht="15" customHeight="1" x14ac:dyDescent="0.2">
      <c r="A15" s="92" t="s">
        <v>545</v>
      </c>
      <c r="B15" s="43">
        <f>Historicals!D31</f>
        <v>6194767</v>
      </c>
      <c r="C15" s="44">
        <f>B15*(1+C13)</f>
        <v>6665569.2920000004</v>
      </c>
      <c r="D15" s="44">
        <f>C15*(1+D13)</f>
        <v>7148823.0656700004</v>
      </c>
      <c r="E15" s="44">
        <f>D15*(1+E13)</f>
        <v>7620645.388004221</v>
      </c>
      <c r="F15" s="44">
        <f>E15*(1+F13)</f>
        <v>8074073.7885904713</v>
      </c>
      <c r="G15" s="44">
        <f>F15*(1+G13)</f>
        <v>8501999.6993857659</v>
      </c>
      <c r="H15" s="2" t="s">
        <v>546</v>
      </c>
    </row>
    <row r="16" spans="1:8" ht="15" customHeight="1" x14ac:dyDescent="0.2">
      <c r="A16" s="85" t="s">
        <v>547</v>
      </c>
      <c r="B16" s="56">
        <f>-Historicals!D10/Historicals!D6</f>
        <v>0.24073539779362521</v>
      </c>
      <c r="C16" s="46">
        <f>Assumptions!$F$15</f>
        <v>0.245</v>
      </c>
      <c r="D16" s="46">
        <f>Assumptions!$F$15</f>
        <v>0.245</v>
      </c>
      <c r="E16" s="46">
        <f>Assumptions!$F$15</f>
        <v>0.245</v>
      </c>
      <c r="F16" s="46">
        <f>Assumptions!$F$15</f>
        <v>0.245</v>
      </c>
      <c r="G16" s="46">
        <f>Assumptions!$F$15</f>
        <v>0.245</v>
      </c>
      <c r="H16" s="2" t="s">
        <v>548</v>
      </c>
    </row>
    <row r="17" spans="1:8" ht="15" customHeight="1" x14ac:dyDescent="0.2">
      <c r="A17" s="92" t="s">
        <v>57</v>
      </c>
      <c r="B17" s="43">
        <f>Historicals!D6</f>
        <v>8158904</v>
      </c>
      <c r="C17" s="44">
        <f>C36/(1-C16)</f>
        <v>8966571.3805099353</v>
      </c>
      <c r="D17" s="44">
        <f>D36/(1-D16)</f>
        <v>10088761.809211921</v>
      </c>
      <c r="E17" s="44">
        <f>E36/(1-E16)</f>
        <v>11226804.620250624</v>
      </c>
      <c r="F17" s="44">
        <f>F36/(1-F16)</f>
        <v>12373716.409106584</v>
      </c>
      <c r="G17" s="44">
        <f>G36/(1-G16)</f>
        <v>13522501.059166577</v>
      </c>
      <c r="H17" s="2" t="s">
        <v>549</v>
      </c>
    </row>
    <row r="18" spans="1:8" ht="15" customHeight="1" x14ac:dyDescent="0.2">
      <c r="A18" s="85" t="s">
        <v>61</v>
      </c>
      <c r="B18" s="43">
        <f>Historicals!D10</f>
        <v>-1964137</v>
      </c>
      <c r="C18" s="44">
        <f>-(C17-C36)</f>
        <v>-2196809.9882249348</v>
      </c>
      <c r="D18" s="44">
        <f>-(D17-D36)</f>
        <v>-2471746.6432569204</v>
      </c>
      <c r="E18" s="44">
        <f>-(E17-E36)</f>
        <v>-2750567.1319614034</v>
      </c>
      <c r="F18" s="44">
        <f>-(F17-F36)</f>
        <v>-3031560.5202311128</v>
      </c>
      <c r="G18" s="44">
        <f>-(G17-G36)</f>
        <v>-3313012.7594958115</v>
      </c>
      <c r="H18" s="2" t="s">
        <v>550</v>
      </c>
    </row>
    <row r="19" spans="1:8" ht="15" customHeight="1" x14ac:dyDescent="0.2">
      <c r="A19" s="85"/>
      <c r="B19" s="85"/>
      <c r="C19" s="85"/>
      <c r="D19" s="85"/>
      <c r="E19" s="85"/>
      <c r="F19" s="85"/>
      <c r="G19" s="85"/>
      <c r="H19" s="85"/>
    </row>
    <row r="20" spans="1:8" ht="15" customHeight="1" x14ac:dyDescent="0.2">
      <c r="A20" s="16" t="s">
        <v>551</v>
      </c>
      <c r="B20" s="89"/>
      <c r="C20" s="89"/>
      <c r="D20" s="89"/>
      <c r="E20" s="89"/>
      <c r="F20" s="89"/>
      <c r="G20" s="89"/>
      <c r="H20" s="89"/>
    </row>
    <row r="21" spans="1:8" ht="15" customHeight="1" x14ac:dyDescent="0.2">
      <c r="A21" s="93" t="s">
        <v>552</v>
      </c>
      <c r="B21" s="85"/>
      <c r="C21" s="85"/>
      <c r="D21" s="85"/>
      <c r="E21" s="85"/>
      <c r="F21" s="85"/>
      <c r="G21" s="85"/>
      <c r="H21" s="85"/>
    </row>
    <row r="22" spans="1:8" ht="15" customHeight="1" x14ac:dyDescent="0.2">
      <c r="A22" s="85" t="s">
        <v>553</v>
      </c>
      <c r="B22" s="43">
        <f>Development!D14/1000</f>
        <v>2.9553890000000003</v>
      </c>
      <c r="C22" s="44">
        <f>Assumptions!$F$25</f>
        <v>4000</v>
      </c>
      <c r="D22" s="44">
        <f>C22*(1+Assumptions!$F$26)</f>
        <v>4200</v>
      </c>
      <c r="E22" s="44">
        <f>D22*(1+Assumptions!$F$26)</f>
        <v>4410</v>
      </c>
      <c r="F22" s="44">
        <f>E22*(1+Assumptions!$F$26)</f>
        <v>4630.5</v>
      </c>
      <c r="G22" s="44">
        <f>F22*(1+Assumptions!$F$26)</f>
        <v>4862.0250000000005</v>
      </c>
      <c r="H22" s="2" t="s">
        <v>554</v>
      </c>
    </row>
    <row r="23" spans="1:8" ht="15" customHeight="1" x14ac:dyDescent="0.2">
      <c r="A23" s="85" t="s">
        <v>459</v>
      </c>
      <c r="B23" s="56">
        <f>Development!D19</f>
        <v>6.7000000000000004E-2</v>
      </c>
      <c r="C23" s="46">
        <f>Assumptions!$F$27</f>
        <v>6.5000000000000002E-2</v>
      </c>
      <c r="D23" s="46">
        <f>Assumptions!$F$27</f>
        <v>6.5000000000000002E-2</v>
      </c>
      <c r="E23" s="46">
        <f>Assumptions!$F$27</f>
        <v>6.5000000000000002E-2</v>
      </c>
      <c r="F23" s="46">
        <f>Assumptions!$F$27</f>
        <v>6.5000000000000002E-2</v>
      </c>
      <c r="G23" s="46">
        <f>Assumptions!$F$27</f>
        <v>6.5000000000000002E-2</v>
      </c>
      <c r="H23" s="2" t="s">
        <v>555</v>
      </c>
    </row>
    <row r="24" spans="1:8" ht="15" customHeight="1" x14ac:dyDescent="0.2">
      <c r="A24" s="85" t="s">
        <v>461</v>
      </c>
      <c r="B24" s="56">
        <f>Development!D20</f>
        <v>0.251</v>
      </c>
      <c r="C24" s="46">
        <f>Assumptions!$F$28</f>
        <v>0.2</v>
      </c>
      <c r="D24" s="46">
        <f>Assumptions!$F$28</f>
        <v>0.2</v>
      </c>
      <c r="E24" s="46">
        <f>Assumptions!$F$28</f>
        <v>0.2</v>
      </c>
      <c r="F24" s="46">
        <f>Assumptions!$F$28</f>
        <v>0.2</v>
      </c>
      <c r="G24" s="46">
        <f>Assumptions!$F$28</f>
        <v>0.2</v>
      </c>
      <c r="H24" s="2" t="s">
        <v>556</v>
      </c>
    </row>
    <row r="25" spans="1:8" ht="15" customHeight="1" x14ac:dyDescent="0.2">
      <c r="A25" s="85" t="s">
        <v>557</v>
      </c>
      <c r="B25" s="43">
        <f>Development!D18</f>
        <v>2260</v>
      </c>
      <c r="C25" s="44">
        <f>B22</f>
        <v>2.9553890000000003</v>
      </c>
      <c r="D25" s="44">
        <f>C22</f>
        <v>4000</v>
      </c>
      <c r="E25" s="44">
        <f>D22</f>
        <v>4200</v>
      </c>
      <c r="F25" s="44">
        <f>E22</f>
        <v>4410</v>
      </c>
      <c r="G25" s="44">
        <f>F22</f>
        <v>4630.5</v>
      </c>
      <c r="H25" s="2" t="s">
        <v>558</v>
      </c>
    </row>
    <row r="26" spans="1:8" ht="15" customHeight="1" x14ac:dyDescent="0.2">
      <c r="A26" s="85" t="s">
        <v>559</v>
      </c>
      <c r="B26" s="44" t="str">
        <f>""</f>
        <v/>
      </c>
      <c r="C26" s="44">
        <f>C25*1000*C23</f>
        <v>192.10028500000001</v>
      </c>
      <c r="D26" s="44">
        <f>D25*1000*D23</f>
        <v>260000</v>
      </c>
      <c r="E26" s="44">
        <f>E25*1000*E23</f>
        <v>273000</v>
      </c>
      <c r="F26" s="44">
        <f>F25*1000*F23</f>
        <v>286650</v>
      </c>
      <c r="G26" s="44">
        <f>G25*1000*G23</f>
        <v>300982.5</v>
      </c>
      <c r="H26" s="2" t="s">
        <v>560</v>
      </c>
    </row>
    <row r="27" spans="1:8" ht="15" customHeight="1" x14ac:dyDescent="0.2">
      <c r="A27" s="93" t="s">
        <v>561</v>
      </c>
      <c r="B27" s="85"/>
      <c r="C27" s="85"/>
      <c r="D27" s="85"/>
      <c r="E27" s="85"/>
      <c r="F27" s="85"/>
      <c r="G27" s="85"/>
      <c r="H27" s="85"/>
    </row>
    <row r="28" spans="1:8" ht="15" customHeight="1" x14ac:dyDescent="0.2">
      <c r="A28" s="85" t="s">
        <v>562</v>
      </c>
      <c r="B28" s="43">
        <f>Development!E13</f>
        <v>1300</v>
      </c>
      <c r="C28" s="44">
        <f>Assumptions!$F$29</f>
        <v>1300</v>
      </c>
      <c r="D28" s="44">
        <f>C28*(1+Assumptions!$F$30)</f>
        <v>1430.0000000000002</v>
      </c>
      <c r="E28" s="44">
        <f>D28*(1+Assumptions!$F$30)</f>
        <v>1573.0000000000005</v>
      </c>
      <c r="F28" s="44">
        <f>E28*(1+Assumptions!$F$30)</f>
        <v>1730.3000000000006</v>
      </c>
      <c r="G28" s="44">
        <f>F28*(1+Assumptions!$F$30)</f>
        <v>1903.3300000000008</v>
      </c>
      <c r="H28" s="2" t="s">
        <v>563</v>
      </c>
    </row>
    <row r="29" spans="1:8" ht="15" customHeight="1" x14ac:dyDescent="0.2">
      <c r="A29" s="85" t="s">
        <v>564</v>
      </c>
      <c r="B29" s="46" t="str">
        <f>""</f>
        <v/>
      </c>
      <c r="C29" s="46">
        <f>Assumptions!$F$31</f>
        <v>0.08</v>
      </c>
      <c r="D29" s="46">
        <f>Assumptions!$F$31</f>
        <v>0.08</v>
      </c>
      <c r="E29" s="46">
        <f>Assumptions!$F$31</f>
        <v>0.08</v>
      </c>
      <c r="F29" s="46">
        <f>Assumptions!$F$31</f>
        <v>0.08</v>
      </c>
      <c r="G29" s="46">
        <f>Assumptions!$F$31</f>
        <v>0.08</v>
      </c>
      <c r="H29" s="2" t="s">
        <v>565</v>
      </c>
    </row>
    <row r="30" spans="1:8" ht="15" customHeight="1" x14ac:dyDescent="0.2">
      <c r="A30" s="85" t="s">
        <v>566</v>
      </c>
      <c r="B30" s="46" t="str">
        <f>""</f>
        <v/>
      </c>
      <c r="C30" s="46">
        <f>Assumptions!$F$32</f>
        <v>0.25</v>
      </c>
      <c r="D30" s="46">
        <f>Assumptions!$F$32</f>
        <v>0.25</v>
      </c>
      <c r="E30" s="46">
        <f>Assumptions!$F$32</f>
        <v>0.25</v>
      </c>
      <c r="F30" s="46">
        <f>Assumptions!$F$32</f>
        <v>0.25</v>
      </c>
      <c r="G30" s="46">
        <f>Assumptions!$F$32</f>
        <v>0.25</v>
      </c>
      <c r="H30" s="2" t="s">
        <v>567</v>
      </c>
    </row>
    <row r="31" spans="1:8" ht="15" customHeight="1" x14ac:dyDescent="0.2">
      <c r="A31" s="85" t="s">
        <v>568</v>
      </c>
      <c r="B31" s="44" t="str">
        <f>""</f>
        <v/>
      </c>
      <c r="C31" s="44">
        <f>B28</f>
        <v>1300</v>
      </c>
      <c r="D31" s="44">
        <f>C28</f>
        <v>1300</v>
      </c>
      <c r="E31" s="44">
        <f>D28</f>
        <v>1430.0000000000002</v>
      </c>
      <c r="F31" s="44">
        <f>E28</f>
        <v>1573.0000000000005</v>
      </c>
      <c r="G31" s="44">
        <f>F28</f>
        <v>1730.3000000000006</v>
      </c>
      <c r="H31" s="2" t="s">
        <v>569</v>
      </c>
    </row>
    <row r="32" spans="1:8" ht="15" customHeight="1" x14ac:dyDescent="0.2">
      <c r="A32" s="85" t="s">
        <v>570</v>
      </c>
      <c r="B32" s="44" t="str">
        <f>""</f>
        <v/>
      </c>
      <c r="C32" s="44">
        <f>C31*1000*C29</f>
        <v>104000</v>
      </c>
      <c r="D32" s="44">
        <f>D31*1000*D29</f>
        <v>104000</v>
      </c>
      <c r="E32" s="44">
        <f>E31*1000*E29</f>
        <v>114400.00000000001</v>
      </c>
      <c r="F32" s="44">
        <f>F31*1000*F29</f>
        <v>125840.00000000004</v>
      </c>
      <c r="G32" s="44">
        <f>G31*1000*G29</f>
        <v>138424.00000000006</v>
      </c>
      <c r="H32" s="2" t="s">
        <v>571</v>
      </c>
    </row>
    <row r="33" spans="1:8" ht="15" customHeight="1" x14ac:dyDescent="0.2">
      <c r="A33" s="90" t="s">
        <v>572</v>
      </c>
      <c r="B33" s="44" t="str">
        <f>""</f>
        <v/>
      </c>
      <c r="C33" s="47">
        <f>C26+C32</f>
        <v>104192.10028499999</v>
      </c>
      <c r="D33" s="47">
        <f>C33+D26+D32</f>
        <v>468192.10028499999</v>
      </c>
      <c r="E33" s="47">
        <f>D33+E26+E32</f>
        <v>855592.10028499993</v>
      </c>
      <c r="F33" s="47">
        <f>E33+F26+F32</f>
        <v>1268082.1002849999</v>
      </c>
      <c r="G33" s="47">
        <f>F33+G26+G32</f>
        <v>1707488.6002849999</v>
      </c>
      <c r="H33" s="2" t="s">
        <v>573</v>
      </c>
    </row>
    <row r="34" spans="1:8" ht="15" customHeight="1" x14ac:dyDescent="0.2">
      <c r="A34" s="85" t="s">
        <v>574</v>
      </c>
      <c r="B34" s="44" t="str">
        <f>""</f>
        <v/>
      </c>
      <c r="C34" s="44">
        <f>(C25+C31)*Assumptions!$F$34</f>
        <v>521.18215559999999</v>
      </c>
      <c r="D34" s="44">
        <f>(D25+D31)*Assumptions!$F$34</f>
        <v>2120</v>
      </c>
      <c r="E34" s="44">
        <f>(E25+E31)*Assumptions!$F$34</f>
        <v>2252</v>
      </c>
      <c r="F34" s="44">
        <f>(F25+F31)*Assumptions!$F$34</f>
        <v>2393.2000000000003</v>
      </c>
      <c r="G34" s="44">
        <f>(G25+G31)*Assumptions!$F$34</f>
        <v>2544.3200000000006</v>
      </c>
      <c r="H34" s="2" t="s">
        <v>575</v>
      </c>
    </row>
    <row r="35" spans="1:8" ht="15" customHeight="1" x14ac:dyDescent="0.2">
      <c r="A35" s="85"/>
      <c r="B35" s="85"/>
      <c r="C35" s="85"/>
      <c r="D35" s="85"/>
      <c r="E35" s="85"/>
      <c r="F35" s="85"/>
      <c r="G35" s="85"/>
      <c r="H35" s="85"/>
    </row>
    <row r="36" spans="1:8" ht="15" customHeight="1" x14ac:dyDescent="0.2">
      <c r="A36" s="90" t="s">
        <v>576</v>
      </c>
      <c r="B36" s="43">
        <f>Historicals!D31</f>
        <v>6194767</v>
      </c>
      <c r="C36" s="47">
        <f>C15+C33</f>
        <v>6769761.3922850005</v>
      </c>
      <c r="D36" s="47">
        <f>D15+D33</f>
        <v>7617015.1659550006</v>
      </c>
      <c r="E36" s="47">
        <f>E15+E33</f>
        <v>8476237.4882892203</v>
      </c>
      <c r="F36" s="47">
        <f>F15+F33</f>
        <v>9342155.8888754714</v>
      </c>
      <c r="G36" s="47">
        <f>G15+G33</f>
        <v>10209488.299670765</v>
      </c>
      <c r="H36" s="2" t="s">
        <v>577</v>
      </c>
    </row>
    <row r="37" spans="1:8" ht="15" customHeight="1" x14ac:dyDescent="0.2">
      <c r="A37" s="85"/>
      <c r="B37" s="85"/>
      <c r="C37" s="85"/>
      <c r="D37" s="85"/>
      <c r="E37" s="85"/>
      <c r="F37" s="85"/>
      <c r="G37" s="85"/>
      <c r="H37" s="85"/>
    </row>
    <row r="38" spans="1:8" ht="15" customHeight="1" x14ac:dyDescent="0.2">
      <c r="A38" s="16" t="s">
        <v>578</v>
      </c>
      <c r="B38" s="89"/>
      <c r="C38" s="89"/>
      <c r="D38" s="89"/>
      <c r="E38" s="89"/>
      <c r="F38" s="89"/>
      <c r="G38" s="89"/>
      <c r="H38" s="89"/>
    </row>
    <row r="39" spans="1:8" ht="15" customHeight="1" x14ac:dyDescent="0.2">
      <c r="A39" s="85" t="s">
        <v>579</v>
      </c>
      <c r="B39" s="43">
        <f>Strategic_Capital!D8</f>
        <v>68</v>
      </c>
      <c r="C39" s="44">
        <f>B39*(1+Assumptions!$F$38)</f>
        <v>71.400000000000006</v>
      </c>
      <c r="D39" s="44">
        <f>C39*(1+Assumptions!$F$38)</f>
        <v>74.970000000000013</v>
      </c>
      <c r="E39" s="44">
        <f>D39*(1+Assumptions!$F$38)</f>
        <v>78.71850000000002</v>
      </c>
      <c r="F39" s="44">
        <f>E39*(1+Assumptions!$F$38)</f>
        <v>82.654425000000018</v>
      </c>
      <c r="G39" s="44">
        <f>F39*(1+Assumptions!$F$38)</f>
        <v>86.787146250000021</v>
      </c>
      <c r="H39" s="2" t="s">
        <v>580</v>
      </c>
    </row>
    <row r="40" spans="1:8" ht="15" customHeight="1" x14ac:dyDescent="0.2">
      <c r="A40" s="85" t="s">
        <v>175</v>
      </c>
      <c r="B40" s="43">
        <f>Strategic_Capital!D6</f>
        <v>230</v>
      </c>
      <c r="C40" s="44">
        <f>B40*(1+Assumptions!$F$38)</f>
        <v>241.5</v>
      </c>
      <c r="D40" s="44">
        <f>C40*(1+Assumptions!$F$38)</f>
        <v>253.57500000000002</v>
      </c>
      <c r="E40" s="44">
        <f>D40*(1+Assumptions!$F$38)</f>
        <v>266.25375000000003</v>
      </c>
      <c r="F40" s="44">
        <f>E40*(1+Assumptions!$F$38)</f>
        <v>279.56643750000006</v>
      </c>
      <c r="G40" s="44">
        <f>F40*(1+Assumptions!$F$38)</f>
        <v>293.54475937500007</v>
      </c>
      <c r="H40" s="2" t="s">
        <v>581</v>
      </c>
    </row>
    <row r="41" spans="1:8" ht="15" customHeight="1" x14ac:dyDescent="0.2">
      <c r="A41" s="85" t="s">
        <v>582</v>
      </c>
      <c r="B41" s="44" t="str">
        <f>""</f>
        <v/>
      </c>
      <c r="C41" s="44">
        <f>(B39+C39)/2</f>
        <v>69.7</v>
      </c>
      <c r="D41" s="44">
        <f>(C39+D39)/2</f>
        <v>73.185000000000002</v>
      </c>
      <c r="E41" s="44">
        <f>(D39+E39)/2</f>
        <v>76.844250000000017</v>
      </c>
      <c r="F41" s="44">
        <f>(E39+F39)/2</f>
        <v>80.686462500000019</v>
      </c>
      <c r="G41" s="44">
        <f>(F39+G39)/2</f>
        <v>84.720785625000019</v>
      </c>
      <c r="H41" s="2" t="s">
        <v>583</v>
      </c>
    </row>
    <row r="42" spans="1:8" ht="15" customHeight="1" x14ac:dyDescent="0.2">
      <c r="A42" s="85" t="s">
        <v>584</v>
      </c>
      <c r="B42" s="43">
        <f>Strategic_Capital!D11</f>
        <v>374044</v>
      </c>
      <c r="C42" s="44">
        <f>C41*1000000*Assumptions!$F$37</f>
        <v>383350</v>
      </c>
      <c r="D42" s="44">
        <f>D41*1000000*Assumptions!$F$37</f>
        <v>402517.5</v>
      </c>
      <c r="E42" s="44">
        <f>E41*1000000*Assumptions!$F$37</f>
        <v>422643.37500000006</v>
      </c>
      <c r="F42" s="44">
        <f>F41*1000000*Assumptions!$F$37</f>
        <v>443775.54375000007</v>
      </c>
      <c r="G42" s="44">
        <f>G41*1000000*Assumptions!$F$37</f>
        <v>465964.32093750004</v>
      </c>
      <c r="H42" s="2" t="s">
        <v>585</v>
      </c>
    </row>
    <row r="43" spans="1:8" ht="15" customHeight="1" x14ac:dyDescent="0.2">
      <c r="A43" s="85" t="s">
        <v>586</v>
      </c>
      <c r="B43" s="43">
        <f>Strategic_Capital!D12</f>
        <v>32512</v>
      </c>
      <c r="C43" s="44">
        <f>B43*(1+Assumptions!$F$39)</f>
        <v>33487.360000000001</v>
      </c>
      <c r="D43" s="44">
        <f>C43*(1+Assumptions!$F$39)</f>
        <v>34491.980800000005</v>
      </c>
      <c r="E43" s="44">
        <f>D43*(1+Assumptions!$F$39)</f>
        <v>35526.740224000008</v>
      </c>
      <c r="F43" s="44">
        <f>E43*(1+Assumptions!$F$39)</f>
        <v>36592.542430720008</v>
      </c>
      <c r="G43" s="44">
        <f>F43*(1+Assumptions!$F$39)</f>
        <v>37690.318703641613</v>
      </c>
      <c r="H43" s="2" t="s">
        <v>587</v>
      </c>
    </row>
    <row r="44" spans="1:8" ht="15" customHeight="1" x14ac:dyDescent="0.2">
      <c r="A44" s="85" t="s">
        <v>588</v>
      </c>
      <c r="B44" s="43">
        <f>Historicals!D11</f>
        <v>-270517</v>
      </c>
      <c r="C44" s="44">
        <f>-(C42+C43)*Assumptions!$F$42</f>
        <v>-229260.54800000001</v>
      </c>
      <c r="D44" s="44">
        <f>-(D42+D43)*Assumptions!$F$42</f>
        <v>-240355.21444000004</v>
      </c>
      <c r="E44" s="44">
        <f>-(E42+E43)*Assumptions!$F$42</f>
        <v>-251993.56337320004</v>
      </c>
      <c r="F44" s="44">
        <f>-(F42+F43)*Assumptions!$F$42</f>
        <v>-264202.44739939604</v>
      </c>
      <c r="G44" s="44">
        <f>-(G42+G43)*Assumptions!$F$42</f>
        <v>-277010.05180262792</v>
      </c>
      <c r="H44" s="2" t="s">
        <v>589</v>
      </c>
    </row>
    <row r="45" spans="1:8" ht="15" customHeight="1" x14ac:dyDescent="0.2">
      <c r="A45" s="90" t="s">
        <v>590</v>
      </c>
      <c r="B45" s="43">
        <f>Strategic_Capital!D17</f>
        <v>-48960</v>
      </c>
      <c r="C45" s="47">
        <f>Assumptions!$F$40*1000</f>
        <v>-50000</v>
      </c>
      <c r="D45" s="47">
        <f>Assumptions!$F$41*1000</f>
        <v>0</v>
      </c>
      <c r="E45" s="47">
        <f>Assumptions!$F$41*1000</f>
        <v>0</v>
      </c>
      <c r="F45" s="47">
        <f>Assumptions!$F$41*1000</f>
        <v>0</v>
      </c>
      <c r="G45" s="47">
        <f>Assumptions!$F$41*1000</f>
        <v>0</v>
      </c>
      <c r="H45" s="2" t="s">
        <v>591</v>
      </c>
    </row>
    <row r="46" spans="1:8" ht="15" customHeight="1" x14ac:dyDescent="0.2">
      <c r="A46" s="85" t="s">
        <v>592</v>
      </c>
      <c r="B46" s="44" t="str">
        <f>""</f>
        <v/>
      </c>
      <c r="C46" s="44">
        <f>C42+C43+C44</f>
        <v>187576.81199999998</v>
      </c>
      <c r="D46" s="44">
        <f>D42+D43+D44</f>
        <v>196654.26635999998</v>
      </c>
      <c r="E46" s="44">
        <f>E42+E43+E44</f>
        <v>206176.55185080002</v>
      </c>
      <c r="F46" s="44">
        <f>F42+F43+F44</f>
        <v>216165.63878132403</v>
      </c>
      <c r="G46" s="44">
        <f>G42+G43+G44</f>
        <v>226644.58783851372</v>
      </c>
      <c r="H46" s="2" t="s">
        <v>593</v>
      </c>
    </row>
    <row r="47" spans="1:8" ht="15" customHeight="1" x14ac:dyDescent="0.2">
      <c r="A47" s="16" t="s">
        <v>594</v>
      </c>
      <c r="B47" s="17"/>
      <c r="C47" s="17"/>
      <c r="D47" s="17"/>
      <c r="E47" s="17"/>
      <c r="F47" s="17"/>
      <c r="G47" s="17"/>
      <c r="H47" s="17"/>
    </row>
    <row r="48" spans="1:8" ht="15" customHeight="1" x14ac:dyDescent="0.2">
      <c r="A48" s="85" t="s">
        <v>595</v>
      </c>
      <c r="B48" s="43">
        <f>Capital_Deployment!D6/1000</f>
        <v>1710</v>
      </c>
      <c r="C48" s="44">
        <f>B48*(1+Assumptions!$F$38)</f>
        <v>1795.5</v>
      </c>
      <c r="D48" s="44">
        <f>C48*(1+Assumptions!$F$38)</f>
        <v>1885.2750000000001</v>
      </c>
      <c r="E48" s="44">
        <f>D48*(1+Assumptions!$F$38)</f>
        <v>1979.5387500000002</v>
      </c>
      <c r="F48" s="44">
        <f>E48*(1+Assumptions!$F$38)</f>
        <v>2078.5156875000002</v>
      </c>
      <c r="G48" s="44">
        <f>F48*(1+Assumptions!$F$38)</f>
        <v>2182.4414718750004</v>
      </c>
      <c r="H48" s="2" t="s">
        <v>596</v>
      </c>
    </row>
    <row r="49" spans="1:8" ht="15" customHeight="1" x14ac:dyDescent="0.2">
      <c r="A49" s="85" t="s">
        <v>597</v>
      </c>
      <c r="B49" s="43">
        <f>Capital_Deployment!D10/1000</f>
        <v>2170.174</v>
      </c>
      <c r="C49" s="44">
        <f>C34</f>
        <v>521.18215559999999</v>
      </c>
      <c r="D49" s="44">
        <f>D34</f>
        <v>2120</v>
      </c>
      <c r="E49" s="44">
        <f>E34</f>
        <v>2252</v>
      </c>
      <c r="F49" s="44">
        <f>F34</f>
        <v>2393.2000000000003</v>
      </c>
      <c r="G49" s="44">
        <f>G34</f>
        <v>2544.3200000000006</v>
      </c>
      <c r="H49" s="2" t="s">
        <v>598</v>
      </c>
    </row>
    <row r="50" spans="1:8" ht="15" customHeight="1" x14ac:dyDescent="0.2">
      <c r="A50" s="85" t="s">
        <v>599</v>
      </c>
      <c r="B50" s="94">
        <f>Capital_Deployment!D11</f>
        <v>4.9000000000000002E-2</v>
      </c>
      <c r="C50" s="95">
        <f>Assumptions!$F$49</f>
        <v>0.05</v>
      </c>
      <c r="D50" s="95">
        <f>Assumptions!$F$49</f>
        <v>0.05</v>
      </c>
      <c r="E50" s="95">
        <f>Assumptions!$F$49</f>
        <v>0.05</v>
      </c>
      <c r="F50" s="95">
        <f>Assumptions!$F$49</f>
        <v>0.05</v>
      </c>
      <c r="G50" s="95">
        <f>Assumptions!$F$49</f>
        <v>0.05</v>
      </c>
      <c r="H50" s="2" t="s">
        <v>600</v>
      </c>
    </row>
    <row r="52" spans="1:8" ht="15" customHeight="1" x14ac:dyDescent="0.2">
      <c r="A52" s="16" t="s">
        <v>601</v>
      </c>
      <c r="B52" s="17"/>
      <c r="C52" s="17"/>
      <c r="D52" s="17"/>
      <c r="E52" s="17"/>
      <c r="F52" s="17"/>
      <c r="G52" s="17"/>
      <c r="H52" s="17"/>
    </row>
    <row r="53" spans="1:8" ht="15" customHeight="1" x14ac:dyDescent="0.2">
      <c r="A53" s="85" t="s">
        <v>63</v>
      </c>
      <c r="B53" s="43">
        <f>Historicals!D12</f>
        <v>-469114</v>
      </c>
      <c r="C53" s="44">
        <f>B53*(1+Assumptions!$F$13)</f>
        <v>-487878.56</v>
      </c>
      <c r="D53" s="44">
        <f>C53*(1+Assumptions!$F$13)</f>
        <v>-507393.70240000001</v>
      </c>
      <c r="E53" s="44">
        <f>D53*(1+Assumptions!$F$13)</f>
        <v>-527689.450496</v>
      </c>
      <c r="F53" s="44">
        <f>E53*(1+Assumptions!$F$13)</f>
        <v>-548797.02851584007</v>
      </c>
      <c r="G53" s="44">
        <f>F53*(1+Assumptions!$F$13)</f>
        <v>-570748.90965647367</v>
      </c>
      <c r="H53" s="2" t="s">
        <v>602</v>
      </c>
    </row>
    <row r="54" spans="1:8" ht="15" customHeight="1" x14ac:dyDescent="0.2">
      <c r="A54" s="85" t="s">
        <v>67</v>
      </c>
      <c r="B54" s="43">
        <f>Historicals!D19</f>
        <v>402531</v>
      </c>
      <c r="C54" s="44">
        <f>B54*(1+Assumptions!$F$38)</f>
        <v>422657.55000000005</v>
      </c>
      <c r="D54" s="44">
        <f>B54*(1+Assumptions!$F$38)</f>
        <v>422657.55000000005</v>
      </c>
      <c r="E54" s="44">
        <f>B54*(1+Assumptions!$F$38)</f>
        <v>422657.55000000005</v>
      </c>
      <c r="F54" s="44">
        <f>B54*(1+Assumptions!$F$38)</f>
        <v>422657.55000000005</v>
      </c>
      <c r="G54" s="44">
        <f>B54*(1+Assumptions!$F$38)</f>
        <v>422657.55000000005</v>
      </c>
      <c r="H54" s="2" t="s">
        <v>603</v>
      </c>
    </row>
    <row r="55" spans="1:8" ht="15" customHeight="1" x14ac:dyDescent="0.2">
      <c r="A55" s="85" t="s">
        <v>74</v>
      </c>
      <c r="B55" s="43">
        <f>-Data_Collection!D20</f>
        <v>-5882</v>
      </c>
      <c r="C55" s="44">
        <f>B55</f>
        <v>-5882</v>
      </c>
      <c r="D55" s="44">
        <f>B55</f>
        <v>-5882</v>
      </c>
      <c r="E55" s="44">
        <f>B55</f>
        <v>-5882</v>
      </c>
      <c r="F55" s="44">
        <f>B55</f>
        <v>-5882</v>
      </c>
      <c r="G55" s="44">
        <f>B55</f>
        <v>-5882</v>
      </c>
      <c r="H55" s="2" t="s">
        <v>604</v>
      </c>
    </row>
    <row r="56" spans="1:8" ht="15" customHeight="1" x14ac:dyDescent="0.2">
      <c r="A56" s="90" t="s">
        <v>605</v>
      </c>
      <c r="B56" s="43">
        <f>Historicals!D31+Strategic_Capital!D13+Historicals!D11+Historicals!D12</f>
        <v>5861692</v>
      </c>
      <c r="C56" s="47">
        <f>C36+C46+C53+C54</f>
        <v>6892117.1942850007</v>
      </c>
      <c r="D56" s="47">
        <f>D36+D46+D53+D54</f>
        <v>7728933.2799150003</v>
      </c>
      <c r="E56" s="47">
        <f>E36+E46+E53+E54</f>
        <v>8577382.1396440193</v>
      </c>
      <c r="F56" s="47">
        <f>F36+F46+F53+F54</f>
        <v>9432182.0491409563</v>
      </c>
      <c r="G56" s="47">
        <f>G36+G46+G53+G54</f>
        <v>10288041.527852805</v>
      </c>
      <c r="H56" s="2" t="s">
        <v>606</v>
      </c>
    </row>
    <row r="57" spans="1:8" ht="15" customHeight="1" x14ac:dyDescent="0.2">
      <c r="A57" s="16" t="s">
        <v>607</v>
      </c>
      <c r="B57" s="17"/>
      <c r="C57" s="17"/>
      <c r="D57" s="17"/>
      <c r="E57" s="17"/>
      <c r="F57" s="17"/>
      <c r="G57" s="17"/>
      <c r="H57" s="17"/>
    </row>
    <row r="58" spans="1:8" ht="15" customHeight="1" x14ac:dyDescent="0.2">
      <c r="A58" s="85" t="s">
        <v>608</v>
      </c>
      <c r="B58" s="44" t="str">
        <f>""</f>
        <v/>
      </c>
      <c r="C58" s="44">
        <f>(C22+C28+C48)*1000</f>
        <v>7095500</v>
      </c>
      <c r="D58" s="44">
        <f>(D22+D28+D48)*1000</f>
        <v>7515275</v>
      </c>
      <c r="E58" s="44">
        <f>(E22+E28+E48)*1000</f>
        <v>7962538.75</v>
      </c>
      <c r="F58" s="44">
        <f>(F22+F28+F48)*1000</f>
        <v>8439315.6875000019</v>
      </c>
      <c r="G58" s="44">
        <f>(G22+G28+G48)*1000</f>
        <v>8947796.4718750007</v>
      </c>
      <c r="H58" s="2" t="s">
        <v>609</v>
      </c>
    </row>
    <row r="59" spans="1:8" ht="15" customHeight="1" x14ac:dyDescent="0.2">
      <c r="A59" s="85" t="s">
        <v>610</v>
      </c>
      <c r="B59" s="44" t="str">
        <f>""</f>
        <v/>
      </c>
      <c r="C59" s="44">
        <f>B76+B78</f>
        <v>570299</v>
      </c>
      <c r="D59" s="44">
        <f>C76+C78</f>
        <v>569562.0627467595</v>
      </c>
      <c r="E59" s="44">
        <f>D76+D78</f>
        <v>648563.1992540136</v>
      </c>
      <c r="F59" s="44">
        <f>E76+E78</f>
        <v>724621.45907066949</v>
      </c>
      <c r="G59" s="44">
        <f>F76+F78</f>
        <v>800825.92690304946</v>
      </c>
      <c r="H59" s="2" t="s">
        <v>611</v>
      </c>
    </row>
    <row r="60" spans="1:8" ht="15" customHeight="1" x14ac:dyDescent="0.2">
      <c r="A60" s="85" t="s">
        <v>612</v>
      </c>
      <c r="B60" s="44" t="str">
        <f>""</f>
        <v/>
      </c>
      <c r="C60" s="44">
        <f>C49*1000</f>
        <v>521182.1556</v>
      </c>
      <c r="D60" s="44">
        <f>D49*1000</f>
        <v>2120000</v>
      </c>
      <c r="E60" s="44">
        <f>E49*1000</f>
        <v>2252000</v>
      </c>
      <c r="F60" s="44">
        <f>F49*1000</f>
        <v>2393200.0000000005</v>
      </c>
      <c r="G60" s="44">
        <f>G49*1000</f>
        <v>2544320.0000000005</v>
      </c>
      <c r="H60" s="2" t="s">
        <v>613</v>
      </c>
    </row>
    <row r="61" spans="1:8" ht="15" customHeight="1" x14ac:dyDescent="0.2">
      <c r="A61" s="85" t="s">
        <v>614</v>
      </c>
      <c r="B61" s="44" t="str">
        <f>""</f>
        <v/>
      </c>
      <c r="C61" s="44">
        <f>MAX(0,(C58-C59-C60))*Assumptions!$F$48</f>
        <v>3602411.3066399996</v>
      </c>
      <c r="D61" s="44">
        <f>MAX(0,(D58-D59-D60))*Assumptions!$F$48</f>
        <v>2895427.7623519441</v>
      </c>
      <c r="E61" s="44">
        <f>MAX(0,(E58-E59-E60))*Assumptions!$F$48</f>
        <v>3037185.3304475918</v>
      </c>
      <c r="F61" s="44">
        <f>MAX(0,(F58-F59-F60))*Assumptions!$F$48</f>
        <v>3192896.5370575995</v>
      </c>
      <c r="G61" s="44">
        <f>MAX(0,(G58-G59-G60))*Assumptions!$F$48</f>
        <v>3361590.3269831701</v>
      </c>
      <c r="H61" s="2" t="s">
        <v>615</v>
      </c>
    </row>
    <row r="62" spans="1:8" ht="15" customHeight="1" x14ac:dyDescent="0.2">
      <c r="A62" s="85" t="s">
        <v>616</v>
      </c>
      <c r="B62" s="44" t="str">
        <f>""</f>
        <v/>
      </c>
      <c r="C62" s="44">
        <f>MIN(MAX(0,(C58-C59-C60)-C61),Assumptions!$F$54*1000)</f>
        <v>1500000</v>
      </c>
      <c r="D62" s="44">
        <f>MIN(MAX(0,(D58-D59-D60)-D61),Assumptions!$F$54*1000)</f>
        <v>1500000</v>
      </c>
      <c r="E62" s="44">
        <f>MIN(MAX(0,(E58-E59-E60)-E61),Assumptions!$F$54*1000)</f>
        <v>1500000</v>
      </c>
      <c r="F62" s="44">
        <f>MIN(MAX(0,(F58-F59-F60)-F61),Assumptions!$F$54*1000)</f>
        <v>1500000</v>
      </c>
      <c r="G62" s="44">
        <f>MIN(MAX(0,(G58-G59-G60)-G61),Assumptions!$F$54*1000)</f>
        <v>1500000</v>
      </c>
      <c r="H62" s="2" t="s">
        <v>617</v>
      </c>
    </row>
    <row r="63" spans="1:8" ht="15" customHeight="1" x14ac:dyDescent="0.2">
      <c r="A63" s="90" t="s">
        <v>618</v>
      </c>
      <c r="B63" s="43">
        <f>Data_Collection!D33</f>
        <v>35037073</v>
      </c>
      <c r="C63" s="47">
        <f>B63+C61</f>
        <v>38639484.306639999</v>
      </c>
      <c r="D63" s="47">
        <f>C63+D61</f>
        <v>41534912.068991944</v>
      </c>
      <c r="E63" s="47">
        <f>D63+E61</f>
        <v>44572097.399439536</v>
      </c>
      <c r="F63" s="47">
        <f>E63+F61</f>
        <v>47764993.936497137</v>
      </c>
      <c r="G63" s="47">
        <f>F63+G61</f>
        <v>51126584.263480306</v>
      </c>
      <c r="H63" s="2" t="s">
        <v>619</v>
      </c>
    </row>
    <row r="64" spans="1:8" ht="15" customHeight="1" x14ac:dyDescent="0.2">
      <c r="A64" s="85" t="s">
        <v>68</v>
      </c>
      <c r="B64" s="43">
        <f>Historicals!D20</f>
        <v>-1002344</v>
      </c>
      <c r="C64" s="44">
        <f>-((B63+C63)/2)*Debt!D11</f>
        <v>-1215663.1955595601</v>
      </c>
      <c r="D64" s="44">
        <f>-((C63+D63)/2)*Debt!D11</f>
        <v>-1322877.540197927</v>
      </c>
      <c r="E64" s="44">
        <f>-((D63+E63)/2)*Debt!D11</f>
        <v>-1420765.6562291193</v>
      </c>
      <c r="F64" s="44">
        <f>-((E63+F63)/2)*Debt!D11</f>
        <v>-1523562.0070429551</v>
      </c>
      <c r="G64" s="44">
        <f>-((F63+G63)/2)*Debt!D11</f>
        <v>-1631711.0402996279</v>
      </c>
      <c r="H64" s="2" t="s">
        <v>620</v>
      </c>
    </row>
    <row r="65" spans="1:8" ht="15" customHeight="1" x14ac:dyDescent="0.2">
      <c r="A65" s="85" t="s">
        <v>198</v>
      </c>
      <c r="B65" s="59">
        <f>Debt!D15</f>
        <v>5.3</v>
      </c>
      <c r="C65" s="96">
        <f>C63/C56</f>
        <v>5.6063301330221389</v>
      </c>
      <c r="D65" s="96">
        <f>D63/D56</f>
        <v>5.3739514322018742</v>
      </c>
      <c r="E65" s="96">
        <f>E63/E56</f>
        <v>5.1964686513651559</v>
      </c>
      <c r="F65" s="96">
        <f>F63/F56</f>
        <v>5.0640449566860699</v>
      </c>
      <c r="G65" s="96">
        <f>G63/G56</f>
        <v>4.9695157358244861</v>
      </c>
      <c r="H65" s="2" t="s">
        <v>621</v>
      </c>
    </row>
    <row r="67" spans="1:8" ht="15" customHeight="1" x14ac:dyDescent="0.2">
      <c r="A67" s="16" t="s">
        <v>622</v>
      </c>
      <c r="B67" s="17"/>
      <c r="C67" s="17"/>
      <c r="D67" s="17"/>
      <c r="E67" s="17"/>
      <c r="F67" s="17"/>
      <c r="G67" s="17"/>
      <c r="H67" s="17"/>
    </row>
    <row r="68" spans="1:8" ht="15" customHeight="1" x14ac:dyDescent="0.2">
      <c r="A68" s="90" t="s">
        <v>623</v>
      </c>
      <c r="B68" s="97">
        <f>Share_Count!D8</f>
        <v>957.2</v>
      </c>
      <c r="C68" s="98">
        <f>B68*(1+Assumptions!$F$53)+C62/1000/Data_Collection!$D$163</f>
        <v>971.82156083346388</v>
      </c>
      <c r="D68" s="98">
        <f>C68*(1+Assumptions!$F$53)+D62/1000/Data_Collection!$D$163</f>
        <v>986.48698634942809</v>
      </c>
      <c r="E68" s="98">
        <f>D68*(1+Assumptions!$F$53)+E62/1000/Data_Collection!$D$163</f>
        <v>1001.1964081419402</v>
      </c>
      <c r="F68" s="98">
        <f>E68*(1+Assumptions!$F$53)+F62/1000/Data_Collection!$D$163</f>
        <v>1015.9499581998298</v>
      </c>
      <c r="G68" s="98">
        <f>F68*(1+Assumptions!$F$53)+G62/1000/Data_Collection!$D$163</f>
        <v>1030.747768907893</v>
      </c>
      <c r="H68" s="2" t="s">
        <v>624</v>
      </c>
    </row>
    <row r="69" spans="1:8" ht="15" customHeight="1" x14ac:dyDescent="0.2">
      <c r="A69" s="85" t="s">
        <v>625</v>
      </c>
      <c r="B69" s="99" t="str">
        <f>""</f>
        <v/>
      </c>
      <c r="C69" s="99">
        <f>B68*Assumptions!$F$53</f>
        <v>2.8716000000000004</v>
      </c>
      <c r="D69" s="99">
        <f>C68*Assumptions!$F$53</f>
        <v>2.9154646825003918</v>
      </c>
      <c r="E69" s="99">
        <f>D68*Assumptions!$F$53</f>
        <v>2.9594609590482843</v>
      </c>
      <c r="F69" s="99">
        <f>E68*Assumptions!$F$53</f>
        <v>3.0035892244258204</v>
      </c>
      <c r="G69" s="99">
        <f>F68*Assumptions!$F$53</f>
        <v>3.0478498745994895</v>
      </c>
      <c r="H69" s="2" t="s">
        <v>626</v>
      </c>
    </row>
    <row r="70" spans="1:8" ht="15" customHeight="1" x14ac:dyDescent="0.2">
      <c r="A70" s="85" t="s">
        <v>627</v>
      </c>
      <c r="B70" s="99" t="str">
        <f>""</f>
        <v/>
      </c>
      <c r="C70" s="99">
        <f>C62/1000/Data_Collection!$D$163</f>
        <v>11.74996083346389</v>
      </c>
      <c r="D70" s="99">
        <f>D62/1000/Data_Collection!$D$163</f>
        <v>11.74996083346389</v>
      </c>
      <c r="E70" s="99">
        <f>E62/1000/Data_Collection!$D$163</f>
        <v>11.74996083346389</v>
      </c>
      <c r="F70" s="99">
        <f>F62/1000/Data_Collection!$D$163</f>
        <v>11.74996083346389</v>
      </c>
      <c r="G70" s="99">
        <f>G62/1000/Data_Collection!$D$163</f>
        <v>11.74996083346389</v>
      </c>
      <c r="H70" s="2" t="s">
        <v>628</v>
      </c>
    </row>
    <row r="71" spans="1:8" ht="15" customHeight="1" x14ac:dyDescent="0.2">
      <c r="A71" s="16" t="s">
        <v>629</v>
      </c>
      <c r="B71" s="17"/>
      <c r="C71" s="17"/>
      <c r="D71" s="17"/>
      <c r="E71" s="17"/>
      <c r="F71" s="17"/>
      <c r="G71" s="17"/>
      <c r="H71" s="17"/>
    </row>
    <row r="72" spans="1:8" ht="15" customHeight="1" x14ac:dyDescent="0.2">
      <c r="A72" s="100" t="s">
        <v>630</v>
      </c>
      <c r="B72" s="43">
        <f>FFO_Recon!D28</f>
        <v>5561300</v>
      </c>
      <c r="C72" s="101">
        <f>C36+C46+C45+C53+C64+C54+C55</f>
        <v>5620571.9987254404</v>
      </c>
      <c r="D72" s="101">
        <f>D36+D46+D45+D53+D64+D54+D55</f>
        <v>6400173.7397170728</v>
      </c>
      <c r="E72" s="101">
        <f>E36+E46+E45+E53+E64+E54+E55</f>
        <v>7150734.4834149005</v>
      </c>
      <c r="F72" s="101">
        <f>F36+F46+F45+F53+F64+F54+F55</f>
        <v>7902738.0420979997</v>
      </c>
      <c r="G72" s="101">
        <f>G36+G46+G45+G53+G64+G54+G55</f>
        <v>8650448.4875531774</v>
      </c>
      <c r="H72" s="2" t="s">
        <v>631</v>
      </c>
    </row>
    <row r="73" spans="1:8" ht="15" customHeight="1" x14ac:dyDescent="0.2">
      <c r="A73" s="100" t="s">
        <v>299</v>
      </c>
      <c r="B73" s="102">
        <f>FFO_Recon!D30</f>
        <v>5.8099665691600499</v>
      </c>
      <c r="C73" s="103">
        <f>C72/1000/C68</f>
        <v>5.7835432195032457</v>
      </c>
      <c r="D73" s="103">
        <f>D72/1000/D68</f>
        <v>6.4878440651319833</v>
      </c>
      <c r="E73" s="103">
        <f>E72/1000/E68</f>
        <v>7.142189509734175</v>
      </c>
      <c r="F73" s="103">
        <f>F72/1000/F68</f>
        <v>7.7786686030293533</v>
      </c>
      <c r="G73" s="103">
        <f>G72/1000/G68</f>
        <v>8.3924008845719626</v>
      </c>
      <c r="H73" s="2" t="s">
        <v>632</v>
      </c>
    </row>
    <row r="74" spans="1:8" ht="15" customHeight="1" x14ac:dyDescent="0.2">
      <c r="A74" s="85" t="s">
        <v>633</v>
      </c>
      <c r="B74" s="104" t="str">
        <f>""</f>
        <v/>
      </c>
      <c r="C74" s="104">
        <f>(C72-C45)/1000/C68</f>
        <v>5.8349929938395118</v>
      </c>
      <c r="D74" s="104">
        <f>(D72-D45)/1000/D68</f>
        <v>6.4878440651319833</v>
      </c>
      <c r="E74" s="104">
        <f>(E72-E45)/1000/E68</f>
        <v>7.142189509734175</v>
      </c>
      <c r="F74" s="104">
        <f>(F72-F45)/1000/F68</f>
        <v>7.7786686030293533</v>
      </c>
      <c r="G74" s="104">
        <f>(G72-G45)/1000/G68</f>
        <v>8.3924008845719626</v>
      </c>
      <c r="H74" s="2" t="s">
        <v>634</v>
      </c>
    </row>
    <row r="75" spans="1:8" ht="15" customHeight="1" x14ac:dyDescent="0.2">
      <c r="A75" s="90" t="s">
        <v>635</v>
      </c>
      <c r="B75" s="43">
        <f>FFO_Recon!D10</f>
        <v>5679525</v>
      </c>
      <c r="C75" s="47">
        <f>C72*(FFO_Recon!$D$10/FFO_Recon!$D$28)</f>
        <v>5740057.0336182378</v>
      </c>
      <c r="D75" s="47">
        <f>D72*(FFO_Recon!$D$10/FFO_Recon!$D$28)</f>
        <v>6536231.952792801</v>
      </c>
      <c r="E75" s="47">
        <f>E72*(FFO_Recon!$D$10/FFO_Recon!$D$28)</f>
        <v>7302748.5060897646</v>
      </c>
      <c r="F75" s="47">
        <f>F72*(FFO_Recon!$D$10/FFO_Recon!$D$28)</f>
        <v>8070738.5464813327</v>
      </c>
      <c r="G75" s="47">
        <f>G72*(FFO_Recon!$D$10/FFO_Recon!$D$28)</f>
        <v>8834344.2084171791</v>
      </c>
      <c r="H75" s="2" t="s">
        <v>636</v>
      </c>
    </row>
    <row r="76" spans="1:8" ht="15" customHeight="1" x14ac:dyDescent="0.2">
      <c r="A76" s="100" t="s">
        <v>404</v>
      </c>
      <c r="B76" s="43">
        <f>FFO_Recon!D45</f>
        <v>4335044</v>
      </c>
      <c r="C76" s="101">
        <f>C72*(FFO_Recon!$D$45/FFO_Recon!$D$28)</f>
        <v>4381246.6365135359</v>
      </c>
      <c r="D76" s="101">
        <f>D72*(FFO_Recon!$D$45/FFO_Recon!$D$28)</f>
        <v>4988947.6865693377</v>
      </c>
      <c r="E76" s="101">
        <f>E72*(FFO_Recon!$D$45/FFO_Recon!$D$28)</f>
        <v>5574011.2236205321</v>
      </c>
      <c r="F76" s="101">
        <f>F72*(FFO_Recon!$D$45/FFO_Recon!$D$28)</f>
        <v>6160199.4377157642</v>
      </c>
      <c r="G76" s="101">
        <f>G72*(FFO_Recon!$D$45/FFO_Recon!$D$28)</f>
        <v>6743041.161828435</v>
      </c>
      <c r="H76" s="2" t="s">
        <v>637</v>
      </c>
    </row>
    <row r="77" spans="1:8" ht="15" customHeight="1" x14ac:dyDescent="0.2">
      <c r="A77" s="100" t="s">
        <v>638</v>
      </c>
      <c r="B77" s="102">
        <f>FFO_Recon!D45/1000/Share_Count!D8</f>
        <v>4.5288800668616798</v>
      </c>
      <c r="C77" s="103">
        <f>C76/1000/C68</f>
        <v>4.5082830152029603</v>
      </c>
      <c r="D77" s="103">
        <f>D76/1000/D68</f>
        <v>5.0572868731206757</v>
      </c>
      <c r="E77" s="103">
        <f>E76/1000/E68</f>
        <v>5.5673504002726117</v>
      </c>
      <c r="F77" s="103">
        <f>F76/1000/F68</f>
        <v>6.0634870723663132</v>
      </c>
      <c r="G77" s="103">
        <f>G76/1000/G68</f>
        <v>6.5418925611382903</v>
      </c>
      <c r="H77" s="2" t="s">
        <v>639</v>
      </c>
    </row>
    <row r="78" spans="1:8" ht="15" customHeight="1" x14ac:dyDescent="0.2">
      <c r="A78" s="85" t="s">
        <v>640</v>
      </c>
      <c r="B78" s="43">
        <f>Data_Collection!D55</f>
        <v>-3764745</v>
      </c>
      <c r="C78" s="44">
        <f>-C76*Assumptions!$F$58</f>
        <v>-3811684.5737667764</v>
      </c>
      <c r="D78" s="44">
        <f>-D76*Assumptions!$F$58</f>
        <v>-4340384.4873153241</v>
      </c>
      <c r="E78" s="44">
        <f>-E76*Assumptions!$F$58</f>
        <v>-4849389.7645498626</v>
      </c>
      <c r="F78" s="44">
        <f>-F76*Assumptions!$F$58</f>
        <v>-5359373.5108127147</v>
      </c>
      <c r="G78" s="44">
        <f>-G76*Assumptions!$F$58</f>
        <v>-5866445.8107907381</v>
      </c>
      <c r="H78" s="2" t="s">
        <v>641</v>
      </c>
    </row>
    <row r="81" spans="1:8" ht="15" customHeight="1" x14ac:dyDescent="0.2">
      <c r="A81" s="16" t="s">
        <v>642</v>
      </c>
      <c r="B81" s="17"/>
      <c r="C81" s="17"/>
      <c r="D81" s="17"/>
      <c r="E81" s="17"/>
      <c r="F81" s="17"/>
      <c r="G81" s="17"/>
      <c r="H81" s="17"/>
    </row>
    <row r="82" spans="1:8" ht="15" customHeight="1" x14ac:dyDescent="0.2">
      <c r="A82" s="168" t="s">
        <v>643</v>
      </c>
      <c r="B82" s="168"/>
      <c r="C82" s="168"/>
      <c r="D82" s="168"/>
      <c r="E82" s="168"/>
      <c r="F82" s="168"/>
      <c r="G82" s="168"/>
      <c r="H82" s="168"/>
    </row>
    <row r="83" spans="1:8" ht="15" customHeight="1" x14ac:dyDescent="0.2">
      <c r="A83" s="168" t="s">
        <v>644</v>
      </c>
      <c r="B83" s="168"/>
      <c r="C83" s="168"/>
      <c r="D83" s="168"/>
      <c r="E83" s="168"/>
      <c r="F83" s="168"/>
      <c r="G83" s="168"/>
      <c r="H83" s="168"/>
    </row>
    <row r="84" spans="1:8" ht="15" customHeight="1" x14ac:dyDescent="0.2">
      <c r="A84" s="168" t="s">
        <v>645</v>
      </c>
      <c r="B84" s="168"/>
      <c r="C84" s="168"/>
      <c r="D84" s="168"/>
      <c r="E84" s="168"/>
      <c r="F84" s="168"/>
      <c r="G84" s="168"/>
      <c r="H84" s="168"/>
    </row>
    <row r="85" spans="1:8" ht="15" customHeight="1" x14ac:dyDescent="0.2">
      <c r="A85" s="168" t="s">
        <v>646</v>
      </c>
      <c r="B85" s="168"/>
      <c r="C85" s="168"/>
      <c r="D85" s="168"/>
      <c r="E85" s="168"/>
      <c r="F85" s="168"/>
      <c r="G85" s="168"/>
      <c r="H85" s="168"/>
    </row>
    <row r="86" spans="1:8" ht="15" customHeight="1" x14ac:dyDescent="0.2">
      <c r="A86" s="168" t="s">
        <v>647</v>
      </c>
      <c r="B86" s="168"/>
      <c r="C86" s="168"/>
      <c r="D86" s="168"/>
      <c r="E86" s="168"/>
      <c r="F86" s="168"/>
      <c r="G86" s="168"/>
      <c r="H86" s="168"/>
    </row>
    <row r="87" spans="1:8" ht="15" customHeight="1" x14ac:dyDescent="0.2">
      <c r="A87" s="168" t="s">
        <v>648</v>
      </c>
      <c r="B87" s="168"/>
      <c r="C87" s="168"/>
      <c r="D87" s="168"/>
      <c r="E87" s="168"/>
      <c r="F87" s="168"/>
      <c r="G87" s="168"/>
      <c r="H87" s="168"/>
    </row>
    <row r="88" spans="1:8" ht="15" customHeight="1" x14ac:dyDescent="0.2">
      <c r="A88" s="168" t="s">
        <v>649</v>
      </c>
      <c r="B88" s="168"/>
      <c r="C88" s="168"/>
      <c r="D88" s="168"/>
      <c r="E88" s="168"/>
      <c r="F88" s="168"/>
      <c r="G88" s="168"/>
      <c r="H88" s="168"/>
    </row>
    <row r="89" spans="1:8" ht="15" customHeight="1" x14ac:dyDescent="0.2">
      <c r="A89" s="168" t="s">
        <v>650</v>
      </c>
      <c r="B89" s="168"/>
      <c r="C89" s="168"/>
      <c r="D89" s="168"/>
      <c r="E89" s="168"/>
      <c r="F89" s="168"/>
      <c r="G89" s="168"/>
      <c r="H89" s="168"/>
    </row>
    <row r="90" spans="1:8" ht="15" customHeight="1" x14ac:dyDescent="0.2">
      <c r="A90" s="168" t="s">
        <v>651</v>
      </c>
      <c r="B90" s="168"/>
      <c r="C90" s="168"/>
      <c r="D90" s="168"/>
      <c r="E90" s="168"/>
      <c r="F90" s="168"/>
      <c r="G90" s="168"/>
      <c r="H90" s="168"/>
    </row>
  </sheetData>
  <mergeCells count="9">
    <mergeCell ref="A87:H87"/>
    <mergeCell ref="A88:H88"/>
    <mergeCell ref="A89:H89"/>
    <mergeCell ref="A90:H90"/>
    <mergeCell ref="A82:H82"/>
    <mergeCell ref="A83:H83"/>
    <mergeCell ref="A84:H84"/>
    <mergeCell ref="A85:H85"/>
    <mergeCell ref="A86:H86"/>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7375E"/>
  </sheetPr>
  <dimension ref="A1:H62"/>
  <sheetViews>
    <sheetView showGridLines="0" zoomScaleNormal="100" workbookViewId="0">
      <selection activeCell="A57" sqref="A57"/>
    </sheetView>
  </sheetViews>
  <sheetFormatPr baseColWidth="10" defaultColWidth="8.6640625" defaultRowHeight="15" x14ac:dyDescent="0.2"/>
  <cols>
    <col min="1" max="1" width="46" customWidth="1"/>
    <col min="2" max="6" width="13" customWidth="1"/>
    <col min="7" max="7" width="14" customWidth="1"/>
    <col min="8" max="8" width="82" customWidth="1"/>
  </cols>
  <sheetData>
    <row r="1" spans="1:8" ht="17.25" customHeight="1" x14ac:dyDescent="0.2">
      <c r="A1" s="4" t="s">
        <v>652</v>
      </c>
    </row>
    <row r="2" spans="1:8" ht="63.75" customHeight="1" x14ac:dyDescent="0.2">
      <c r="A2" s="105" t="s">
        <v>653</v>
      </c>
    </row>
    <row r="3" spans="1:8" ht="15" customHeight="1" x14ac:dyDescent="0.2">
      <c r="A3" s="64" t="s">
        <v>522</v>
      </c>
      <c r="B3" s="87" t="s">
        <v>524</v>
      </c>
      <c r="C3" s="87" t="s">
        <v>525</v>
      </c>
      <c r="D3" s="87" t="s">
        <v>526</v>
      </c>
      <c r="E3" s="87" t="s">
        <v>527</v>
      </c>
      <c r="F3" s="87" t="s">
        <v>528</v>
      </c>
      <c r="G3" s="87" t="s">
        <v>654</v>
      </c>
      <c r="H3" s="106"/>
    </row>
    <row r="4" spans="1:8" ht="15" customHeight="1" x14ac:dyDescent="0.2">
      <c r="A4" s="16" t="s">
        <v>655</v>
      </c>
      <c r="B4" s="16"/>
      <c r="C4" s="16"/>
      <c r="D4" s="16"/>
      <c r="E4" s="16"/>
      <c r="F4" s="16"/>
      <c r="G4" s="16"/>
      <c r="H4" s="16"/>
    </row>
    <row r="5" spans="1:8" ht="32.25" customHeight="1" x14ac:dyDescent="0.2">
      <c r="A5" s="7" t="s">
        <v>656</v>
      </c>
      <c r="B5" s="107">
        <f>Assumptions!F59</f>
        <v>7.4999999999999997E-2</v>
      </c>
      <c r="H5" s="1" t="s">
        <v>657</v>
      </c>
    </row>
    <row r="6" spans="1:8" ht="21.75" customHeight="1" x14ac:dyDescent="0.2">
      <c r="A6" s="7" t="s">
        <v>658</v>
      </c>
      <c r="B6" s="107">
        <f>Assumptions!F62</f>
        <v>2.5000000000000001E-2</v>
      </c>
      <c r="H6" s="1" t="s">
        <v>659</v>
      </c>
    </row>
    <row r="7" spans="1:8" ht="15" customHeight="1" x14ac:dyDescent="0.2">
      <c r="A7" s="7" t="s">
        <v>660</v>
      </c>
      <c r="B7" s="108">
        <f>B5-B6</f>
        <v>4.9999999999999996E-2</v>
      </c>
    </row>
    <row r="8" spans="1:8" ht="15" customHeight="1" x14ac:dyDescent="0.2">
      <c r="A8" s="7" t="s">
        <v>661</v>
      </c>
      <c r="B8" s="107">
        <f>Data_Collection!E164</f>
        <v>4.4900000000000002E-2</v>
      </c>
    </row>
    <row r="9" spans="1:8" ht="15" customHeight="1" x14ac:dyDescent="0.2">
      <c r="A9" s="7" t="s">
        <v>662</v>
      </c>
      <c r="B9" s="107">
        <f>Assumptions!F60</f>
        <v>0.05</v>
      </c>
    </row>
    <row r="10" spans="1:8" ht="15" customHeight="1" x14ac:dyDescent="0.2">
      <c r="A10" s="16" t="s">
        <v>663</v>
      </c>
      <c r="B10" s="16"/>
      <c r="C10" s="16"/>
      <c r="D10" s="16"/>
      <c r="E10" s="16"/>
      <c r="F10" s="16"/>
      <c r="G10" s="16"/>
      <c r="H10" s="16"/>
    </row>
    <row r="11" spans="1:8" ht="21.75" customHeight="1" x14ac:dyDescent="0.2">
      <c r="A11" s="10" t="s">
        <v>664</v>
      </c>
      <c r="B11" s="43">
        <f>Model!C76</f>
        <v>4381246.6365135359</v>
      </c>
      <c r="C11" s="43">
        <f>Model!D76</f>
        <v>4988947.6865693377</v>
      </c>
      <c r="D11" s="43">
        <f>Model!E76</f>
        <v>5574011.2236205321</v>
      </c>
      <c r="E11" s="43">
        <f>Model!F76</f>
        <v>6160199.4377157642</v>
      </c>
      <c r="F11" s="43">
        <f>Model!G76</f>
        <v>6743041.161828435</v>
      </c>
      <c r="H11" s="1" t="s">
        <v>665</v>
      </c>
    </row>
    <row r="12" spans="1:8" ht="15" customHeight="1" x14ac:dyDescent="0.2">
      <c r="A12" s="7" t="s">
        <v>666</v>
      </c>
      <c r="B12" s="102">
        <f>Model!C77</f>
        <v>4.5082830152029603</v>
      </c>
      <c r="C12" s="102">
        <f>Model!D77</f>
        <v>5.0572868731206757</v>
      </c>
      <c r="D12" s="102">
        <f>Model!E77</f>
        <v>5.5673504002726117</v>
      </c>
      <c r="E12" s="102">
        <f>Model!F77</f>
        <v>6.0634870723663132</v>
      </c>
      <c r="F12" s="102">
        <f>Model!G77</f>
        <v>6.5418925611382903</v>
      </c>
    </row>
    <row r="13" spans="1:8" ht="21.75" customHeight="1" x14ac:dyDescent="0.2">
      <c r="A13" s="7" t="s">
        <v>667</v>
      </c>
      <c r="B13" s="43">
        <f>Model!C72</f>
        <v>5620571.9987254404</v>
      </c>
      <c r="C13" s="43">
        <f>Model!D72</f>
        <v>6400173.7397170728</v>
      </c>
      <c r="D13" s="43">
        <f>Model!E72</f>
        <v>7150734.4834149005</v>
      </c>
      <c r="E13" s="43">
        <f>Model!F72</f>
        <v>7902738.0420979997</v>
      </c>
      <c r="F13" s="43">
        <f>Model!G72</f>
        <v>8650448.4875531774</v>
      </c>
      <c r="H13" s="1" t="s">
        <v>668</v>
      </c>
    </row>
    <row r="14" spans="1:8" ht="15" customHeight="1" x14ac:dyDescent="0.2">
      <c r="A14" s="7" t="s">
        <v>669</v>
      </c>
      <c r="B14" s="102">
        <f>Model!C73</f>
        <v>5.7835432195032457</v>
      </c>
      <c r="C14" s="102">
        <f>Model!D73</f>
        <v>6.4878440651319833</v>
      </c>
      <c r="D14" s="102">
        <f>Model!E73</f>
        <v>7.142189509734175</v>
      </c>
      <c r="E14" s="102">
        <f>Model!F73</f>
        <v>7.7786686030293533</v>
      </c>
      <c r="F14" s="102">
        <f>Model!G73</f>
        <v>8.3924008845719626</v>
      </c>
    </row>
    <row r="15" spans="1:8" ht="15" customHeight="1" x14ac:dyDescent="0.2">
      <c r="A15" s="16" t="s">
        <v>670</v>
      </c>
      <c r="B15" s="16"/>
      <c r="C15" s="16"/>
      <c r="D15" s="16"/>
      <c r="E15" s="16"/>
      <c r="F15" s="16"/>
      <c r="G15" s="16"/>
      <c r="H15" s="16"/>
    </row>
    <row r="16" spans="1:8" ht="15" customHeight="1" x14ac:dyDescent="0.2">
      <c r="A16" s="7" t="s">
        <v>671</v>
      </c>
      <c r="B16" s="109">
        <v>1</v>
      </c>
      <c r="C16" s="109">
        <v>2</v>
      </c>
      <c r="D16" s="109">
        <v>3</v>
      </c>
      <c r="E16" s="109">
        <v>4</v>
      </c>
      <c r="F16" s="109">
        <v>5</v>
      </c>
    </row>
    <row r="17" spans="1:8" ht="15" customHeight="1" x14ac:dyDescent="0.2">
      <c r="A17" s="7" t="s">
        <v>672</v>
      </c>
      <c r="B17" s="110">
        <f>1/(1+$B$5)^B16</f>
        <v>0.93023255813953487</v>
      </c>
      <c r="C17" s="110">
        <f>1/(1+$B$5)^C16</f>
        <v>0.86533261222282321</v>
      </c>
      <c r="D17" s="110">
        <f>1/(1+$B$5)^D16</f>
        <v>0.80496056950960304</v>
      </c>
      <c r="E17" s="110">
        <f>1/(1+$B$5)^E16</f>
        <v>0.7488005297763749</v>
      </c>
      <c r="F17" s="110">
        <f>1/(1+$B$5)^F16</f>
        <v>0.69655863235011617</v>
      </c>
    </row>
    <row r="18" spans="1:8" ht="15" customHeight="1" x14ac:dyDescent="0.2">
      <c r="A18" s="7" t="s">
        <v>673</v>
      </c>
      <c r="B18" s="44">
        <f>B11*B17</f>
        <v>4075578.2665242194</v>
      </c>
      <c r="C18" s="44">
        <f>C11*C17</f>
        <v>4317099.1338620558</v>
      </c>
      <c r="D18" s="44">
        <f>D11*D17</f>
        <v>4486859.2490185024</v>
      </c>
      <c r="E18" s="44">
        <f>E11*E17</f>
        <v>4612760.6024896912</v>
      </c>
      <c r="F18" s="44">
        <f>F11*F17</f>
        <v>4696923.5295637529</v>
      </c>
      <c r="G18" s="111">
        <f>SUM(B18:F18)</f>
        <v>22189220.781458221</v>
      </c>
      <c r="H18" s="1" t="s">
        <v>674</v>
      </c>
    </row>
    <row r="20" spans="1:8" ht="15" customHeight="1" x14ac:dyDescent="0.2">
      <c r="A20" s="16" t="s">
        <v>675</v>
      </c>
      <c r="B20" s="16"/>
      <c r="C20" s="16"/>
      <c r="D20" s="16"/>
      <c r="E20" s="16"/>
      <c r="F20" s="16"/>
      <c r="G20" s="16"/>
      <c r="H20" s="16"/>
    </row>
    <row r="21" spans="1:8" ht="15" customHeight="1" x14ac:dyDescent="0.2">
      <c r="A21" s="7" t="s">
        <v>676</v>
      </c>
      <c r="B21" s="44">
        <f>F11</f>
        <v>6743041.161828435</v>
      </c>
    </row>
    <row r="22" spans="1:8" ht="15" customHeight="1" x14ac:dyDescent="0.2">
      <c r="A22" s="7" t="s">
        <v>677</v>
      </c>
      <c r="B22" s="44">
        <f>B21*(1+$B$6)</f>
        <v>6911617.1908741454</v>
      </c>
    </row>
    <row r="23" spans="1:8" ht="15" customHeight="1" x14ac:dyDescent="0.2">
      <c r="A23" s="7" t="s">
        <v>678</v>
      </c>
      <c r="B23" s="112">
        <f>B22/($B$5-$B$6)</f>
        <v>138232343.81748292</v>
      </c>
      <c r="H23" s="1" t="s">
        <v>679</v>
      </c>
    </row>
    <row r="24" spans="1:8" ht="15" customHeight="1" x14ac:dyDescent="0.2">
      <c r="A24" s="7" t="s">
        <v>680</v>
      </c>
      <c r="B24" s="110">
        <f>F17</f>
        <v>0.69655863235011617</v>
      </c>
    </row>
    <row r="25" spans="1:8" ht="15" customHeight="1" x14ac:dyDescent="0.2">
      <c r="A25" s="7" t="s">
        <v>681</v>
      </c>
      <c r="B25" s="111">
        <f>B23*B24</f>
        <v>96286932.356056944</v>
      </c>
    </row>
    <row r="26" spans="1:8" ht="15" customHeight="1" x14ac:dyDescent="0.2">
      <c r="A26" s="7" t="s">
        <v>682</v>
      </c>
      <c r="B26" s="96">
        <f>B23/B21</f>
        <v>20.5</v>
      </c>
      <c r="H26" s="1" t="s">
        <v>683</v>
      </c>
    </row>
    <row r="28" spans="1:8" ht="15" customHeight="1" x14ac:dyDescent="0.2">
      <c r="A28" s="16" t="s">
        <v>684</v>
      </c>
      <c r="B28" s="16"/>
      <c r="C28" s="16"/>
      <c r="D28" s="16"/>
      <c r="E28" s="16"/>
      <c r="F28" s="16"/>
      <c r="G28" s="16"/>
      <c r="H28" s="16"/>
    </row>
    <row r="29" spans="1:8" ht="15" customHeight="1" x14ac:dyDescent="0.2">
      <c r="A29" s="7" t="s">
        <v>685</v>
      </c>
      <c r="B29" s="44">
        <f>G18</f>
        <v>22189220.781458221</v>
      </c>
    </row>
    <row r="30" spans="1:8" ht="15" customHeight="1" x14ac:dyDescent="0.2">
      <c r="A30" s="7" t="s">
        <v>686</v>
      </c>
      <c r="B30" s="44">
        <f>B25</f>
        <v>96286932.356056944</v>
      </c>
    </row>
    <row r="31" spans="1:8" ht="21.75" customHeight="1" x14ac:dyDescent="0.2">
      <c r="A31" s="10" t="s">
        <v>687</v>
      </c>
      <c r="B31" s="113">
        <f>B29+B30</f>
        <v>118476153.13751516</v>
      </c>
      <c r="H31" s="1" t="s">
        <v>688</v>
      </c>
    </row>
    <row r="32" spans="1:8" ht="15" customHeight="1" x14ac:dyDescent="0.2">
      <c r="A32" s="7" t="s">
        <v>689</v>
      </c>
      <c r="B32" s="97">
        <f>Share_Count!D8</f>
        <v>957.2</v>
      </c>
    </row>
    <row r="33" spans="1:8" ht="15" customHeight="1" x14ac:dyDescent="0.2">
      <c r="A33" s="10" t="s">
        <v>690</v>
      </c>
      <c r="B33" s="114">
        <f>B31/1000/B32</f>
        <v>123.77366604420722</v>
      </c>
    </row>
    <row r="34" spans="1:8" ht="15" customHeight="1" x14ac:dyDescent="0.2">
      <c r="A34" s="7" t="s">
        <v>691</v>
      </c>
      <c r="B34" s="46">
        <f>B30/B31</f>
        <v>0.81271150190280739</v>
      </c>
    </row>
    <row r="35" spans="1:8" ht="21.75" customHeight="1" x14ac:dyDescent="0.2">
      <c r="A35" s="10" t="s">
        <v>692</v>
      </c>
      <c r="B35" s="112">
        <f>B31+(Data_Collection!E33-Data_Collection!E143)+Data_Collection!E37+Data_Collection!E39-Data_Collection!E30</f>
        <v>157319026.13751516</v>
      </c>
      <c r="H35" s="1" t="s">
        <v>693</v>
      </c>
    </row>
    <row r="36" spans="1:8" ht="15" customHeight="1" x14ac:dyDescent="0.2">
      <c r="A36" s="7" t="s">
        <v>694</v>
      </c>
      <c r="B36" s="102">
        <f>NAV!B79</f>
        <v>145</v>
      </c>
      <c r="H36" s="1" t="s">
        <v>695</v>
      </c>
    </row>
    <row r="37" spans="1:8" ht="15" customHeight="1" x14ac:dyDescent="0.2">
      <c r="A37" s="7" t="s">
        <v>696</v>
      </c>
      <c r="B37" s="46">
        <f>B33/B36-1</f>
        <v>-0.14638851003995024</v>
      </c>
    </row>
    <row r="39" spans="1:8" ht="15" customHeight="1" x14ac:dyDescent="0.2">
      <c r="A39" s="16" t="s">
        <v>697</v>
      </c>
      <c r="B39" s="16"/>
      <c r="C39" s="16"/>
      <c r="D39" s="16"/>
      <c r="E39" s="16"/>
      <c r="F39" s="16"/>
      <c r="G39" s="16"/>
      <c r="H39" s="16"/>
    </row>
    <row r="40" spans="1:8" ht="15" customHeight="1" x14ac:dyDescent="0.2">
      <c r="A40" s="7" t="s">
        <v>698</v>
      </c>
      <c r="B40" s="44">
        <f>SUMPRODUCT(B13:F13,B17:F17)</f>
        <v>28465896.431944776</v>
      </c>
    </row>
    <row r="41" spans="1:8" ht="15" customHeight="1" x14ac:dyDescent="0.2">
      <c r="A41" s="7" t="s">
        <v>699</v>
      </c>
      <c r="B41" s="44">
        <f>F13*(1+$B$6)/($B$5-$B$6)</f>
        <v>177334193.99484015</v>
      </c>
    </row>
    <row r="42" spans="1:8" ht="15" customHeight="1" x14ac:dyDescent="0.2">
      <c r="A42" s="7" t="s">
        <v>700</v>
      </c>
      <c r="B42" s="44">
        <f>B41*F17</f>
        <v>123523663.63795604</v>
      </c>
    </row>
    <row r="43" spans="1:8" ht="15" customHeight="1" x14ac:dyDescent="0.2">
      <c r="A43" s="7" t="s">
        <v>701</v>
      </c>
      <c r="B43" s="44">
        <f>B40+B42</f>
        <v>151989560.06990081</v>
      </c>
    </row>
    <row r="44" spans="1:8" ht="21.75" customHeight="1" x14ac:dyDescent="0.2">
      <c r="A44" s="7" t="s">
        <v>702</v>
      </c>
      <c r="B44" s="115">
        <f>B43/1000/B32</f>
        <v>158.78558302329796</v>
      </c>
      <c r="H44" s="1" t="s">
        <v>703</v>
      </c>
    </row>
    <row r="46" spans="1:8" ht="15" customHeight="1" x14ac:dyDescent="0.2">
      <c r="A46" s="16" t="s">
        <v>704</v>
      </c>
      <c r="B46" s="16"/>
      <c r="C46" s="16"/>
      <c r="D46" s="16"/>
      <c r="E46" s="16"/>
      <c r="F46" s="16"/>
      <c r="G46" s="16"/>
      <c r="H46" s="16"/>
    </row>
    <row r="47" spans="1:8" ht="15" customHeight="1" x14ac:dyDescent="0.2">
      <c r="A47" s="14" t="s">
        <v>705</v>
      </c>
      <c r="B47" s="116">
        <v>1.4999999999999999E-2</v>
      </c>
      <c r="C47" s="116">
        <v>0.02</v>
      </c>
      <c r="D47" s="116">
        <v>2.5000000000000001E-2</v>
      </c>
      <c r="E47" s="116">
        <v>0.03</v>
      </c>
      <c r="F47" s="116">
        <v>3.5000000000000003E-2</v>
      </c>
    </row>
    <row r="48" spans="1:8" ht="21.75" customHeight="1" x14ac:dyDescent="0.2">
      <c r="A48" s="77">
        <v>6.5000000000000002E-2</v>
      </c>
      <c r="B48" s="104">
        <f t="shared" ref="B48:F52" si="0">($B$11/(1+$A48)^1+$C$11/(1+$A48)^2+$D$11/(1+$A48)^3+$E$11/(1+$A48)^4+$F$11/(1+$A48)^5+($F$11*(1+B$47)/($A48-B$47))/(1+$A48)^5)/1000/$B$32</f>
        <v>128.23415796246374</v>
      </c>
      <c r="C48" s="104">
        <f t="shared" si="0"/>
        <v>140.40280168708529</v>
      </c>
      <c r="D48" s="104">
        <f t="shared" si="0"/>
        <v>155.61360634286208</v>
      </c>
      <c r="E48" s="104">
        <f t="shared" si="0"/>
        <v>175.17035518600377</v>
      </c>
      <c r="F48" s="104">
        <f t="shared" si="0"/>
        <v>201.24602031019265</v>
      </c>
      <c r="H48" s="1" t="s">
        <v>706</v>
      </c>
    </row>
    <row r="49" spans="1:8" ht="15" customHeight="1" x14ac:dyDescent="0.2">
      <c r="A49" s="77">
        <v>7.0000000000000007E-2</v>
      </c>
      <c r="B49" s="104">
        <f t="shared" si="0"/>
        <v>116.20698629009574</v>
      </c>
      <c r="C49" s="104">
        <f t="shared" si="0"/>
        <v>125.97835318786251</v>
      </c>
      <c r="D49" s="104">
        <f t="shared" si="0"/>
        <v>137.92113495179967</v>
      </c>
      <c r="E49" s="104">
        <f t="shared" si="0"/>
        <v>152.84961215672112</v>
      </c>
      <c r="F49" s="104">
        <f t="shared" si="0"/>
        <v>172.04336856304872</v>
      </c>
    </row>
    <row r="50" spans="1:8" ht="15" customHeight="1" x14ac:dyDescent="0.2">
      <c r="A50" s="77">
        <v>7.4999999999999997E-2</v>
      </c>
      <c r="B50" s="104">
        <f t="shared" si="0"/>
        <v>106.19046227529429</v>
      </c>
      <c r="C50" s="104">
        <f t="shared" si="0"/>
        <v>114.18282762480018</v>
      </c>
      <c r="D50" s="104">
        <f t="shared" si="0"/>
        <v>123.77366604420722</v>
      </c>
      <c r="E50" s="104">
        <f t="shared" si="0"/>
        <v>135.49580189014918</v>
      </c>
      <c r="F50" s="104">
        <f t="shared" si="0"/>
        <v>150.14847169757661</v>
      </c>
    </row>
    <row r="51" spans="1:8" ht="15" customHeight="1" x14ac:dyDescent="0.2">
      <c r="A51" s="77">
        <v>0.08</v>
      </c>
      <c r="B51" s="104">
        <f t="shared" si="0"/>
        <v>97.720455764662361</v>
      </c>
      <c r="C51" s="104">
        <f t="shared" si="0"/>
        <v>104.35885696766255</v>
      </c>
      <c r="D51" s="104">
        <f t="shared" si="0"/>
        <v>112.20424020757181</v>
      </c>
      <c r="E51" s="104">
        <f t="shared" si="0"/>
        <v>121.618700095463</v>
      </c>
      <c r="F51" s="104">
        <f t="shared" si="0"/>
        <v>133.1252621806633</v>
      </c>
    </row>
    <row r="52" spans="1:8" ht="15" customHeight="1" x14ac:dyDescent="0.2">
      <c r="A52" s="77">
        <v>8.5000000000000006E-2</v>
      </c>
      <c r="B52" s="104">
        <f t="shared" si="0"/>
        <v>90.46544884735755</v>
      </c>
      <c r="C52" s="104">
        <f t="shared" si="0"/>
        <v>96.051343949068709</v>
      </c>
      <c r="D52" s="104">
        <f t="shared" si="0"/>
        <v>102.56822156773173</v>
      </c>
      <c r="E52" s="104">
        <f t="shared" si="0"/>
        <v>110.26998602615164</v>
      </c>
      <c r="F52" s="104">
        <f t="shared" si="0"/>
        <v>119.51210337625554</v>
      </c>
    </row>
    <row r="55" spans="1:8" ht="15" customHeight="1" x14ac:dyDescent="0.2">
      <c r="A55" s="16" t="s">
        <v>707</v>
      </c>
      <c r="B55" s="16"/>
      <c r="C55" s="16"/>
      <c r="D55" s="16"/>
      <c r="E55" s="16"/>
      <c r="F55" s="16"/>
      <c r="G55" s="16"/>
      <c r="H55" s="16"/>
    </row>
    <row r="56" spans="1:8" ht="39.75" customHeight="1" x14ac:dyDescent="0.2">
      <c r="A56" s="1" t="s">
        <v>708</v>
      </c>
    </row>
    <row r="57" spans="1:8" ht="39.75" customHeight="1" x14ac:dyDescent="0.2">
      <c r="A57" s="1" t="s">
        <v>709</v>
      </c>
    </row>
    <row r="58" spans="1:8" ht="39.75" customHeight="1" x14ac:dyDescent="0.2">
      <c r="A58" s="1" t="s">
        <v>710</v>
      </c>
    </row>
    <row r="59" spans="1:8" ht="39.75" customHeight="1" x14ac:dyDescent="0.2">
      <c r="A59" s="1" t="s">
        <v>711</v>
      </c>
    </row>
    <row r="60" spans="1:8" ht="39.75" customHeight="1" x14ac:dyDescent="0.2">
      <c r="A60" s="1" t="s">
        <v>712</v>
      </c>
    </row>
    <row r="61" spans="1:8" ht="39.75" customHeight="1" x14ac:dyDescent="0.2">
      <c r="A61" s="1" t="s">
        <v>713</v>
      </c>
    </row>
    <row r="62" spans="1:8" ht="39.75" customHeight="1" x14ac:dyDescent="0.2">
      <c r="A62" s="1" t="s">
        <v>714</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7375E"/>
  </sheetPr>
  <dimension ref="A1:F93"/>
  <sheetViews>
    <sheetView showGridLines="0" topLeftCell="A54" zoomScaleNormal="100" workbookViewId="0">
      <selection activeCell="A93" sqref="A93"/>
    </sheetView>
  </sheetViews>
  <sheetFormatPr baseColWidth="10" defaultColWidth="8.6640625" defaultRowHeight="15" x14ac:dyDescent="0.2"/>
  <cols>
    <col min="1" max="1" width="50" customWidth="1"/>
    <col min="2" max="4" width="15" customWidth="1"/>
    <col min="5" max="5" width="92" customWidth="1"/>
    <col min="6" max="6" width="15" customWidth="1"/>
  </cols>
  <sheetData>
    <row r="1" spans="1:5" ht="17.25" customHeight="1" x14ac:dyDescent="0.2">
      <c r="A1" s="4" t="s">
        <v>715</v>
      </c>
    </row>
    <row r="2" spans="1:5" ht="63.75" customHeight="1" x14ac:dyDescent="0.2">
      <c r="A2" s="105" t="s">
        <v>716</v>
      </c>
    </row>
    <row r="3" spans="1:5" ht="27.75" customHeight="1" x14ac:dyDescent="0.2">
      <c r="A3" s="117" t="s">
        <v>717</v>
      </c>
    </row>
    <row r="4" spans="1:5" ht="15" customHeight="1" x14ac:dyDescent="0.2">
      <c r="A4" s="64" t="s">
        <v>48</v>
      </c>
      <c r="B4" s="14" t="s">
        <v>424</v>
      </c>
      <c r="C4" s="14" t="s">
        <v>425</v>
      </c>
      <c r="D4" s="14" t="s">
        <v>426</v>
      </c>
      <c r="E4" s="64" t="s">
        <v>718</v>
      </c>
    </row>
    <row r="5" spans="1:5" ht="15" customHeight="1" x14ac:dyDescent="0.2">
      <c r="A5" s="16" t="s">
        <v>719</v>
      </c>
      <c r="B5" s="16"/>
      <c r="C5" s="16"/>
      <c r="D5" s="16"/>
      <c r="E5" s="16"/>
    </row>
    <row r="6" spans="1:5" ht="32.25" customHeight="1" x14ac:dyDescent="0.2">
      <c r="A6" s="7" t="s">
        <v>720</v>
      </c>
      <c r="B6" s="118" t="s">
        <v>524</v>
      </c>
      <c r="C6" s="118" t="s">
        <v>524</v>
      </c>
      <c r="D6" s="118" t="s">
        <v>524</v>
      </c>
      <c r="E6" s="1" t="s">
        <v>721</v>
      </c>
    </row>
    <row r="7" spans="1:5" ht="15" customHeight="1" x14ac:dyDescent="0.2">
      <c r="A7" s="7" t="s">
        <v>722</v>
      </c>
      <c r="B7" s="43">
        <f>Model!C36</f>
        <v>6769761.3922850005</v>
      </c>
      <c r="C7" s="27">
        <v>6968633.9561750004</v>
      </c>
      <c r="D7" s="27">
        <v>6488812.6709949998</v>
      </c>
      <c r="E7" s="1" t="s">
        <v>723</v>
      </c>
    </row>
    <row r="8" spans="1:5" ht="21.75" customHeight="1" x14ac:dyDescent="0.2">
      <c r="A8" s="7" t="s">
        <v>724</v>
      </c>
      <c r="B8" s="43">
        <f>-Model!C33</f>
        <v>-104192.10028499999</v>
      </c>
      <c r="C8" s="27">
        <v>-117221.654175</v>
      </c>
      <c r="D8" s="27">
        <v>-84662.546394999998</v>
      </c>
      <c r="E8" s="1" t="s">
        <v>725</v>
      </c>
    </row>
    <row r="9" spans="1:5" ht="15" customHeight="1" x14ac:dyDescent="0.2">
      <c r="A9" s="10" t="s">
        <v>726</v>
      </c>
      <c r="B9" s="111">
        <f>B7+B8</f>
        <v>6665569.2920000004</v>
      </c>
      <c r="C9" s="111">
        <f>C7+C8</f>
        <v>6851412.3020000001</v>
      </c>
      <c r="D9" s="111">
        <f>D7+D8</f>
        <v>6404150.1245999997</v>
      </c>
      <c r="E9" s="1" t="s">
        <v>727</v>
      </c>
    </row>
    <row r="11" spans="1:5" ht="15" customHeight="1" x14ac:dyDescent="0.2">
      <c r="A11" s="16" t="s">
        <v>728</v>
      </c>
      <c r="B11" s="16"/>
      <c r="C11" s="16"/>
      <c r="D11" s="16"/>
      <c r="E11" s="16"/>
    </row>
    <row r="12" spans="1:5" ht="21.75" customHeight="1" x14ac:dyDescent="0.2">
      <c r="A12" s="7" t="s">
        <v>729</v>
      </c>
      <c r="B12" s="107">
        <f>Assumptions!C61</f>
        <v>0.05</v>
      </c>
      <c r="C12" s="107">
        <f>Assumptions!D61</f>
        <v>4.4999999999999998E-2</v>
      </c>
      <c r="D12" s="107">
        <f>Assumptions!E61</f>
        <v>5.8000000000000003E-2</v>
      </c>
      <c r="E12" s="1" t="s">
        <v>730</v>
      </c>
    </row>
    <row r="13" spans="1:5" ht="15" customHeight="1" x14ac:dyDescent="0.2">
      <c r="A13" s="10" t="s">
        <v>731</v>
      </c>
      <c r="B13" s="112">
        <f>B$9/B12</f>
        <v>133311385.84</v>
      </c>
      <c r="C13" s="112">
        <f>C$9/C12</f>
        <v>152253606.71111113</v>
      </c>
      <c r="D13" s="112">
        <f>D$9/D12</f>
        <v>110416381.45862068</v>
      </c>
      <c r="E13" s="1" t="s">
        <v>732</v>
      </c>
    </row>
    <row r="15" spans="1:5" ht="15" customHeight="1" x14ac:dyDescent="0.2">
      <c r="A15" s="16" t="s">
        <v>733</v>
      </c>
      <c r="B15" s="16"/>
      <c r="C15" s="16"/>
      <c r="D15" s="16"/>
      <c r="E15" s="16"/>
    </row>
    <row r="16" spans="1:5" ht="21.75" customHeight="1" x14ac:dyDescent="0.2">
      <c r="A16" s="7" t="s">
        <v>734</v>
      </c>
      <c r="B16" s="43">
        <f>Data_Collection!E120*1000</f>
        <v>5491000</v>
      </c>
      <c r="C16" s="44">
        <f>B16</f>
        <v>5491000</v>
      </c>
      <c r="D16" s="44">
        <f>B16</f>
        <v>5491000</v>
      </c>
      <c r="E16" s="1" t="s">
        <v>735</v>
      </c>
    </row>
    <row r="17" spans="1:5" ht="21.75" customHeight="1" x14ac:dyDescent="0.2">
      <c r="A17" s="7" t="s">
        <v>736</v>
      </c>
      <c r="B17" s="67">
        <v>0.3</v>
      </c>
      <c r="C17" s="70">
        <f>B17</f>
        <v>0.3</v>
      </c>
      <c r="D17" s="70">
        <f>B17</f>
        <v>0.3</v>
      </c>
      <c r="E17" s="1" t="s">
        <v>737</v>
      </c>
    </row>
    <row r="18" spans="1:5" ht="21.75" customHeight="1" x14ac:dyDescent="0.2">
      <c r="A18" s="7" t="s">
        <v>738</v>
      </c>
      <c r="B18" s="67">
        <v>0.5</v>
      </c>
      <c r="C18" s="70">
        <f>B18</f>
        <v>0.5</v>
      </c>
      <c r="D18" s="70">
        <f>B18</f>
        <v>0.5</v>
      </c>
      <c r="E18" s="1" t="s">
        <v>739</v>
      </c>
    </row>
    <row r="19" spans="1:5" ht="15" customHeight="1" x14ac:dyDescent="0.2">
      <c r="A19" s="93" t="s">
        <v>740</v>
      </c>
    </row>
    <row r="20" spans="1:5" ht="15" customHeight="1" x14ac:dyDescent="0.2">
      <c r="A20" s="7" t="s">
        <v>741</v>
      </c>
      <c r="B20" s="44">
        <f>B16*(1-B17)</f>
        <v>3843699.9999999995</v>
      </c>
      <c r="C20" s="44">
        <f>B20</f>
        <v>3843699.9999999995</v>
      </c>
      <c r="D20" s="44">
        <f>B20</f>
        <v>3843699.9999999995</v>
      </c>
    </row>
    <row r="21" spans="1:5" ht="15" customHeight="1" x14ac:dyDescent="0.2">
      <c r="A21" s="7" t="s">
        <v>742</v>
      </c>
      <c r="B21" s="119">
        <f>Assumptions!C28</f>
        <v>0.2</v>
      </c>
      <c r="C21" s="119">
        <f>Assumptions!D28</f>
        <v>0.3</v>
      </c>
      <c r="D21" s="119">
        <f>Assumptions!E28</f>
        <v>0.05</v>
      </c>
      <c r="E21" s="1" t="s">
        <v>743</v>
      </c>
    </row>
    <row r="22" spans="1:5" ht="15" customHeight="1" x14ac:dyDescent="0.2">
      <c r="A22" s="7" t="s">
        <v>744</v>
      </c>
      <c r="B22" s="44">
        <f>B20*(1+B21*$B$18)</f>
        <v>4228070</v>
      </c>
      <c r="C22" s="44">
        <f>B20*(1+C21*$B$18)</f>
        <v>4420254.9999999991</v>
      </c>
      <c r="D22" s="44">
        <f>B20*(1+D21*$B$18)</f>
        <v>3939792.4999999991</v>
      </c>
      <c r="E22" s="1" t="s">
        <v>745</v>
      </c>
    </row>
    <row r="23" spans="1:5" ht="15" customHeight="1" x14ac:dyDescent="0.2">
      <c r="A23" s="93" t="s">
        <v>746</v>
      </c>
    </row>
    <row r="24" spans="1:5" ht="15" customHeight="1" x14ac:dyDescent="0.2">
      <c r="A24" s="7" t="s">
        <v>747</v>
      </c>
      <c r="B24" s="44">
        <f>B16*B17</f>
        <v>1647300</v>
      </c>
      <c r="C24" s="44">
        <f>B24</f>
        <v>1647300</v>
      </c>
      <c r="D24" s="44">
        <f>B24</f>
        <v>1647300</v>
      </c>
    </row>
    <row r="25" spans="1:5" ht="15" customHeight="1" x14ac:dyDescent="0.2">
      <c r="A25" s="7" t="s">
        <v>748</v>
      </c>
      <c r="B25" s="119">
        <f>Assumptions!C32</f>
        <v>0.25</v>
      </c>
      <c r="C25" s="119">
        <f>Assumptions!D32</f>
        <v>0.35</v>
      </c>
      <c r="D25" s="119">
        <f>Assumptions!E32</f>
        <v>0.1</v>
      </c>
      <c r="E25" s="1" t="s">
        <v>749</v>
      </c>
    </row>
    <row r="26" spans="1:5" ht="15" customHeight="1" x14ac:dyDescent="0.2">
      <c r="A26" s="7" t="s">
        <v>750</v>
      </c>
      <c r="B26" s="44">
        <f>B24*(1+B25*$B$18)</f>
        <v>1853212.5</v>
      </c>
      <c r="C26" s="44">
        <f>B24*(1+C25*$B$18)</f>
        <v>1935577.5</v>
      </c>
      <c r="D26" s="44">
        <f>B24*(1+D25*$B$18)</f>
        <v>1729665</v>
      </c>
      <c r="E26" s="1" t="s">
        <v>751</v>
      </c>
    </row>
    <row r="27" spans="1:5" ht="15" customHeight="1" x14ac:dyDescent="0.2">
      <c r="A27" s="10" t="s">
        <v>752</v>
      </c>
      <c r="B27" s="111">
        <f>B22+B26</f>
        <v>6081282.5</v>
      </c>
      <c r="C27" s="111">
        <f>C22+C26</f>
        <v>6355832.4999999991</v>
      </c>
      <c r="D27" s="111">
        <f>D22+D26</f>
        <v>5669457.4999999991</v>
      </c>
    </row>
    <row r="29" spans="1:5" ht="15" customHeight="1" x14ac:dyDescent="0.2">
      <c r="A29" s="16" t="s">
        <v>753</v>
      </c>
      <c r="B29" s="16"/>
      <c r="C29" s="16"/>
      <c r="D29" s="16"/>
      <c r="E29" s="16"/>
    </row>
    <row r="30" spans="1:5" ht="21.75" customHeight="1" x14ac:dyDescent="0.2">
      <c r="A30" s="7" t="s">
        <v>754</v>
      </c>
      <c r="B30" s="43">
        <f>Data_Collection!E122*1000</f>
        <v>4799000</v>
      </c>
      <c r="C30" s="44">
        <f>B30</f>
        <v>4799000</v>
      </c>
      <c r="D30" s="44">
        <f>B30</f>
        <v>4799000</v>
      </c>
      <c r="E30" s="1" t="s">
        <v>755</v>
      </c>
    </row>
    <row r="31" spans="1:5" ht="15" customHeight="1" x14ac:dyDescent="0.2">
      <c r="A31" s="7" t="s">
        <v>756</v>
      </c>
      <c r="B31" s="80">
        <v>1</v>
      </c>
      <c r="C31" s="120">
        <f>B31</f>
        <v>1</v>
      </c>
      <c r="D31" s="120">
        <f>B31</f>
        <v>1</v>
      </c>
      <c r="E31" s="1" t="s">
        <v>757</v>
      </c>
    </row>
    <row r="32" spans="1:5" ht="15" customHeight="1" x14ac:dyDescent="0.2">
      <c r="A32" s="10" t="s">
        <v>758</v>
      </c>
      <c r="B32" s="111">
        <f>B30*B31</f>
        <v>4799000</v>
      </c>
      <c r="C32" s="111">
        <f>B32</f>
        <v>4799000</v>
      </c>
      <c r="D32" s="111">
        <f>B32</f>
        <v>4799000</v>
      </c>
      <c r="E32" s="1" t="s">
        <v>759</v>
      </c>
    </row>
    <row r="34" spans="1:5" ht="15" customHeight="1" x14ac:dyDescent="0.2">
      <c r="A34" s="16" t="s">
        <v>760</v>
      </c>
      <c r="B34" s="16"/>
      <c r="C34" s="16"/>
      <c r="D34" s="16"/>
      <c r="E34" s="16"/>
    </row>
    <row r="35" spans="1:5" ht="21.75" customHeight="1" x14ac:dyDescent="0.2">
      <c r="A35" s="7" t="s">
        <v>761</v>
      </c>
      <c r="B35" s="43">
        <f>Model!C46</f>
        <v>187576.81199999998</v>
      </c>
      <c r="C35" s="44">
        <v>215631.82079999999</v>
      </c>
      <c r="D35" s="44">
        <v>151519.53599999999</v>
      </c>
      <c r="E35" s="1" t="s">
        <v>762</v>
      </c>
    </row>
    <row r="36" spans="1:5" ht="21.75" customHeight="1" x14ac:dyDescent="0.2">
      <c r="A36" s="7" t="s">
        <v>763</v>
      </c>
      <c r="B36" s="80">
        <v>13</v>
      </c>
      <c r="C36" s="80">
        <v>16</v>
      </c>
      <c r="D36" s="80">
        <v>9</v>
      </c>
      <c r="E36" s="1" t="s">
        <v>764</v>
      </c>
    </row>
    <row r="37" spans="1:5" ht="15" customHeight="1" x14ac:dyDescent="0.2">
      <c r="A37" s="10" t="s">
        <v>765</v>
      </c>
      <c r="B37" s="111">
        <f>B35*B36</f>
        <v>2438498.5559999999</v>
      </c>
      <c r="C37" s="111">
        <f>C35*C36</f>
        <v>3450109.1327999998</v>
      </c>
      <c r="D37" s="111">
        <f>D35*D36</f>
        <v>1363675.824</v>
      </c>
    </row>
    <row r="39" spans="1:5" ht="15" customHeight="1" x14ac:dyDescent="0.2">
      <c r="A39" s="16" t="s">
        <v>766</v>
      </c>
      <c r="B39" s="16"/>
      <c r="C39" s="16"/>
      <c r="D39" s="16"/>
      <c r="E39" s="16"/>
    </row>
    <row r="40" spans="1:5" ht="15" customHeight="1" x14ac:dyDescent="0.2">
      <c r="A40" s="7" t="s">
        <v>767</v>
      </c>
      <c r="B40" s="44">
        <f>B13</f>
        <v>133311385.84</v>
      </c>
      <c r="C40" s="44">
        <f>C13</f>
        <v>152253606.71111113</v>
      </c>
      <c r="D40" s="44">
        <f>D13</f>
        <v>110416381.45862068</v>
      </c>
    </row>
    <row r="41" spans="1:5" ht="15" customHeight="1" x14ac:dyDescent="0.2">
      <c r="A41" s="7" t="s">
        <v>768</v>
      </c>
      <c r="B41" s="44">
        <f>B27</f>
        <v>6081282.5</v>
      </c>
      <c r="C41" s="44">
        <f>C27</f>
        <v>6355832.4999999991</v>
      </c>
      <c r="D41" s="44">
        <f>D27</f>
        <v>5669457.4999999991</v>
      </c>
    </row>
    <row r="42" spans="1:5" ht="15" customHeight="1" x14ac:dyDescent="0.2">
      <c r="A42" s="7" t="s">
        <v>769</v>
      </c>
      <c r="B42" s="44">
        <f>B32</f>
        <v>4799000</v>
      </c>
      <c r="C42" s="44">
        <f>C32</f>
        <v>4799000</v>
      </c>
      <c r="D42" s="44">
        <f>D32</f>
        <v>4799000</v>
      </c>
    </row>
    <row r="43" spans="1:5" ht="15" customHeight="1" x14ac:dyDescent="0.2">
      <c r="A43" s="7" t="s">
        <v>770</v>
      </c>
      <c r="B43" s="44">
        <f>B37</f>
        <v>2438498.5559999999</v>
      </c>
      <c r="C43" s="44">
        <f>C37</f>
        <v>3450109.1327999998</v>
      </c>
      <c r="D43" s="44">
        <f>D37</f>
        <v>1363675.824</v>
      </c>
    </row>
    <row r="44" spans="1:5" ht="15" customHeight="1" x14ac:dyDescent="0.2">
      <c r="A44" s="10" t="s">
        <v>771</v>
      </c>
      <c r="B44" s="111">
        <f>SUM(B40:B43)</f>
        <v>146630166.896</v>
      </c>
      <c r="C44" s="111">
        <f>SUM(C40:C43)</f>
        <v>166858548.34391114</v>
      </c>
      <c r="D44" s="111">
        <f>SUM(D40:D43)</f>
        <v>122248514.78262068</v>
      </c>
    </row>
    <row r="45" spans="1:5" ht="15" customHeight="1" x14ac:dyDescent="0.2">
      <c r="A45" s="7" t="s">
        <v>772</v>
      </c>
      <c r="B45" s="43">
        <f>Data_Collection!E30</f>
        <v>861144</v>
      </c>
      <c r="C45" s="44">
        <f t="shared" ref="C45:C50" si="0">B45</f>
        <v>861144</v>
      </c>
      <c r="D45" s="44">
        <f t="shared" ref="D45:D50" si="1">B45</f>
        <v>861144</v>
      </c>
      <c r="E45" s="1" t="s">
        <v>773</v>
      </c>
    </row>
    <row r="46" spans="1:5" ht="21.75" customHeight="1" x14ac:dyDescent="0.2">
      <c r="A46" s="7" t="s">
        <v>774</v>
      </c>
      <c r="B46" s="43">
        <f>Data_Collection!E28</f>
        <v>11241723</v>
      </c>
      <c r="C46" s="44">
        <f t="shared" si="0"/>
        <v>11241723</v>
      </c>
      <c r="D46" s="44">
        <f t="shared" si="1"/>
        <v>11241723</v>
      </c>
      <c r="E46" s="1" t="s">
        <v>775</v>
      </c>
    </row>
    <row r="47" spans="1:5" ht="15" customHeight="1" x14ac:dyDescent="0.2">
      <c r="A47" s="7" t="s">
        <v>776</v>
      </c>
      <c r="B47" s="43">
        <f>Data_Collection!E31-Data_Collection!E35-Data_Collection!E34</f>
        <v>72326</v>
      </c>
      <c r="C47" s="44">
        <f t="shared" si="0"/>
        <v>72326</v>
      </c>
      <c r="D47" s="44">
        <f t="shared" si="1"/>
        <v>72326</v>
      </c>
      <c r="E47" s="1" t="s">
        <v>777</v>
      </c>
    </row>
    <row r="48" spans="1:5" ht="15" customHeight="1" x14ac:dyDescent="0.2">
      <c r="A48" s="7" t="s">
        <v>778</v>
      </c>
      <c r="B48" s="43">
        <f>-(Data_Collection!E33-Data_Collection!E143)</f>
        <v>-35194978</v>
      </c>
      <c r="C48" s="44">
        <f t="shared" si="0"/>
        <v>-35194978</v>
      </c>
      <c r="D48" s="44">
        <f t="shared" si="1"/>
        <v>-35194978</v>
      </c>
      <c r="E48" s="1" t="s">
        <v>779</v>
      </c>
    </row>
    <row r="49" spans="1:6" ht="15" customHeight="1" x14ac:dyDescent="0.2">
      <c r="A49" s="7" t="s">
        <v>780</v>
      </c>
      <c r="B49" s="43">
        <f>-Data_Collection!E37</f>
        <v>-63948</v>
      </c>
      <c r="C49" s="44">
        <f t="shared" si="0"/>
        <v>-63948</v>
      </c>
      <c r="D49" s="44">
        <f t="shared" si="1"/>
        <v>-63948</v>
      </c>
    </row>
    <row r="50" spans="1:6" ht="21.75" customHeight="1" x14ac:dyDescent="0.2">
      <c r="A50" s="7" t="s">
        <v>781</v>
      </c>
      <c r="B50" s="43">
        <f>-Data_Collection!E39</f>
        <v>-4445091</v>
      </c>
      <c r="C50" s="44">
        <f t="shared" si="0"/>
        <v>-4445091</v>
      </c>
      <c r="D50" s="44">
        <f t="shared" si="1"/>
        <v>-4445091</v>
      </c>
      <c r="E50" s="1" t="s">
        <v>782</v>
      </c>
    </row>
    <row r="51" spans="1:6" ht="15" customHeight="1" x14ac:dyDescent="0.2">
      <c r="A51" s="10" t="s">
        <v>783</v>
      </c>
      <c r="B51" s="113">
        <f>B44+SUM(B45:B50)</f>
        <v>119101342.896</v>
      </c>
      <c r="C51" s="113">
        <f>C44+SUM(C45:C50)</f>
        <v>139329724.34391114</v>
      </c>
      <c r="D51" s="113">
        <f>D44+SUM(D45:D50)</f>
        <v>94719690.782620683</v>
      </c>
    </row>
    <row r="52" spans="1:6" ht="15" customHeight="1" x14ac:dyDescent="0.2">
      <c r="A52" s="7" t="s">
        <v>784</v>
      </c>
      <c r="B52" s="99">
        <f>B51/1000000</f>
        <v>119.10134289599999</v>
      </c>
      <c r="C52" s="99">
        <f>C51/1000000</f>
        <v>139.32972434391115</v>
      </c>
      <c r="D52" s="99">
        <f>D51/1000000</f>
        <v>94.719690782620688</v>
      </c>
    </row>
    <row r="53" spans="1:6" ht="15" customHeight="1" x14ac:dyDescent="0.2">
      <c r="A53" s="7" t="s">
        <v>689</v>
      </c>
      <c r="B53" s="97">
        <f>Share_Count!D8</f>
        <v>957.2</v>
      </c>
      <c r="C53" s="99">
        <f>B53</f>
        <v>957.2</v>
      </c>
      <c r="D53" s="99">
        <f>B53</f>
        <v>957.2</v>
      </c>
      <c r="E53" s="1" t="s">
        <v>785</v>
      </c>
    </row>
    <row r="54" spans="1:6" ht="15" customHeight="1" x14ac:dyDescent="0.2">
      <c r="A54" s="10" t="s">
        <v>786</v>
      </c>
      <c r="B54" s="114">
        <f>B51/1000/B53</f>
        <v>124.4268103802758</v>
      </c>
      <c r="C54" s="114">
        <f>C51/1000/C53</f>
        <v>145.55967858745416</v>
      </c>
      <c r="D54" s="114">
        <f>D51/1000/D53</f>
        <v>98.954963207919647</v>
      </c>
      <c r="E54" s="1" t="s">
        <v>787</v>
      </c>
    </row>
    <row r="56" spans="1:6" ht="15" customHeight="1" x14ac:dyDescent="0.2">
      <c r="A56" s="16" t="s">
        <v>788</v>
      </c>
      <c r="B56" s="16"/>
      <c r="C56" s="16"/>
      <c r="D56" s="16"/>
      <c r="E56" s="16"/>
      <c r="F56" s="16"/>
    </row>
    <row r="57" spans="1:6" ht="21.75" customHeight="1" x14ac:dyDescent="0.2">
      <c r="A57" s="7" t="s">
        <v>789</v>
      </c>
      <c r="B57" s="44">
        <f>B51-B13</f>
        <v>-14210042.944000006</v>
      </c>
      <c r="C57" s="44">
        <f>C51-C13</f>
        <v>-12923882.367199987</v>
      </c>
      <c r="D57" s="44">
        <f>D51-D13</f>
        <v>-15696690.675999999</v>
      </c>
      <c r="E57" s="1" t="s">
        <v>790</v>
      </c>
    </row>
    <row r="58" spans="1:6" ht="15" customHeight="1" x14ac:dyDescent="0.2">
      <c r="A58" s="7" t="s">
        <v>791</v>
      </c>
      <c r="B58" s="44">
        <f>B57-B37</f>
        <v>-16648541.500000006</v>
      </c>
      <c r="C58" s="44">
        <f>C57-C37</f>
        <v>-16373991.499999987</v>
      </c>
      <c r="D58" s="44">
        <f>D57-D37</f>
        <v>-17060366.5</v>
      </c>
      <c r="E58" s="1" t="s">
        <v>792</v>
      </c>
    </row>
    <row r="60" spans="1:6" ht="15" customHeight="1" x14ac:dyDescent="0.2">
      <c r="A60" s="93" t="s">
        <v>793</v>
      </c>
    </row>
    <row r="61" spans="1:6" ht="15" customHeight="1" x14ac:dyDescent="0.2">
      <c r="A61" s="14" t="s">
        <v>794</v>
      </c>
      <c r="B61" s="121">
        <f>B9*0.9</f>
        <v>5999012.3628000002</v>
      </c>
      <c r="C61" s="121">
        <f>B9*0.95</f>
        <v>6332290.8273999998</v>
      </c>
      <c r="D61" s="121">
        <f>B9*1</f>
        <v>6665569.2920000004</v>
      </c>
      <c r="E61" s="121">
        <f>B9*1.05</f>
        <v>6998847.7566000009</v>
      </c>
      <c r="F61" s="121">
        <f>B9*1.1</f>
        <v>7332126.2212000014</v>
      </c>
    </row>
    <row r="62" spans="1:6" ht="15" customHeight="1" x14ac:dyDescent="0.2">
      <c r="A62" s="77">
        <v>4.4999999999999998E-2</v>
      </c>
      <c r="B62" s="104">
        <f t="shared" ref="B62:F66" si="2">(B$61/$A62+$B$57)/1000/$B$53</f>
        <v>124.4268103802758</v>
      </c>
      <c r="C62" s="104">
        <f t="shared" si="2"/>
        <v>132.16415691414775</v>
      </c>
      <c r="D62" s="104">
        <f t="shared" si="2"/>
        <v>139.9015034480197</v>
      </c>
      <c r="E62" s="104">
        <f t="shared" si="2"/>
        <v>147.63884998189167</v>
      </c>
      <c r="F62" s="104">
        <f t="shared" si="2"/>
        <v>155.37619651576361</v>
      </c>
    </row>
    <row r="63" spans="1:6" ht="15" customHeight="1" x14ac:dyDescent="0.2">
      <c r="A63" s="77">
        <v>0.05</v>
      </c>
      <c r="B63" s="104">
        <f t="shared" si="2"/>
        <v>110.49958661930629</v>
      </c>
      <c r="C63" s="104">
        <f t="shared" si="2"/>
        <v>117.46319849979103</v>
      </c>
      <c r="D63" s="104">
        <f t="shared" si="2"/>
        <v>124.4268103802758</v>
      </c>
      <c r="E63" s="104">
        <f t="shared" si="2"/>
        <v>131.39042226076054</v>
      </c>
      <c r="F63" s="104">
        <f t="shared" si="2"/>
        <v>138.35403414124531</v>
      </c>
    </row>
    <row r="64" spans="1:6" ht="15" customHeight="1" x14ac:dyDescent="0.2">
      <c r="A64" s="77">
        <v>5.5E-2</v>
      </c>
      <c r="B64" s="104">
        <f t="shared" si="2"/>
        <v>99.104585360331271</v>
      </c>
      <c r="C64" s="104">
        <f t="shared" si="2"/>
        <v>105.43514161531739</v>
      </c>
      <c r="D64" s="104">
        <f t="shared" si="2"/>
        <v>111.76569787030353</v>
      </c>
      <c r="E64" s="104">
        <f t="shared" si="2"/>
        <v>118.09625412528968</v>
      </c>
      <c r="F64" s="104">
        <f t="shared" si="2"/>
        <v>124.42681038027581</v>
      </c>
    </row>
    <row r="65" spans="1:6" ht="15" customHeight="1" x14ac:dyDescent="0.2">
      <c r="A65" s="77">
        <v>5.8000000000000003E-2</v>
      </c>
      <c r="B65" s="104">
        <f t="shared" si="2"/>
        <v>93.210619191895887</v>
      </c>
      <c r="C65" s="104">
        <f t="shared" si="2"/>
        <v>99.213732881968937</v>
      </c>
      <c r="D65" s="104">
        <f t="shared" si="2"/>
        <v>105.21684657204202</v>
      </c>
      <c r="E65" s="104">
        <f t="shared" si="2"/>
        <v>111.21996026211508</v>
      </c>
      <c r="F65" s="104">
        <f t="shared" si="2"/>
        <v>117.22307395218813</v>
      </c>
    </row>
    <row r="66" spans="1:6" ht="15" customHeight="1" x14ac:dyDescent="0.2">
      <c r="A66" s="77">
        <v>0.06</v>
      </c>
      <c r="B66" s="104">
        <f t="shared" si="2"/>
        <v>89.608750977852068</v>
      </c>
      <c r="C66" s="104">
        <f t="shared" si="2"/>
        <v>95.411760878256004</v>
      </c>
      <c r="D66" s="104">
        <f t="shared" si="2"/>
        <v>101.21477077865998</v>
      </c>
      <c r="E66" s="104">
        <f t="shared" si="2"/>
        <v>107.01778067906393</v>
      </c>
      <c r="F66" s="104">
        <f t="shared" si="2"/>
        <v>112.82079057946792</v>
      </c>
    </row>
    <row r="68" spans="1:6" ht="15" customHeight="1" x14ac:dyDescent="0.2">
      <c r="A68" s="93" t="s">
        <v>795</v>
      </c>
    </row>
    <row r="69" spans="1:6" ht="15" customHeight="1" x14ac:dyDescent="0.2">
      <c r="A69" s="14" t="s">
        <v>796</v>
      </c>
      <c r="B69" s="121">
        <f>B35*9</f>
        <v>1688191.3079999997</v>
      </c>
      <c r="C69" s="121">
        <f>B35*11</f>
        <v>2063344.9319999998</v>
      </c>
      <c r="D69" s="121">
        <f>B35*13</f>
        <v>2438498.5559999999</v>
      </c>
      <c r="E69" s="121">
        <f>B35*15</f>
        <v>2813652.1799999997</v>
      </c>
      <c r="F69" s="121">
        <f>B35*17</f>
        <v>3188805.8039999995</v>
      </c>
    </row>
    <row r="70" spans="1:6" ht="15" customHeight="1" x14ac:dyDescent="0.2">
      <c r="A70" s="77">
        <v>4.4999999999999998E-2</v>
      </c>
      <c r="B70" s="104">
        <f t="shared" ref="B70:F74" si="3">($B$9/$A70+$B$58+B$69)/1000/$B$53</f>
        <v>139.11764715048523</v>
      </c>
      <c r="C70" s="104">
        <f t="shared" si="3"/>
        <v>139.50957529925248</v>
      </c>
      <c r="D70" s="104">
        <f t="shared" si="3"/>
        <v>139.9015034480197</v>
      </c>
      <c r="E70" s="104">
        <f t="shared" si="3"/>
        <v>140.29343159678697</v>
      </c>
      <c r="F70" s="104">
        <f t="shared" si="3"/>
        <v>140.68535974555417</v>
      </c>
    </row>
    <row r="71" spans="1:6" ht="15" customHeight="1" x14ac:dyDescent="0.2">
      <c r="A71" s="77">
        <v>0.05</v>
      </c>
      <c r="B71" s="104">
        <f t="shared" si="3"/>
        <v>123.64295408274133</v>
      </c>
      <c r="C71" s="104">
        <f t="shared" si="3"/>
        <v>124.03488223150856</v>
      </c>
      <c r="D71" s="104">
        <f t="shared" si="3"/>
        <v>124.4268103802758</v>
      </c>
      <c r="E71" s="104">
        <f t="shared" si="3"/>
        <v>124.81873852904305</v>
      </c>
      <c r="F71" s="104">
        <f t="shared" si="3"/>
        <v>125.21066667781029</v>
      </c>
    </row>
    <row r="72" spans="1:6" ht="15" customHeight="1" x14ac:dyDescent="0.2">
      <c r="A72" s="77">
        <v>5.5E-2</v>
      </c>
      <c r="B72" s="104">
        <f t="shared" si="3"/>
        <v>110.98184157276907</v>
      </c>
      <c r="C72" s="104">
        <f t="shared" si="3"/>
        <v>111.37376972153629</v>
      </c>
      <c r="D72" s="104">
        <f t="shared" si="3"/>
        <v>111.76569787030353</v>
      </c>
      <c r="E72" s="104">
        <f t="shared" si="3"/>
        <v>112.15762601907076</v>
      </c>
      <c r="F72" s="104">
        <f t="shared" si="3"/>
        <v>112.54955416783801</v>
      </c>
    </row>
    <row r="73" spans="1:6" ht="15" customHeight="1" x14ac:dyDescent="0.2">
      <c r="A73" s="77">
        <v>5.8000000000000003E-2</v>
      </c>
      <c r="B73" s="104">
        <f t="shared" si="3"/>
        <v>104.43299027450753</v>
      </c>
      <c r="C73" s="104">
        <f t="shared" si="3"/>
        <v>104.82491842327477</v>
      </c>
      <c r="D73" s="104">
        <f t="shared" si="3"/>
        <v>105.21684657204202</v>
      </c>
      <c r="E73" s="104">
        <f t="shared" si="3"/>
        <v>105.60877472080925</v>
      </c>
      <c r="F73" s="104">
        <f t="shared" si="3"/>
        <v>106.0007028695765</v>
      </c>
    </row>
    <row r="74" spans="1:6" ht="15" customHeight="1" x14ac:dyDescent="0.2">
      <c r="A74" s="77">
        <v>0.06</v>
      </c>
      <c r="B74" s="104">
        <f t="shared" si="3"/>
        <v>100.4309144811255</v>
      </c>
      <c r="C74" s="104">
        <f t="shared" si="3"/>
        <v>100.82284262989275</v>
      </c>
      <c r="D74" s="104">
        <f t="shared" si="3"/>
        <v>101.21477077865998</v>
      </c>
      <c r="E74" s="104">
        <f t="shared" si="3"/>
        <v>101.60669892742722</v>
      </c>
      <c r="F74" s="104">
        <f t="shared" si="3"/>
        <v>101.99862707619447</v>
      </c>
    </row>
    <row r="75" spans="1:6" ht="32.25" customHeight="1" x14ac:dyDescent="0.2">
      <c r="A75" s="1" t="s">
        <v>797</v>
      </c>
    </row>
    <row r="76" spans="1:6" ht="15" customHeight="1" x14ac:dyDescent="0.2">
      <c r="A76" s="16" t="s">
        <v>798</v>
      </c>
      <c r="B76" s="16"/>
      <c r="C76" s="16"/>
      <c r="D76" s="16"/>
      <c r="E76" s="16"/>
      <c r="F76" s="16"/>
    </row>
    <row r="77" spans="1:6" ht="15" customHeight="1" x14ac:dyDescent="0.2">
      <c r="A77" s="64" t="s">
        <v>799</v>
      </c>
      <c r="B77" s="14" t="s">
        <v>424</v>
      </c>
      <c r="C77" s="14" t="s">
        <v>425</v>
      </c>
      <c r="D77" s="14" t="s">
        <v>426</v>
      </c>
      <c r="E77" s="106"/>
    </row>
    <row r="78" spans="1:6" ht="15" customHeight="1" x14ac:dyDescent="0.2">
      <c r="A78" s="10" t="s">
        <v>800</v>
      </c>
      <c r="B78" s="115">
        <f>B54</f>
        <v>124.4268103802758</v>
      </c>
      <c r="C78" s="115">
        <f>C54</f>
        <v>145.55967858745416</v>
      </c>
      <c r="D78" s="115">
        <f>D54</f>
        <v>98.954963207919647</v>
      </c>
    </row>
    <row r="79" spans="1:6" ht="21.75" customHeight="1" x14ac:dyDescent="0.2">
      <c r="A79" s="7" t="s">
        <v>694</v>
      </c>
      <c r="B79" s="122">
        <v>145</v>
      </c>
      <c r="C79" s="104">
        <f>B79</f>
        <v>145</v>
      </c>
      <c r="D79" s="104">
        <f>B79</f>
        <v>145</v>
      </c>
      <c r="E79" s="1" t="s">
        <v>801</v>
      </c>
    </row>
    <row r="80" spans="1:6" ht="15" customHeight="1" x14ac:dyDescent="0.2">
      <c r="A80" s="10" t="s">
        <v>802</v>
      </c>
      <c r="B80" s="123">
        <f>B79/B78-1</f>
        <v>0.16534370331320081</v>
      </c>
      <c r="C80" s="123">
        <f>C79/C78-1</f>
        <v>-3.8450111520265118E-3</v>
      </c>
      <c r="D80" s="123">
        <f>D79/D78-1</f>
        <v>0.46531306060245425</v>
      </c>
      <c r="E80" s="1" t="s">
        <v>803</v>
      </c>
    </row>
    <row r="81" spans="1:6" ht="15" customHeight="1" x14ac:dyDescent="0.2">
      <c r="A81" s="7" t="s">
        <v>804</v>
      </c>
      <c r="B81" s="46">
        <f>B78/B79-1</f>
        <v>-0.1418840663429255</v>
      </c>
      <c r="C81" s="46">
        <f>C78/C79-1</f>
        <v>3.8598523272701524E-3</v>
      </c>
      <c r="D81" s="46">
        <f>D78/D79-1</f>
        <v>-0.3175519778764162</v>
      </c>
      <c r="E81" s="1" t="s">
        <v>805</v>
      </c>
    </row>
    <row r="83" spans="1:6" ht="15" customHeight="1" x14ac:dyDescent="0.2">
      <c r="A83" s="7" t="s">
        <v>806</v>
      </c>
      <c r="B83" s="102">
        <f>Data_Collection!E163</f>
        <v>132.18</v>
      </c>
      <c r="C83" s="104">
        <f>B83</f>
        <v>132.18</v>
      </c>
      <c r="D83" s="104">
        <f>B83</f>
        <v>132.18</v>
      </c>
    </row>
    <row r="84" spans="1:6" ht="15" customHeight="1" x14ac:dyDescent="0.2">
      <c r="A84" s="7" t="s">
        <v>807</v>
      </c>
      <c r="B84" s="46">
        <f>B83/B78-1</f>
        <v>6.2311246234061146E-2</v>
      </c>
      <c r="C84" s="46">
        <f>B83/C78-1</f>
        <v>-9.1918852234999071E-2</v>
      </c>
      <c r="D84" s="46">
        <f>B83/D78-1</f>
        <v>0.33575917483056839</v>
      </c>
    </row>
    <row r="85" spans="1:6" ht="21.75" customHeight="1" x14ac:dyDescent="0.2">
      <c r="A85" s="7" t="s">
        <v>808</v>
      </c>
      <c r="B85" s="95">
        <f>B9/B44</f>
        <v>4.5458376220274453E-2</v>
      </c>
      <c r="C85" s="95">
        <f>C9/C44</f>
        <v>4.1061200459916479E-2</v>
      </c>
      <c r="D85" s="95">
        <f>D9/D44</f>
        <v>5.2386322533142453E-2</v>
      </c>
      <c r="E85" s="1" t="s">
        <v>809</v>
      </c>
    </row>
    <row r="86" spans="1:6" ht="15" customHeight="1" x14ac:dyDescent="0.2">
      <c r="A86" s="7" t="s">
        <v>810</v>
      </c>
      <c r="B86" s="104">
        <f>B13/Data_Collection!D84</f>
        <v>172.42049137583163</v>
      </c>
      <c r="C86" s="104">
        <f>C13/Data_Collection!D84</f>
        <v>196.91972682948142</v>
      </c>
      <c r="D86" s="104">
        <f>D13/Data_Collection!D84</f>
        <v>142.80885782618793</v>
      </c>
      <c r="E86" s="1" t="s">
        <v>811</v>
      </c>
    </row>
    <row r="88" spans="1:6" ht="15" customHeight="1" x14ac:dyDescent="0.2">
      <c r="A88" s="16" t="s">
        <v>812</v>
      </c>
      <c r="B88" s="16"/>
      <c r="C88" s="16"/>
      <c r="D88" s="16"/>
      <c r="E88" s="16"/>
      <c r="F88" s="16"/>
    </row>
    <row r="89" spans="1:6" ht="45.75" customHeight="1" x14ac:dyDescent="0.2">
      <c r="A89" s="1" t="s">
        <v>813</v>
      </c>
    </row>
    <row r="90" spans="1:6" ht="45.75" customHeight="1" x14ac:dyDescent="0.2">
      <c r="A90" s="1" t="s">
        <v>814</v>
      </c>
    </row>
    <row r="91" spans="1:6" ht="45.75" customHeight="1" x14ac:dyDescent="0.2">
      <c r="A91" s="1" t="s">
        <v>815</v>
      </c>
    </row>
    <row r="92" spans="1:6" ht="57.75" customHeight="1" x14ac:dyDescent="0.2">
      <c r="A92" s="1" t="s">
        <v>816</v>
      </c>
    </row>
    <row r="93" spans="1:6" ht="45.75" customHeight="1" x14ac:dyDescent="0.2">
      <c r="A93" s="1" t="s">
        <v>817</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Q44"/>
  <sheetViews>
    <sheetView showGridLines="0" zoomScaleNormal="100" workbookViewId="0">
      <selection activeCell="L49" sqref="L49"/>
    </sheetView>
  </sheetViews>
  <sheetFormatPr baseColWidth="10" defaultColWidth="8.6640625" defaultRowHeight="15" x14ac:dyDescent="0.2"/>
  <cols>
    <col min="1" max="1" width="18" customWidth="1"/>
    <col min="2" max="2" width="7" customWidth="1"/>
    <col min="3" max="3" width="10.83203125" customWidth="1"/>
    <col min="4" max="5" width="9" customWidth="1"/>
    <col min="6" max="6" width="10" customWidth="1"/>
    <col min="7" max="9" width="9" customWidth="1"/>
    <col min="10" max="10" width="7" customWidth="1"/>
    <col min="11" max="11" width="8" customWidth="1"/>
    <col min="12" max="12" width="9" customWidth="1"/>
    <col min="13" max="13" width="8" customWidth="1"/>
    <col min="14" max="14" width="9" customWidth="1"/>
    <col min="15" max="15" width="8" customWidth="1"/>
    <col min="16" max="17" width="9" customWidth="1"/>
  </cols>
  <sheetData>
    <row r="1" spans="1:17" ht="17.25" customHeight="1" x14ac:dyDescent="0.2">
      <c r="A1" s="4" t="s">
        <v>818</v>
      </c>
    </row>
    <row r="2" spans="1:17" ht="15" customHeight="1" x14ac:dyDescent="0.2">
      <c r="A2" s="124" t="s">
        <v>819</v>
      </c>
      <c r="B2" s="67"/>
      <c r="D2" s="2"/>
    </row>
    <row r="3" spans="1:17" ht="15" customHeight="1" x14ac:dyDescent="0.2">
      <c r="A3" s="124" t="s">
        <v>820</v>
      </c>
      <c r="B3" s="67"/>
      <c r="D3" s="2"/>
    </row>
    <row r="4" spans="1:17" ht="15" customHeight="1" x14ac:dyDescent="0.2">
      <c r="A4" s="124" t="s">
        <v>821</v>
      </c>
      <c r="B4" s="67">
        <v>0.9</v>
      </c>
      <c r="D4" s="2" t="s">
        <v>822</v>
      </c>
    </row>
    <row r="5" spans="1:17" ht="30" customHeight="1" x14ac:dyDescent="0.2">
      <c r="A5" s="125" t="s">
        <v>823</v>
      </c>
      <c r="B5" s="125" t="s">
        <v>824</v>
      </c>
      <c r="C5" s="126" t="s">
        <v>825</v>
      </c>
      <c r="D5" s="126" t="s">
        <v>826</v>
      </c>
      <c r="E5" s="126" t="s">
        <v>827</v>
      </c>
      <c r="F5" s="126" t="s">
        <v>828</v>
      </c>
      <c r="G5" s="126" t="s">
        <v>829</v>
      </c>
      <c r="H5" s="126" t="s">
        <v>830</v>
      </c>
      <c r="I5" s="126" t="s">
        <v>831</v>
      </c>
      <c r="J5" s="126" t="s">
        <v>832</v>
      </c>
      <c r="K5" s="126" t="s">
        <v>833</v>
      </c>
      <c r="L5" s="126" t="s">
        <v>834</v>
      </c>
      <c r="M5" s="126" t="s">
        <v>835</v>
      </c>
      <c r="N5" s="126" t="s">
        <v>836</v>
      </c>
      <c r="O5" s="126" t="s">
        <v>837</v>
      </c>
      <c r="P5" s="126" t="s">
        <v>838</v>
      </c>
      <c r="Q5" s="126" t="s">
        <v>839</v>
      </c>
    </row>
    <row r="6" spans="1:17" ht="15" customHeight="1" x14ac:dyDescent="0.2">
      <c r="A6" s="10" t="s">
        <v>840</v>
      </c>
      <c r="B6" s="127" t="s">
        <v>841</v>
      </c>
      <c r="C6" s="128">
        <f>NAV!B79</f>
        <v>145</v>
      </c>
      <c r="D6" s="129">
        <f>Data_Collection!E155</f>
        <v>932.3</v>
      </c>
      <c r="E6" s="130">
        <f t="shared" ref="E6:E11" si="0">C6*D6/1000</f>
        <v>135.18350000000001</v>
      </c>
      <c r="F6" s="131">
        <f>(Data_Collection!E33-Data_Collection!E143-Data_Collection!E30+Data_Collection!E37)/1000000</f>
        <v>34.397781999999999</v>
      </c>
      <c r="G6" s="130">
        <f t="shared" ref="G6:G11" si="1">E6+F6</f>
        <v>169.58128200000002</v>
      </c>
      <c r="H6" s="131">
        <f>Model!C56/1000000</f>
        <v>6.8921171942850004</v>
      </c>
      <c r="I6" s="120">
        <f t="shared" ref="I6:I11" si="2">F6/H6</f>
        <v>4.9908875647853055</v>
      </c>
      <c r="J6" s="122">
        <v>4.28</v>
      </c>
      <c r="K6" s="70">
        <f t="shared" ref="K6:K11" si="3">J6/C6</f>
        <v>2.9517241379310347E-2</v>
      </c>
      <c r="L6" s="128">
        <f>Model!C73</f>
        <v>5.7835432195032457</v>
      </c>
      <c r="M6" s="128">
        <f>Model!C77</f>
        <v>4.5082830152029603</v>
      </c>
      <c r="N6" s="120">
        <f t="shared" ref="N6:N11" si="4">C6/L6</f>
        <v>25.071136238946305</v>
      </c>
      <c r="O6" s="120">
        <f t="shared" ref="O6:O11" si="5">C6/M6</f>
        <v>32.163020713434996</v>
      </c>
      <c r="P6" s="120">
        <f t="shared" ref="P6:P11" si="6">G6/H6</f>
        <v>24.60510714191253</v>
      </c>
      <c r="Q6" s="77">
        <v>0.05</v>
      </c>
    </row>
    <row r="7" spans="1:17" ht="15" customHeight="1" x14ac:dyDescent="0.2">
      <c r="A7" s="7" t="s">
        <v>842</v>
      </c>
      <c r="B7" s="132" t="s">
        <v>843</v>
      </c>
      <c r="C7" s="122">
        <v>35</v>
      </c>
      <c r="D7" s="133">
        <v>229</v>
      </c>
      <c r="E7" s="130">
        <f t="shared" si="0"/>
        <v>8.0150000000000006</v>
      </c>
      <c r="F7" s="134">
        <v>3.45</v>
      </c>
      <c r="G7" s="130">
        <f t="shared" si="1"/>
        <v>11.465</v>
      </c>
      <c r="H7" s="134">
        <v>0.75</v>
      </c>
      <c r="I7" s="120">
        <f t="shared" si="2"/>
        <v>4.6000000000000005</v>
      </c>
      <c r="J7" s="122">
        <v>1.74</v>
      </c>
      <c r="K7" s="70">
        <f t="shared" si="3"/>
        <v>4.9714285714285711E-2</v>
      </c>
      <c r="L7" s="122">
        <v>2.4</v>
      </c>
      <c r="M7" s="135">
        <f>L7*$B$4</f>
        <v>2.16</v>
      </c>
      <c r="N7" s="120">
        <f t="shared" si="4"/>
        <v>14.583333333333334</v>
      </c>
      <c r="O7" s="120">
        <f t="shared" si="5"/>
        <v>16.203703703703702</v>
      </c>
      <c r="P7" s="120">
        <f t="shared" si="6"/>
        <v>15.286666666666667</v>
      </c>
      <c r="Q7" s="77">
        <v>5.5E-2</v>
      </c>
    </row>
    <row r="8" spans="1:17" ht="15" customHeight="1" x14ac:dyDescent="0.2">
      <c r="A8" s="7" t="s">
        <v>844</v>
      </c>
      <c r="B8" s="132" t="s">
        <v>845</v>
      </c>
      <c r="C8" s="122">
        <v>205</v>
      </c>
      <c r="D8" s="133">
        <v>53.8</v>
      </c>
      <c r="E8" s="130">
        <f t="shared" si="0"/>
        <v>11.029</v>
      </c>
      <c r="F8" s="134">
        <v>1.8</v>
      </c>
      <c r="G8" s="130">
        <f t="shared" si="1"/>
        <v>12.829000000000001</v>
      </c>
      <c r="H8" s="134">
        <v>0.6</v>
      </c>
      <c r="I8" s="120">
        <f t="shared" si="2"/>
        <v>3</v>
      </c>
      <c r="J8" s="122">
        <v>6.2</v>
      </c>
      <c r="K8" s="70">
        <f t="shared" si="3"/>
        <v>3.0243902439024393E-2</v>
      </c>
      <c r="L8" s="122">
        <v>9.56</v>
      </c>
      <c r="M8" s="135">
        <f>L8*$B$4</f>
        <v>8.604000000000001</v>
      </c>
      <c r="N8" s="120">
        <f t="shared" si="4"/>
        <v>21.443514644351463</v>
      </c>
      <c r="O8" s="120">
        <f t="shared" si="5"/>
        <v>23.826127382612736</v>
      </c>
      <c r="P8" s="120">
        <f t="shared" si="6"/>
        <v>21.381666666666668</v>
      </c>
      <c r="Q8" s="77">
        <v>0.05</v>
      </c>
    </row>
    <row r="9" spans="1:17" ht="15" customHeight="1" x14ac:dyDescent="0.2">
      <c r="A9" s="7" t="s">
        <v>846</v>
      </c>
      <c r="B9" s="132" t="s">
        <v>847</v>
      </c>
      <c r="C9" s="122">
        <v>58</v>
      </c>
      <c r="D9" s="133">
        <v>135</v>
      </c>
      <c r="E9" s="130">
        <f t="shared" si="0"/>
        <v>7.83</v>
      </c>
      <c r="F9" s="134">
        <v>2.2000000000000002</v>
      </c>
      <c r="G9" s="130">
        <f t="shared" si="1"/>
        <v>10.030000000000001</v>
      </c>
      <c r="H9" s="134">
        <v>0.49</v>
      </c>
      <c r="I9" s="120">
        <f t="shared" si="2"/>
        <v>4.4897959183673475</v>
      </c>
      <c r="J9" s="122">
        <v>2</v>
      </c>
      <c r="K9" s="70">
        <f t="shared" si="3"/>
        <v>3.4482758620689655E-2</v>
      </c>
      <c r="L9" s="122">
        <v>3.14</v>
      </c>
      <c r="M9" s="135">
        <f>L9*$B$4</f>
        <v>2.8260000000000001</v>
      </c>
      <c r="N9" s="120">
        <f t="shared" si="4"/>
        <v>18.471337579617835</v>
      </c>
      <c r="O9" s="120">
        <f t="shared" si="5"/>
        <v>20.523708421797593</v>
      </c>
      <c r="P9" s="120">
        <f t="shared" si="6"/>
        <v>20.469387755102044</v>
      </c>
      <c r="Q9" s="77">
        <v>5.5E-2</v>
      </c>
    </row>
    <row r="10" spans="1:17" ht="15" customHeight="1" x14ac:dyDescent="0.2">
      <c r="A10" s="7" t="s">
        <v>848</v>
      </c>
      <c r="B10" s="132" t="s">
        <v>849</v>
      </c>
      <c r="C10" s="122">
        <v>60</v>
      </c>
      <c r="D10" s="133">
        <v>105.7</v>
      </c>
      <c r="E10" s="130">
        <f t="shared" si="0"/>
        <v>6.3419999999999996</v>
      </c>
      <c r="F10" s="134">
        <v>0.95</v>
      </c>
      <c r="G10" s="130">
        <f t="shared" si="1"/>
        <v>7.2919999999999998</v>
      </c>
      <c r="H10" s="134">
        <v>0.42</v>
      </c>
      <c r="I10" s="120">
        <f t="shared" si="2"/>
        <v>2.2619047619047619</v>
      </c>
      <c r="J10" s="122">
        <v>2.08</v>
      </c>
      <c r="K10" s="70">
        <f t="shared" si="3"/>
        <v>3.4666666666666665E-2</v>
      </c>
      <c r="L10" s="122">
        <v>2.7</v>
      </c>
      <c r="M10" s="135">
        <f>L10*$B$4</f>
        <v>2.4300000000000002</v>
      </c>
      <c r="N10" s="120">
        <f t="shared" si="4"/>
        <v>22.222222222222221</v>
      </c>
      <c r="O10" s="120">
        <f t="shared" si="5"/>
        <v>24.691358024691358</v>
      </c>
      <c r="P10" s="120">
        <f t="shared" si="6"/>
        <v>17.361904761904761</v>
      </c>
      <c r="Q10" s="77">
        <v>5.2499999999999998E-2</v>
      </c>
    </row>
    <row r="11" spans="1:17" ht="15" customHeight="1" x14ac:dyDescent="0.2">
      <c r="A11" s="7" t="s">
        <v>850</v>
      </c>
      <c r="B11" s="132" t="s">
        <v>851</v>
      </c>
      <c r="C11" s="122">
        <v>37</v>
      </c>
      <c r="D11" s="133">
        <v>198</v>
      </c>
      <c r="E11" s="130">
        <f t="shared" si="0"/>
        <v>7.3259999999999996</v>
      </c>
      <c r="F11" s="134">
        <v>3.2</v>
      </c>
      <c r="G11" s="130">
        <f t="shared" si="1"/>
        <v>10.526</v>
      </c>
      <c r="H11" s="134">
        <v>0.63600000000000001</v>
      </c>
      <c r="I11" s="120">
        <f t="shared" si="2"/>
        <v>5.0314465408805029</v>
      </c>
      <c r="J11" s="122">
        <v>1.49</v>
      </c>
      <c r="K11" s="70">
        <f t="shared" si="3"/>
        <v>4.0270270270270268E-2</v>
      </c>
      <c r="L11" s="122">
        <v>2.62</v>
      </c>
      <c r="M11" s="135">
        <f>L11*$B$4</f>
        <v>2.3580000000000001</v>
      </c>
      <c r="N11" s="120">
        <f t="shared" si="4"/>
        <v>14.122137404580153</v>
      </c>
      <c r="O11" s="120">
        <f t="shared" si="5"/>
        <v>15.691263782866836</v>
      </c>
      <c r="P11" s="120">
        <f t="shared" si="6"/>
        <v>16.550314465408803</v>
      </c>
      <c r="Q11" s="77">
        <v>0.06</v>
      </c>
    </row>
    <row r="13" spans="1:17" ht="15" customHeight="1" x14ac:dyDescent="0.2">
      <c r="A13" s="16" t="s">
        <v>852</v>
      </c>
      <c r="B13" s="16"/>
      <c r="C13" s="16"/>
      <c r="D13" s="16"/>
      <c r="E13" s="16"/>
      <c r="F13" s="16"/>
      <c r="G13" s="16"/>
      <c r="H13" s="16"/>
      <c r="I13" s="16"/>
      <c r="J13" s="16"/>
      <c r="K13" s="16"/>
      <c r="L13" s="16"/>
      <c r="M13" s="16"/>
      <c r="N13" s="16"/>
      <c r="O13" s="16"/>
      <c r="P13" s="16"/>
      <c r="Q13" s="16"/>
    </row>
    <row r="14" spans="1:17" ht="15" customHeight="1" x14ac:dyDescent="0.2">
      <c r="A14" s="10" t="s">
        <v>853</v>
      </c>
      <c r="I14" s="120">
        <f>AVERAGE(I7:I11)</f>
        <v>3.8766294442305225</v>
      </c>
      <c r="K14" s="70">
        <f>AVERAGE(K7:K11)</f>
        <v>3.787557674218734E-2</v>
      </c>
      <c r="N14" s="120">
        <f>AVERAGE(N7:N11)</f>
        <v>18.168509036821003</v>
      </c>
      <c r="O14" s="120">
        <f>AVERAGE(O7:O11)</f>
        <v>20.187232263134444</v>
      </c>
      <c r="P14" s="120">
        <f>AVERAGE(P7:P11)</f>
        <v>18.20998806314979</v>
      </c>
      <c r="Q14" s="108">
        <f>AVERAGE(Q7:Q11)</f>
        <v>5.4499999999999993E-2</v>
      </c>
    </row>
    <row r="15" spans="1:17" ht="15" customHeight="1" x14ac:dyDescent="0.2">
      <c r="A15" s="10" t="s">
        <v>854</v>
      </c>
      <c r="I15" s="136">
        <f>MEDIAN(I7:I11)</f>
        <v>4.4897959183673475</v>
      </c>
      <c r="K15" s="137">
        <f>MEDIAN(K7:K11)</f>
        <v>3.4666666666666665E-2</v>
      </c>
      <c r="N15" s="136">
        <f>MEDIAN(N7:N11)</f>
        <v>18.471337579617835</v>
      </c>
      <c r="O15" s="136">
        <f>MEDIAN(O7:O11)</f>
        <v>20.523708421797593</v>
      </c>
      <c r="P15" s="136">
        <f>MEDIAN(P7:P11)</f>
        <v>17.361904761904761</v>
      </c>
      <c r="Q15" s="138">
        <f>MEDIAN(Q7:Q11)</f>
        <v>5.5E-2</v>
      </c>
    </row>
    <row r="16" spans="1:17" ht="15" customHeight="1" x14ac:dyDescent="0.2">
      <c r="A16" s="10" t="s">
        <v>855</v>
      </c>
      <c r="I16" s="120">
        <f>MAX(I7:I11)</f>
        <v>5.0314465408805029</v>
      </c>
      <c r="K16" s="70">
        <f>MAX(K7:K11)</f>
        <v>4.9714285714285711E-2</v>
      </c>
      <c r="N16" s="120">
        <f>MAX(N7:N11)</f>
        <v>22.222222222222221</v>
      </c>
      <c r="O16" s="120">
        <f>MAX(O7:O11)</f>
        <v>24.691358024691358</v>
      </c>
      <c r="P16" s="120">
        <f>MAX(P7:P11)</f>
        <v>21.381666666666668</v>
      </c>
      <c r="Q16" s="108">
        <f>MAX(Q7:Q11)</f>
        <v>0.06</v>
      </c>
    </row>
    <row r="17" spans="1:17" ht="15" customHeight="1" x14ac:dyDescent="0.2">
      <c r="A17" s="10" t="s">
        <v>856</v>
      </c>
      <c r="I17" s="120">
        <f>MIN(I7:I11)</f>
        <v>2.2619047619047619</v>
      </c>
      <c r="K17" s="70">
        <f>MIN(K7:K11)</f>
        <v>3.0243902439024393E-2</v>
      </c>
      <c r="N17" s="120">
        <f>MIN(N7:N11)</f>
        <v>14.122137404580153</v>
      </c>
      <c r="O17" s="120">
        <f>MIN(O7:O11)</f>
        <v>15.691263782866836</v>
      </c>
      <c r="P17" s="120">
        <f>MIN(P7:P11)</f>
        <v>15.286666666666667</v>
      </c>
      <c r="Q17" s="108">
        <f>MIN(Q7:Q11)</f>
        <v>0.05</v>
      </c>
    </row>
    <row r="18" spans="1:17" ht="15" customHeight="1" x14ac:dyDescent="0.2">
      <c r="A18" s="93" t="s">
        <v>857</v>
      </c>
      <c r="I18" s="139">
        <f>I6</f>
        <v>4.9908875647853055</v>
      </c>
      <c r="K18" s="140">
        <f>K6</f>
        <v>2.9517241379310347E-2</v>
      </c>
      <c r="N18" s="139">
        <f>N6</f>
        <v>25.071136238946305</v>
      </c>
      <c r="O18" s="139">
        <f>O6</f>
        <v>32.163020713434996</v>
      </c>
      <c r="P18" s="139">
        <f>P6</f>
        <v>24.60510714191253</v>
      </c>
      <c r="Q18" s="141">
        <f>Q6</f>
        <v>0.05</v>
      </c>
    </row>
    <row r="20" spans="1:17" ht="15" customHeight="1" x14ac:dyDescent="0.2">
      <c r="A20" s="16" t="s">
        <v>858</v>
      </c>
      <c r="B20" s="16"/>
      <c r="C20" s="16"/>
      <c r="D20" s="16"/>
      <c r="E20" s="16"/>
      <c r="F20" s="16"/>
      <c r="G20" s="16"/>
      <c r="H20" s="16"/>
      <c r="I20" s="16"/>
      <c r="J20" s="16"/>
      <c r="K20" s="16"/>
      <c r="L20" s="16"/>
      <c r="M20" s="16"/>
      <c r="N20" s="16"/>
      <c r="O20" s="16"/>
      <c r="P20" s="16"/>
      <c r="Q20" s="16"/>
    </row>
    <row r="21" spans="1:17" ht="15" customHeight="1" x14ac:dyDescent="0.2">
      <c r="A21" s="142" t="s">
        <v>859</v>
      </c>
      <c r="B21" s="143" t="s">
        <v>860</v>
      </c>
      <c r="C21" s="143" t="s">
        <v>861</v>
      </c>
      <c r="D21" s="143" t="s">
        <v>862</v>
      </c>
      <c r="E21" s="143" t="s">
        <v>863</v>
      </c>
    </row>
    <row r="22" spans="1:17" ht="18" customHeight="1" x14ac:dyDescent="0.2">
      <c r="A22" s="7" t="s">
        <v>864</v>
      </c>
      <c r="B22" s="120">
        <f>N15</f>
        <v>18.471337579617835</v>
      </c>
      <c r="C22" s="135">
        <f>L6</f>
        <v>5.7835432195032457</v>
      </c>
      <c r="D22" s="144">
        <f>B22*C22</f>
        <v>106.82977921375422</v>
      </c>
      <c r="E22" s="70">
        <f>D22/C6-1</f>
        <v>-0.26324290197410882</v>
      </c>
      <c r="F22" s="2" t="s">
        <v>865</v>
      </c>
    </row>
    <row r="23" spans="1:17" ht="15" customHeight="1" x14ac:dyDescent="0.2">
      <c r="A23" s="7" t="s">
        <v>866</v>
      </c>
      <c r="B23" s="120">
        <f>O15</f>
        <v>20.523708421797593</v>
      </c>
      <c r="C23" s="135">
        <f>M6</f>
        <v>4.5082830152029603</v>
      </c>
      <c r="D23" s="144">
        <f>B23*C23</f>
        <v>92.526686086968041</v>
      </c>
      <c r="E23" s="70">
        <f>D23/C6-1</f>
        <v>-0.36188492353815149</v>
      </c>
    </row>
    <row r="24" spans="1:17" ht="42.75" customHeight="1" x14ac:dyDescent="0.2">
      <c r="A24" s="145" t="s">
        <v>867</v>
      </c>
      <c r="D24" s="146" t="str">
        <f>TEXT(MIN(D22:D23),"$0.00")&amp;" - "&amp;TEXT(MAX(D22:D23),"$0.00")</f>
        <v>$92.53 - $106.83</v>
      </c>
    </row>
    <row r="25" spans="1:17" ht="15" customHeight="1" x14ac:dyDescent="0.2">
      <c r="A25" s="7" t="s">
        <v>868</v>
      </c>
      <c r="D25" s="147">
        <f>C6</f>
        <v>145</v>
      </c>
    </row>
    <row r="27" spans="1:17" ht="15" customHeight="1" x14ac:dyDescent="0.2">
      <c r="A27" s="16" t="s">
        <v>869</v>
      </c>
      <c r="B27" s="16"/>
      <c r="C27" s="16"/>
      <c r="D27" s="16"/>
      <c r="E27" s="16"/>
      <c r="F27" s="16"/>
      <c r="G27" s="16"/>
      <c r="H27" s="16"/>
      <c r="I27" s="16"/>
      <c r="J27" s="16"/>
      <c r="K27" s="16"/>
      <c r="L27" s="16"/>
      <c r="M27" s="16"/>
      <c r="N27" s="16"/>
      <c r="O27" s="16"/>
      <c r="P27" s="16"/>
      <c r="Q27" s="16"/>
    </row>
    <row r="28" spans="1:17" ht="15" customHeight="1" x14ac:dyDescent="0.2">
      <c r="A28" s="142" t="s">
        <v>870</v>
      </c>
      <c r="B28" s="143" t="s">
        <v>871</v>
      </c>
      <c r="C28" s="143" t="s">
        <v>872</v>
      </c>
      <c r="D28" s="143" t="s">
        <v>873</v>
      </c>
    </row>
    <row r="29" spans="1:17" ht="15" customHeight="1" x14ac:dyDescent="0.2">
      <c r="A29" s="7" t="s">
        <v>836</v>
      </c>
      <c r="B29" s="120">
        <f>N6</f>
        <v>25.071136238946305</v>
      </c>
      <c r="C29" s="120">
        <f>N15</f>
        <v>18.471337579617835</v>
      </c>
      <c r="D29" s="148">
        <f>N6/N15-1</f>
        <v>0.35729944466019647</v>
      </c>
    </row>
    <row r="30" spans="1:17" ht="15" customHeight="1" x14ac:dyDescent="0.2">
      <c r="A30" s="7" t="s">
        <v>837</v>
      </c>
      <c r="B30" s="120">
        <f>O6</f>
        <v>32.163020713434996</v>
      </c>
      <c r="C30" s="120">
        <f>O15</f>
        <v>20.523708421797593</v>
      </c>
      <c r="D30" s="148">
        <f>O6/O15-1</f>
        <v>0.56711545752012582</v>
      </c>
    </row>
    <row r="31" spans="1:17" ht="15" customHeight="1" x14ac:dyDescent="0.2">
      <c r="A31" s="7" t="s">
        <v>874</v>
      </c>
      <c r="B31" s="120">
        <f>P6</f>
        <v>24.60510714191253</v>
      </c>
      <c r="C31" s="120">
        <f>P15</f>
        <v>17.361904761904761</v>
      </c>
      <c r="D31" s="148">
        <f>P6/P15-1</f>
        <v>0.41718938557367857</v>
      </c>
    </row>
    <row r="32" spans="1:17" ht="15" customHeight="1" x14ac:dyDescent="0.2">
      <c r="A32" s="7" t="s">
        <v>875</v>
      </c>
      <c r="B32" s="120">
        <f>I6</f>
        <v>4.9908875647853055</v>
      </c>
      <c r="C32" s="120">
        <f>I15</f>
        <v>4.4897959183673475</v>
      </c>
      <c r="D32" s="148">
        <f>I6/I15-1</f>
        <v>0.11160677579309053</v>
      </c>
    </row>
    <row r="33" spans="1:17" ht="15" customHeight="1" x14ac:dyDescent="0.2">
      <c r="A33" s="7" t="s">
        <v>876</v>
      </c>
      <c r="B33" s="70">
        <f>K6</f>
        <v>2.9517241379310347E-2</v>
      </c>
      <c r="C33" s="70">
        <f>K15</f>
        <v>3.4666666666666665E-2</v>
      </c>
      <c r="D33" s="148">
        <f>K6/K15-1</f>
        <v>-0.14854111405835535</v>
      </c>
    </row>
    <row r="35" spans="1:17" ht="15" customHeight="1" x14ac:dyDescent="0.2">
      <c r="A35" s="16" t="s">
        <v>877</v>
      </c>
      <c r="B35" s="16"/>
      <c r="C35" s="16"/>
      <c r="D35" s="16"/>
      <c r="E35" s="16"/>
      <c r="F35" s="16"/>
      <c r="G35" s="16"/>
      <c r="H35" s="16"/>
      <c r="I35" s="16"/>
      <c r="J35" s="16"/>
      <c r="K35" s="16"/>
      <c r="L35" s="16"/>
      <c r="M35" s="16"/>
      <c r="N35" s="16"/>
      <c r="O35" s="16"/>
      <c r="P35" s="16"/>
      <c r="Q35" s="16"/>
    </row>
    <row r="36" spans="1:17" ht="15.75" customHeight="1" x14ac:dyDescent="0.2">
      <c r="A36" s="2" t="s">
        <v>878</v>
      </c>
    </row>
    <row r="37" spans="1:17" ht="15.75" customHeight="1" x14ac:dyDescent="0.2">
      <c r="A37" s="2" t="s">
        <v>879</v>
      </c>
    </row>
    <row r="38" spans="1:17" ht="15.75" customHeight="1" x14ac:dyDescent="0.2">
      <c r="A38" s="2" t="s">
        <v>880</v>
      </c>
    </row>
    <row r="39" spans="1:17" ht="15.75" customHeight="1" x14ac:dyDescent="0.2">
      <c r="A39" s="2" t="s">
        <v>881</v>
      </c>
    </row>
    <row r="40" spans="1:17" ht="15.75" customHeight="1" x14ac:dyDescent="0.2">
      <c r="A40" s="2" t="s">
        <v>882</v>
      </c>
    </row>
    <row r="42" spans="1:17" ht="15" customHeight="1" x14ac:dyDescent="0.2">
      <c r="A42" s="16" t="s">
        <v>883</v>
      </c>
      <c r="B42" s="16"/>
      <c r="C42" s="16"/>
      <c r="D42" s="16"/>
      <c r="E42" s="16"/>
      <c r="F42" s="16"/>
      <c r="G42" s="16"/>
      <c r="H42" s="16"/>
      <c r="I42" s="16"/>
      <c r="J42" s="16"/>
      <c r="K42" s="16"/>
      <c r="L42" s="16"/>
      <c r="M42" s="16"/>
      <c r="N42" s="16"/>
      <c r="O42" s="16"/>
      <c r="P42" s="16"/>
      <c r="Q42" s="16"/>
    </row>
    <row r="43" spans="1:17" ht="15.75" customHeight="1" x14ac:dyDescent="0.2">
      <c r="A43" s="2" t="s">
        <v>884</v>
      </c>
    </row>
    <row r="44" spans="1:17" ht="15.75" customHeight="1" x14ac:dyDescent="0.2">
      <c r="A44" s="2" t="s">
        <v>885</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K28"/>
  <sheetViews>
    <sheetView showGridLines="0" zoomScaleNormal="100" workbookViewId="0">
      <selection activeCell="A25" sqref="A25"/>
    </sheetView>
  </sheetViews>
  <sheetFormatPr baseColWidth="10" defaultColWidth="8.6640625" defaultRowHeight="15" x14ac:dyDescent="0.2"/>
  <cols>
    <col min="1" max="1" width="20" customWidth="1"/>
    <col min="2" max="7" width="12" customWidth="1"/>
    <col min="8" max="8" width="10.33203125" customWidth="1"/>
    <col min="9" max="9" width="16" customWidth="1"/>
  </cols>
  <sheetData>
    <row r="1" spans="1:11" ht="17.25" customHeight="1" x14ac:dyDescent="0.2">
      <c r="A1" s="4" t="s">
        <v>886</v>
      </c>
    </row>
    <row r="2" spans="1:11" ht="18" customHeight="1" x14ac:dyDescent="0.2">
      <c r="A2" s="19" t="s">
        <v>887</v>
      </c>
    </row>
    <row r="4" spans="1:11" ht="15" customHeight="1" x14ac:dyDescent="0.2">
      <c r="A4" s="16" t="s">
        <v>888</v>
      </c>
      <c r="B4" s="16"/>
      <c r="C4" s="16"/>
      <c r="D4" s="16"/>
      <c r="E4" s="16"/>
      <c r="F4" s="16"/>
      <c r="G4" s="16"/>
    </row>
    <row r="5" spans="1:11" ht="15" customHeight="1" x14ac:dyDescent="0.2">
      <c r="A5" s="125" t="s">
        <v>889</v>
      </c>
      <c r="B5" s="126" t="s">
        <v>856</v>
      </c>
      <c r="C5" s="126" t="s">
        <v>890</v>
      </c>
      <c r="D5" s="126" t="s">
        <v>855</v>
      </c>
      <c r="E5" s="126" t="s">
        <v>891</v>
      </c>
      <c r="F5" s="126" t="s">
        <v>892</v>
      </c>
      <c r="I5" s="149" t="s">
        <v>392</v>
      </c>
      <c r="J5" s="149" t="s">
        <v>893</v>
      </c>
      <c r="K5" s="149" t="s">
        <v>894</v>
      </c>
    </row>
    <row r="6" spans="1:11" ht="42.75" customHeight="1" x14ac:dyDescent="0.2">
      <c r="A6" s="7" t="s">
        <v>895</v>
      </c>
      <c r="B6" s="128">
        <f>NAV!D54</f>
        <v>98.954963207919647</v>
      </c>
      <c r="C6" s="128">
        <f>NAV!B54</f>
        <v>124.4268103802758</v>
      </c>
      <c r="D6" s="128">
        <f>NAV!C54</f>
        <v>145.55967858745416</v>
      </c>
      <c r="E6" s="135">
        <f>(B6+D6)/2</f>
        <v>122.2573208976869</v>
      </c>
      <c r="F6" s="135">
        <f>D6-B6</f>
        <v>46.604715379534511</v>
      </c>
      <c r="G6" s="1" t="s">
        <v>896</v>
      </c>
      <c r="I6" s="3" t="s">
        <v>897</v>
      </c>
      <c r="J6" s="150">
        <f>B8</f>
        <v>92.526686086968041</v>
      </c>
      <c r="K6" s="150">
        <f>D8-B8</f>
        <v>14.30309312678618</v>
      </c>
    </row>
    <row r="7" spans="1:11" ht="84.75" customHeight="1" x14ac:dyDescent="0.2">
      <c r="A7" s="7" t="s">
        <v>898</v>
      </c>
      <c r="B7" s="128">
        <f>DCF!D52</f>
        <v>102.56822156773173</v>
      </c>
      <c r="C7" s="128">
        <f>DCF!B33</f>
        <v>123.77366604420722</v>
      </c>
      <c r="D7" s="128">
        <f>DCF!D49</f>
        <v>137.92113495179967</v>
      </c>
      <c r="E7" s="135">
        <f>(B7+D7)/2</f>
        <v>120.24467825976569</v>
      </c>
      <c r="F7" s="135">
        <f>D7-B7</f>
        <v>35.352913384067946</v>
      </c>
      <c r="G7" s="1" t="s">
        <v>899</v>
      </c>
      <c r="I7" s="3" t="s">
        <v>898</v>
      </c>
      <c r="J7" s="150">
        <f>B7</f>
        <v>102.56822156773173</v>
      </c>
      <c r="K7" s="150">
        <f>D7-B7</f>
        <v>35.352913384067946</v>
      </c>
    </row>
    <row r="8" spans="1:11" ht="53.25" customHeight="1" x14ac:dyDescent="0.2">
      <c r="A8" s="7" t="s">
        <v>897</v>
      </c>
      <c r="B8" s="128">
        <f>Comps!D23</f>
        <v>92.526686086968041</v>
      </c>
      <c r="C8" s="135">
        <f>(B8+D8)/2</f>
        <v>99.678232650361139</v>
      </c>
      <c r="D8" s="128">
        <f>Comps!D22</f>
        <v>106.82977921375422</v>
      </c>
      <c r="E8" s="135">
        <f>(B8+D8)/2</f>
        <v>99.678232650361139</v>
      </c>
      <c r="F8" s="135">
        <f>D8-B8</f>
        <v>14.30309312678618</v>
      </c>
      <c r="G8" s="1" t="s">
        <v>900</v>
      </c>
      <c r="I8" s="3" t="s">
        <v>895</v>
      </c>
      <c r="J8" s="150">
        <f>B6</f>
        <v>98.954963207919647</v>
      </c>
      <c r="K8" s="150">
        <f>D6-B6</f>
        <v>46.604715379534511</v>
      </c>
    </row>
    <row r="9" spans="1:11" ht="42.75" customHeight="1" x14ac:dyDescent="0.2">
      <c r="A9" s="88" t="s">
        <v>901</v>
      </c>
      <c r="C9" s="151">
        <f>NAV!B79</f>
        <v>145</v>
      </c>
      <c r="G9" s="1" t="s">
        <v>902</v>
      </c>
      <c r="I9" s="152" t="s">
        <v>903</v>
      </c>
      <c r="J9" s="150">
        <f>C9-0.4</f>
        <v>144.6</v>
      </c>
      <c r="K9" s="150">
        <f>0.8</f>
        <v>0.8</v>
      </c>
    </row>
    <row r="15" spans="1:11" ht="15" customHeight="1" x14ac:dyDescent="0.2">
      <c r="A15" s="16" t="s">
        <v>904</v>
      </c>
      <c r="B15" s="16"/>
      <c r="C15" s="16"/>
      <c r="D15" s="16"/>
      <c r="E15" s="16"/>
      <c r="F15" s="16"/>
      <c r="G15" s="16"/>
    </row>
    <row r="16" spans="1:11" ht="15" customHeight="1" x14ac:dyDescent="0.2">
      <c r="A16" s="125" t="s">
        <v>905</v>
      </c>
      <c r="B16" s="126" t="s">
        <v>906</v>
      </c>
    </row>
    <row r="17" spans="1:7" ht="15" customHeight="1" x14ac:dyDescent="0.2">
      <c r="A17" s="7" t="s">
        <v>907</v>
      </c>
      <c r="B17" s="135">
        <f>MIN(B6:B8)</f>
        <v>92.526686086968041</v>
      </c>
    </row>
    <row r="18" spans="1:7" ht="15" customHeight="1" x14ac:dyDescent="0.2">
      <c r="A18" s="7" t="s">
        <v>908</v>
      </c>
      <c r="B18" s="135">
        <f>MAX(D6:D8)</f>
        <v>145.55967858745416</v>
      </c>
    </row>
    <row r="19" spans="1:7" ht="15" customHeight="1" x14ac:dyDescent="0.2">
      <c r="A19" s="10" t="s">
        <v>909</v>
      </c>
      <c r="B19" s="144">
        <f>AVERAGE(E6:E8)</f>
        <v>114.06007726927123</v>
      </c>
    </row>
    <row r="20" spans="1:7" ht="15" customHeight="1" x14ac:dyDescent="0.2">
      <c r="A20" s="7" t="s">
        <v>901</v>
      </c>
      <c r="B20" s="153">
        <f>C9</f>
        <v>145</v>
      </c>
    </row>
    <row r="21" spans="1:7" ht="15" customHeight="1" x14ac:dyDescent="0.2">
      <c r="A21" s="10" t="s">
        <v>910</v>
      </c>
      <c r="B21" s="148">
        <f>C9/B19-1</f>
        <v>0.27125987875395063</v>
      </c>
    </row>
    <row r="22" spans="1:7" ht="15" customHeight="1" x14ac:dyDescent="0.2">
      <c r="A22" s="7" t="s">
        <v>911</v>
      </c>
      <c r="B22" s="70">
        <f>C9/C6-1</f>
        <v>0.16534370331320081</v>
      </c>
      <c r="C22" s="70">
        <f>C9/C7-1</f>
        <v>0.17149313447831105</v>
      </c>
      <c r="D22" s="70">
        <f>C9/E8-1</f>
        <v>0.45468068749385737</v>
      </c>
      <c r="E22" s="2" t="s">
        <v>912</v>
      </c>
    </row>
    <row r="24" spans="1:7" ht="15" customHeight="1" x14ac:dyDescent="0.2">
      <c r="A24" s="16" t="s">
        <v>877</v>
      </c>
      <c r="B24" s="16"/>
      <c r="C24" s="16"/>
      <c r="D24" s="16"/>
      <c r="E24" s="16"/>
      <c r="F24" s="16"/>
      <c r="G24" s="16"/>
    </row>
    <row r="25" spans="1:7" ht="18" customHeight="1" x14ac:dyDescent="0.2">
      <c r="A25" s="2" t="s">
        <v>913</v>
      </c>
    </row>
    <row r="26" spans="1:7" ht="18" customHeight="1" x14ac:dyDescent="0.2">
      <c r="A26" s="2" t="s">
        <v>914</v>
      </c>
    </row>
    <row r="27" spans="1:7" ht="18" customHeight="1" x14ac:dyDescent="0.2">
      <c r="A27" s="2" t="s">
        <v>915</v>
      </c>
    </row>
    <row r="28" spans="1:7" ht="18" customHeight="1" x14ac:dyDescent="0.2">
      <c r="A28" s="2" t="s">
        <v>916</v>
      </c>
    </row>
  </sheetData>
  <pageMargins left="0.75" right="0.75" top="1" bottom="1"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J70"/>
  <sheetViews>
    <sheetView showGridLines="0" zoomScaleNormal="100" workbookViewId="0">
      <selection activeCell="A69" sqref="A69"/>
    </sheetView>
  </sheetViews>
  <sheetFormatPr baseColWidth="10" defaultColWidth="8.6640625" defaultRowHeight="15" x14ac:dyDescent="0.2"/>
  <cols>
    <col min="1" max="1" width="34" customWidth="1"/>
    <col min="2" max="4" width="14" customWidth="1"/>
    <col min="5" max="5" width="72" customWidth="1"/>
    <col min="7" max="10" width="12" customWidth="1"/>
  </cols>
  <sheetData>
    <row r="1" spans="1:10" ht="17.25" customHeight="1" x14ac:dyDescent="0.2">
      <c r="A1" s="4" t="s">
        <v>917</v>
      </c>
    </row>
    <row r="2" spans="1:10" ht="16.5" customHeight="1" x14ac:dyDescent="0.2">
      <c r="A2" s="19" t="s">
        <v>918</v>
      </c>
    </row>
    <row r="3" spans="1:10" ht="16.5" customHeight="1" x14ac:dyDescent="0.2">
      <c r="A3" s="154" t="s">
        <v>919</v>
      </c>
    </row>
    <row r="4" spans="1:10" ht="15" customHeight="1" x14ac:dyDescent="0.2">
      <c r="A4" s="64" t="s">
        <v>905</v>
      </c>
      <c r="B4" s="14" t="s">
        <v>424</v>
      </c>
      <c r="C4" s="14" t="s">
        <v>425</v>
      </c>
      <c r="D4" s="14" t="s">
        <v>426</v>
      </c>
      <c r="E4" s="64" t="s">
        <v>920</v>
      </c>
    </row>
    <row r="5" spans="1:10" ht="15" customHeight="1" x14ac:dyDescent="0.2">
      <c r="A5" s="16" t="s">
        <v>921</v>
      </c>
      <c r="B5" s="16"/>
      <c r="C5" s="16"/>
      <c r="D5" s="16"/>
      <c r="E5" s="16"/>
      <c r="G5" s="149" t="s">
        <v>922</v>
      </c>
      <c r="H5" s="149" t="s">
        <v>923</v>
      </c>
      <c r="I5" s="149" t="s">
        <v>924</v>
      </c>
      <c r="J5" s="149" t="s">
        <v>925</v>
      </c>
    </row>
    <row r="6" spans="1:10" ht="15" customHeight="1" x14ac:dyDescent="0.2">
      <c r="A6" s="7" t="s">
        <v>926</v>
      </c>
      <c r="B6" s="155">
        <f>Model!G17</f>
        <v>13522501.059166577</v>
      </c>
      <c r="C6" s="72">
        <v>17092091.2428394</v>
      </c>
      <c r="D6" s="72">
        <v>10999577.445282999</v>
      </c>
      <c r="E6" s="1" t="s">
        <v>927</v>
      </c>
      <c r="G6" s="156" t="s">
        <v>426</v>
      </c>
      <c r="H6" s="150">
        <f>D14</f>
        <v>98.954963207919647</v>
      </c>
      <c r="I6" s="150">
        <f>D15</f>
        <v>71.219034755310304</v>
      </c>
      <c r="J6" s="150">
        <f>$B$20</f>
        <v>145</v>
      </c>
    </row>
    <row r="7" spans="1:10" ht="15" customHeight="1" x14ac:dyDescent="0.2">
      <c r="A7" s="7" t="s">
        <v>928</v>
      </c>
      <c r="B7" s="155">
        <f>Model!G36</f>
        <v>10209488.299670765</v>
      </c>
      <c r="C7" s="72">
        <v>12989989.344558001</v>
      </c>
      <c r="D7" s="72">
        <v>8194685.1967358002</v>
      </c>
      <c r="G7" s="156" t="s">
        <v>424</v>
      </c>
      <c r="H7" s="150">
        <f>B14</f>
        <v>124.4268103802758</v>
      </c>
      <c r="I7" s="150">
        <f>B15</f>
        <v>123.77366604420722</v>
      </c>
      <c r="J7" s="150">
        <f>$B$20</f>
        <v>145</v>
      </c>
    </row>
    <row r="8" spans="1:10" ht="15" customHeight="1" x14ac:dyDescent="0.2">
      <c r="A8" s="7" t="s">
        <v>929</v>
      </c>
      <c r="B8" s="155">
        <f>Model!G72</f>
        <v>8650448.4875531774</v>
      </c>
      <c r="C8" s="72">
        <v>11556663.9773384</v>
      </c>
      <c r="D8" s="72">
        <v>6642836.9615546605</v>
      </c>
      <c r="G8" s="156" t="s">
        <v>425</v>
      </c>
      <c r="H8" s="150">
        <f>C14</f>
        <v>145.55967858745416</v>
      </c>
      <c r="I8" s="150">
        <f>C15</f>
        <v>200.99563863508601</v>
      </c>
      <c r="J8" s="150">
        <f>$B$20</f>
        <v>145</v>
      </c>
    </row>
    <row r="9" spans="1:10" ht="15" customHeight="1" x14ac:dyDescent="0.2">
      <c r="A9" s="7" t="s">
        <v>930</v>
      </c>
      <c r="B9" s="155">
        <f>Model!G76</f>
        <v>6743041.161828435</v>
      </c>
      <c r="C9" s="72">
        <v>9008441.7015763801</v>
      </c>
      <c r="D9" s="72">
        <v>5178104.1326966304</v>
      </c>
    </row>
    <row r="10" spans="1:10" ht="15" customHeight="1" x14ac:dyDescent="0.2">
      <c r="A10" s="7" t="s">
        <v>931</v>
      </c>
      <c r="B10" s="128">
        <f>Model!G73</f>
        <v>8.3924008845719626</v>
      </c>
      <c r="C10" s="122">
        <v>10.799106542255901</v>
      </c>
      <c r="D10" s="122">
        <v>6.6679194879017798</v>
      </c>
      <c r="E10" s="1" t="s">
        <v>932</v>
      </c>
    </row>
    <row r="11" spans="1:10" ht="15" customHeight="1" x14ac:dyDescent="0.2">
      <c r="A11" s="7" t="s">
        <v>933</v>
      </c>
      <c r="B11" s="128">
        <f>Model!G77</f>
        <v>6.5418925611382903</v>
      </c>
      <c r="C11" s="122">
        <v>8.4179242301920603</v>
      </c>
      <c r="D11" s="122">
        <v>5.1976560100177496</v>
      </c>
    </row>
    <row r="13" spans="1:10" ht="15" customHeight="1" x14ac:dyDescent="0.2">
      <c r="A13" s="16" t="s">
        <v>934</v>
      </c>
      <c r="B13" s="16"/>
      <c r="C13" s="16"/>
      <c r="D13" s="16"/>
      <c r="E13" s="16"/>
    </row>
    <row r="14" spans="1:10" ht="15" customHeight="1" x14ac:dyDescent="0.2">
      <c r="A14" s="7" t="s">
        <v>935</v>
      </c>
      <c r="B14" s="128">
        <f>NAV!B54</f>
        <v>124.4268103802758</v>
      </c>
      <c r="C14" s="128">
        <f>NAV!C54</f>
        <v>145.55967858745416</v>
      </c>
      <c r="D14" s="128">
        <f>NAV!D54</f>
        <v>98.954963207919647</v>
      </c>
      <c r="E14" s="1" t="s">
        <v>936</v>
      </c>
    </row>
    <row r="15" spans="1:10" ht="21.75" customHeight="1" x14ac:dyDescent="0.2">
      <c r="A15" s="7" t="s">
        <v>937</v>
      </c>
      <c r="B15" s="128">
        <f>DCF!B33</f>
        <v>123.77366604420722</v>
      </c>
      <c r="C15" s="122">
        <v>200.99563863508601</v>
      </c>
      <c r="D15" s="122">
        <v>71.219034755310304</v>
      </c>
      <c r="E15" s="1" t="s">
        <v>938</v>
      </c>
    </row>
    <row r="16" spans="1:10" ht="21.75" customHeight="1" x14ac:dyDescent="0.2">
      <c r="A16" s="7" t="s">
        <v>939</v>
      </c>
      <c r="B16" s="135">
        <f>(Comps!D22+Comps!D23)/2</f>
        <v>99.678232650361139</v>
      </c>
      <c r="C16" s="122">
        <v>102.991782758093</v>
      </c>
      <c r="D16" s="122">
        <v>94.278759270537705</v>
      </c>
      <c r="E16" s="1" t="s">
        <v>940</v>
      </c>
    </row>
    <row r="17" spans="1:5" ht="15" customHeight="1" x14ac:dyDescent="0.2">
      <c r="A17" s="10" t="s">
        <v>941</v>
      </c>
      <c r="B17" s="144">
        <f>AVERAGE(B14:B16)</f>
        <v>115.95956969161472</v>
      </c>
      <c r="C17" s="144">
        <f>AVERAGE(C14:C16)</f>
        <v>149.84903332687773</v>
      </c>
      <c r="D17" s="144">
        <f>AVERAGE(D14:D16)</f>
        <v>88.150919077922552</v>
      </c>
      <c r="E17" s="1" t="s">
        <v>942</v>
      </c>
    </row>
    <row r="19" spans="1:5" ht="15" customHeight="1" x14ac:dyDescent="0.2">
      <c r="A19" s="16" t="s">
        <v>943</v>
      </c>
      <c r="B19" s="16"/>
      <c r="C19" s="16"/>
      <c r="D19" s="16"/>
      <c r="E19" s="16"/>
    </row>
    <row r="20" spans="1:5" ht="15" customHeight="1" x14ac:dyDescent="0.2">
      <c r="A20" s="7" t="s">
        <v>694</v>
      </c>
      <c r="B20" s="128">
        <f>NAV!B79</f>
        <v>145</v>
      </c>
      <c r="C20" s="135">
        <f>B20</f>
        <v>145</v>
      </c>
      <c r="D20" s="135">
        <f>B20</f>
        <v>145</v>
      </c>
    </row>
    <row r="21" spans="1:5" ht="15" customHeight="1" x14ac:dyDescent="0.2">
      <c r="A21" s="7" t="s">
        <v>944</v>
      </c>
      <c r="B21" s="70">
        <f>B14/B20-1</f>
        <v>-0.1418840663429255</v>
      </c>
      <c r="C21" s="70">
        <f>C14/C20-1</f>
        <v>3.8598523272701524E-3</v>
      </c>
      <c r="D21" s="70">
        <f>D14/D20-1</f>
        <v>-0.3175519778764162</v>
      </c>
      <c r="E21" s="1" t="s">
        <v>945</v>
      </c>
    </row>
    <row r="22" spans="1:5" ht="15" customHeight="1" x14ac:dyDescent="0.2">
      <c r="A22" s="7" t="s">
        <v>946</v>
      </c>
      <c r="B22" s="70">
        <f>B15/B20-1</f>
        <v>-0.14638851003995024</v>
      </c>
      <c r="C22" s="70">
        <f>C15/C20-1</f>
        <v>0.38617681817300697</v>
      </c>
      <c r="D22" s="70">
        <f>D15/D20-1</f>
        <v>-0.50883424306682556</v>
      </c>
    </row>
    <row r="23" spans="1:5" ht="15" customHeight="1" x14ac:dyDescent="0.2">
      <c r="A23" s="10" t="s">
        <v>947</v>
      </c>
      <c r="B23" s="148">
        <f>B17/B20-1</f>
        <v>-0.20027882971300193</v>
      </c>
      <c r="C23" s="148">
        <f>C17/C20-1</f>
        <v>3.3441609150880902E-2</v>
      </c>
      <c r="D23" s="148">
        <f>D17/D20-1</f>
        <v>-0.39206262704881001</v>
      </c>
    </row>
    <row r="25" spans="1:5" ht="15" customHeight="1" x14ac:dyDescent="0.2">
      <c r="A25" s="16" t="s">
        <v>948</v>
      </c>
      <c r="B25" s="16"/>
      <c r="C25" s="16"/>
      <c r="D25" s="16"/>
      <c r="E25" s="16"/>
    </row>
    <row r="26" spans="1:5" ht="15" customHeight="1" x14ac:dyDescent="0.2">
      <c r="A26" s="93" t="s">
        <v>949</v>
      </c>
    </row>
    <row r="27" spans="1:5" ht="15" customHeight="1" x14ac:dyDescent="0.2">
      <c r="A27" s="7" t="s">
        <v>950</v>
      </c>
      <c r="B27" s="119">
        <f>Assumptions!C10</f>
        <v>0.95299999999999996</v>
      </c>
      <c r="C27" s="119">
        <f>Assumptions!D10</f>
        <v>0.95699999999999996</v>
      </c>
      <c r="D27" s="119">
        <f>Assumptions!E10</f>
        <v>0.93500000000000005</v>
      </c>
    </row>
    <row r="28" spans="1:5" ht="15" customHeight="1" x14ac:dyDescent="0.2">
      <c r="A28" s="7" t="s">
        <v>951</v>
      </c>
      <c r="B28" s="119">
        <f>Assumptions!C11</f>
        <v>0.03</v>
      </c>
      <c r="C28" s="119">
        <f>Assumptions!D11</f>
        <v>0.06</v>
      </c>
      <c r="D28" s="119">
        <f>Assumptions!E11</f>
        <v>-0.01</v>
      </c>
    </row>
    <row r="29" spans="1:5" ht="15" customHeight="1" x14ac:dyDescent="0.2">
      <c r="A29" s="7" t="s">
        <v>450</v>
      </c>
      <c r="B29" s="119">
        <f>Assumptions!C21</f>
        <v>0.77</v>
      </c>
      <c r="C29" s="119">
        <f>Assumptions!D21</f>
        <v>0.8</v>
      </c>
      <c r="D29" s="119">
        <f>Assumptions!E21</f>
        <v>0.72</v>
      </c>
    </row>
    <row r="30" spans="1:5" ht="15" customHeight="1" x14ac:dyDescent="0.2">
      <c r="A30" s="7" t="s">
        <v>952</v>
      </c>
      <c r="B30" s="119">
        <f>Assumptions!C20</f>
        <v>0.13</v>
      </c>
      <c r="C30" s="119">
        <f>Assumptions!D20</f>
        <v>0.15</v>
      </c>
      <c r="D30" s="119">
        <f>Assumptions!E20</f>
        <v>0.11</v>
      </c>
    </row>
    <row r="31" spans="1:5" ht="15" customHeight="1" x14ac:dyDescent="0.2">
      <c r="A31" s="93" t="s">
        <v>953</v>
      </c>
    </row>
    <row r="32" spans="1:5" ht="15" customHeight="1" x14ac:dyDescent="0.2">
      <c r="A32" s="7" t="s">
        <v>954</v>
      </c>
      <c r="B32" s="155">
        <f>Assumptions!C25</f>
        <v>4000</v>
      </c>
      <c r="C32" s="155">
        <f>Assumptions!D25</f>
        <v>5500</v>
      </c>
      <c r="D32" s="155">
        <f>Assumptions!E25</f>
        <v>2500</v>
      </c>
    </row>
    <row r="33" spans="1:5" ht="15" customHeight="1" x14ac:dyDescent="0.2">
      <c r="A33" s="7" t="s">
        <v>955</v>
      </c>
      <c r="B33" s="155">
        <f>Assumptions!C29</f>
        <v>1300</v>
      </c>
      <c r="C33" s="155">
        <f>Assumptions!D29</f>
        <v>2500</v>
      </c>
      <c r="D33" s="155">
        <f>Assumptions!E29</f>
        <v>500</v>
      </c>
    </row>
    <row r="34" spans="1:5" ht="15" customHeight="1" x14ac:dyDescent="0.2">
      <c r="A34" s="7" t="s">
        <v>956</v>
      </c>
      <c r="B34" s="107">
        <f>Assumptions!C27</f>
        <v>6.5000000000000002E-2</v>
      </c>
      <c r="C34" s="107">
        <f>Assumptions!D27</f>
        <v>7.4999999999999997E-2</v>
      </c>
      <c r="D34" s="107">
        <f>Assumptions!E27</f>
        <v>5.5E-2</v>
      </c>
    </row>
    <row r="35" spans="1:5" ht="15" customHeight="1" x14ac:dyDescent="0.2">
      <c r="A35" s="7" t="s">
        <v>957</v>
      </c>
      <c r="B35" s="107">
        <f>Assumptions!C31</f>
        <v>0.08</v>
      </c>
      <c r="C35" s="107">
        <f>Assumptions!D31</f>
        <v>0.09</v>
      </c>
      <c r="D35" s="107">
        <f>Assumptions!E31</f>
        <v>6.5000000000000002E-2</v>
      </c>
    </row>
    <row r="36" spans="1:5" ht="15" customHeight="1" x14ac:dyDescent="0.2">
      <c r="A36" s="93" t="s">
        <v>958</v>
      </c>
    </row>
    <row r="37" spans="1:5" ht="15" customHeight="1" x14ac:dyDescent="0.2">
      <c r="A37" s="7" t="s">
        <v>959</v>
      </c>
      <c r="B37" s="107">
        <f>Assumptions!C45</f>
        <v>0.05</v>
      </c>
      <c r="C37" s="107">
        <f>Assumptions!D45</f>
        <v>4.2500000000000003E-2</v>
      </c>
      <c r="D37" s="107">
        <f>Assumptions!E45</f>
        <v>0.06</v>
      </c>
    </row>
    <row r="38" spans="1:5" ht="15" customHeight="1" x14ac:dyDescent="0.2">
      <c r="A38" s="7" t="s">
        <v>960</v>
      </c>
      <c r="B38" s="157">
        <f>Assumptions!C46</f>
        <v>4.8</v>
      </c>
      <c r="C38" s="157">
        <f>Assumptions!D46</f>
        <v>4.5</v>
      </c>
      <c r="D38" s="157">
        <f>Assumptions!E46</f>
        <v>5.5</v>
      </c>
    </row>
    <row r="39" spans="1:5" ht="15" customHeight="1" x14ac:dyDescent="0.2">
      <c r="A39" s="93" t="s">
        <v>961</v>
      </c>
    </row>
    <row r="40" spans="1:5" ht="15" customHeight="1" x14ac:dyDescent="0.2">
      <c r="A40" s="7" t="s">
        <v>962</v>
      </c>
      <c r="B40" s="107">
        <f>Assumptions!C61</f>
        <v>0.05</v>
      </c>
      <c r="C40" s="107">
        <f>Assumptions!D61</f>
        <v>4.4999999999999998E-2</v>
      </c>
      <c r="D40" s="107">
        <f>Assumptions!E61</f>
        <v>5.8000000000000003E-2</v>
      </c>
    </row>
    <row r="41" spans="1:5" ht="15" customHeight="1" x14ac:dyDescent="0.2">
      <c r="A41" s="7" t="s">
        <v>963</v>
      </c>
      <c r="B41" s="107">
        <f>Assumptions!C59</f>
        <v>7.4999999999999997E-2</v>
      </c>
      <c r="C41" s="107">
        <f>Assumptions!D59</f>
        <v>7.0000000000000007E-2</v>
      </c>
      <c r="D41" s="107">
        <f>Assumptions!E59</f>
        <v>8.5000000000000006E-2</v>
      </c>
    </row>
    <row r="42" spans="1:5" ht="15" customHeight="1" x14ac:dyDescent="0.2">
      <c r="A42" s="7" t="s">
        <v>964</v>
      </c>
      <c r="B42" s="107">
        <f>Assumptions!C62</f>
        <v>2.5000000000000001E-2</v>
      </c>
      <c r="C42" s="107">
        <f>Assumptions!D62</f>
        <v>0.03</v>
      </c>
      <c r="D42" s="107">
        <f>Assumptions!E62</f>
        <v>1.4999999999999999E-2</v>
      </c>
    </row>
    <row r="44" spans="1:5" ht="15" customHeight="1" x14ac:dyDescent="0.2">
      <c r="A44" s="16" t="s">
        <v>965</v>
      </c>
      <c r="B44" s="16"/>
      <c r="C44" s="16"/>
      <c r="D44" s="16"/>
      <c r="E44" s="16"/>
    </row>
    <row r="45" spans="1:5" ht="18.75" customHeight="1" x14ac:dyDescent="0.2">
      <c r="A45" s="158" t="s">
        <v>966</v>
      </c>
      <c r="B45" s="169" t="s">
        <v>967</v>
      </c>
      <c r="C45" s="169"/>
      <c r="D45" s="169"/>
      <c r="E45" s="169"/>
    </row>
    <row r="46" spans="1:5" ht="19.5" customHeight="1" x14ac:dyDescent="0.2">
      <c r="A46" s="159" t="s">
        <v>968</v>
      </c>
      <c r="B46" s="169" t="s">
        <v>969</v>
      </c>
      <c r="C46" s="169"/>
      <c r="D46" s="169"/>
      <c r="E46" s="169"/>
    </row>
    <row r="47" spans="1:5" ht="19.5" customHeight="1" x14ac:dyDescent="0.2">
      <c r="A47" s="160" t="s">
        <v>970</v>
      </c>
      <c r="B47" s="169" t="s">
        <v>971</v>
      </c>
      <c r="C47" s="169"/>
      <c r="D47" s="169"/>
      <c r="E47" s="169"/>
    </row>
    <row r="49" spans="1:5" ht="15" customHeight="1" x14ac:dyDescent="0.2">
      <c r="A49" s="16" t="s">
        <v>972</v>
      </c>
      <c r="B49" s="16"/>
      <c r="C49" s="16"/>
      <c r="D49" s="16"/>
      <c r="E49" s="16"/>
    </row>
    <row r="68" spans="1:5" ht="15" customHeight="1" x14ac:dyDescent="0.2">
      <c r="A68" s="16" t="s">
        <v>973</v>
      </c>
      <c r="B68" s="16"/>
      <c r="C68" s="16"/>
      <c r="D68" s="16"/>
      <c r="E68" s="16"/>
    </row>
    <row r="69" spans="1:5" ht="45.75" customHeight="1" x14ac:dyDescent="0.2">
      <c r="A69" s="1" t="s">
        <v>974</v>
      </c>
    </row>
    <row r="70" spans="1:5" ht="45.75" customHeight="1" x14ac:dyDescent="0.2">
      <c r="A70" s="1" t="s">
        <v>975</v>
      </c>
    </row>
  </sheetData>
  <mergeCells count="3">
    <mergeCell ref="B45:E45"/>
    <mergeCell ref="B46:E46"/>
    <mergeCell ref="B47:E47"/>
  </mergeCells>
  <pageMargins left="0.75" right="0.75" top="1" bottom="1" header="0.511811023622047" footer="0.511811023622047"/>
  <pageSetup paperSize="9" orientation="portrait"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E47"/>
  <sheetViews>
    <sheetView showGridLines="0" topLeftCell="A33" zoomScaleNormal="100" workbookViewId="0">
      <selection activeCell="C2" sqref="C2"/>
    </sheetView>
  </sheetViews>
  <sheetFormatPr baseColWidth="10" defaultColWidth="8.6640625" defaultRowHeight="15" x14ac:dyDescent="0.2"/>
  <cols>
    <col min="1" max="1" width="40" customWidth="1"/>
    <col min="2" max="4" width="15" customWidth="1"/>
    <col min="5" max="5" width="60" customWidth="1"/>
  </cols>
  <sheetData>
    <row r="1" spans="1:5" ht="18.75" customHeight="1" x14ac:dyDescent="0.2">
      <c r="A1" s="161" t="s">
        <v>976</v>
      </c>
    </row>
    <row r="2" spans="1:5" ht="27.75" customHeight="1" x14ac:dyDescent="0.2">
      <c r="A2" s="105" t="s">
        <v>977</v>
      </c>
    </row>
    <row r="4" spans="1:5" x14ac:dyDescent="0.2">
      <c r="A4" s="162" t="s">
        <v>978</v>
      </c>
      <c r="B4" s="162"/>
      <c r="C4" s="162"/>
      <c r="D4" s="162"/>
      <c r="E4" s="162"/>
    </row>
    <row r="5" spans="1:5" x14ac:dyDescent="0.2">
      <c r="A5" s="163" t="s">
        <v>979</v>
      </c>
    </row>
    <row r="6" spans="1:5" ht="30" customHeight="1" x14ac:dyDescent="0.2">
      <c r="A6" s="10" t="s">
        <v>980</v>
      </c>
      <c r="B6" s="171" t="s">
        <v>981</v>
      </c>
      <c r="C6" s="171"/>
      <c r="D6" s="171"/>
      <c r="E6" s="171"/>
    </row>
    <row r="7" spans="1:5" ht="30" customHeight="1" x14ac:dyDescent="0.2">
      <c r="A7" s="10" t="s">
        <v>982</v>
      </c>
      <c r="B7" s="171" t="s">
        <v>983</v>
      </c>
      <c r="C7" s="171"/>
      <c r="D7" s="171"/>
      <c r="E7" s="171"/>
    </row>
    <row r="8" spans="1:5" ht="30" customHeight="1" x14ac:dyDescent="0.2">
      <c r="A8" s="10" t="s">
        <v>984</v>
      </c>
      <c r="B8" s="171" t="s">
        <v>985</v>
      </c>
      <c r="C8" s="171"/>
      <c r="D8" s="171"/>
      <c r="E8" s="171"/>
    </row>
    <row r="9" spans="1:5" x14ac:dyDescent="0.2">
      <c r="A9" s="88" t="s">
        <v>986</v>
      </c>
    </row>
    <row r="10" spans="1:5" ht="30" customHeight="1" x14ac:dyDescent="0.2">
      <c r="A10" s="10" t="s">
        <v>987</v>
      </c>
      <c r="B10" s="171" t="s">
        <v>988</v>
      </c>
      <c r="C10" s="171"/>
      <c r="D10" s="171"/>
      <c r="E10" s="171"/>
    </row>
    <row r="11" spans="1:5" ht="30" customHeight="1" x14ac:dyDescent="0.2">
      <c r="A11" s="10" t="s">
        <v>989</v>
      </c>
      <c r="B11" s="171" t="s">
        <v>990</v>
      </c>
      <c r="C11" s="171"/>
      <c r="D11" s="171"/>
      <c r="E11" s="171"/>
    </row>
    <row r="12" spans="1:5" ht="30" customHeight="1" x14ac:dyDescent="0.2">
      <c r="A12" s="10" t="s">
        <v>991</v>
      </c>
      <c r="B12" s="171" t="s">
        <v>992</v>
      </c>
      <c r="C12" s="171"/>
      <c r="D12" s="171"/>
      <c r="E12" s="171"/>
    </row>
    <row r="13" spans="1:5" x14ac:dyDescent="0.2">
      <c r="A13" s="93" t="s">
        <v>993</v>
      </c>
    </row>
    <row r="14" spans="1:5" ht="30" customHeight="1" x14ac:dyDescent="0.2">
      <c r="A14" s="10" t="s">
        <v>994</v>
      </c>
      <c r="B14" s="171" t="s">
        <v>995</v>
      </c>
      <c r="C14" s="171"/>
      <c r="D14" s="171"/>
      <c r="E14" s="171"/>
    </row>
    <row r="15" spans="1:5" ht="30" customHeight="1" x14ac:dyDescent="0.2">
      <c r="A15" s="10" t="s">
        <v>996</v>
      </c>
      <c r="B15" s="171" t="s">
        <v>997</v>
      </c>
      <c r="C15" s="171"/>
      <c r="D15" s="171"/>
      <c r="E15" s="171"/>
    </row>
    <row r="16" spans="1:5" ht="30" customHeight="1" x14ac:dyDescent="0.2">
      <c r="A16" s="10" t="s">
        <v>998</v>
      </c>
      <c r="B16" s="171" t="s">
        <v>999</v>
      </c>
      <c r="C16" s="171"/>
      <c r="D16" s="171"/>
      <c r="E16" s="171"/>
    </row>
    <row r="18" spans="1:5" x14ac:dyDescent="0.2">
      <c r="A18" s="162" t="s">
        <v>934</v>
      </c>
      <c r="B18" s="162"/>
      <c r="C18" s="162"/>
      <c r="D18" s="162"/>
      <c r="E18" s="162"/>
    </row>
    <row r="19" spans="1:5" x14ac:dyDescent="0.2">
      <c r="A19" s="64" t="s">
        <v>889</v>
      </c>
      <c r="B19" s="14" t="s">
        <v>1000</v>
      </c>
      <c r="C19" s="14" t="s">
        <v>424</v>
      </c>
      <c r="D19" s="14" t="s">
        <v>1001</v>
      </c>
      <c r="E19" s="14" t="s">
        <v>53</v>
      </c>
    </row>
    <row r="20" spans="1:5" x14ac:dyDescent="0.2">
      <c r="A20" s="7" t="s">
        <v>895</v>
      </c>
      <c r="B20" s="128">
        <f>NAV!D54</f>
        <v>98.954963207919647</v>
      </c>
      <c r="C20" s="147">
        <f>NAV!B54</f>
        <v>124.4268103802758</v>
      </c>
      <c r="D20" s="128">
        <f>NAV!C54</f>
        <v>145.55967858745416</v>
      </c>
      <c r="E20" s="1" t="s">
        <v>1002</v>
      </c>
    </row>
    <row r="21" spans="1:5" x14ac:dyDescent="0.2">
      <c r="A21" s="7" t="s">
        <v>898</v>
      </c>
      <c r="C21" s="147">
        <f>DCF!B33</f>
        <v>123.77366604420722</v>
      </c>
      <c r="E21" s="1" t="s">
        <v>1003</v>
      </c>
    </row>
    <row r="22" spans="1:5" x14ac:dyDescent="0.2">
      <c r="A22" s="7" t="s">
        <v>897</v>
      </c>
      <c r="B22" s="128">
        <f>Comps!D23</f>
        <v>92.526686086968041</v>
      </c>
      <c r="C22" s="147">
        <f>(Comps!D22+Comps!D23)/2</f>
        <v>99.678232650361139</v>
      </c>
      <c r="D22" s="128">
        <f>Comps!D22</f>
        <v>106.82977921375422</v>
      </c>
      <c r="E22" s="1" t="s">
        <v>1004</v>
      </c>
    </row>
    <row r="23" spans="1:5" x14ac:dyDescent="0.2">
      <c r="A23" s="7" t="s">
        <v>1005</v>
      </c>
      <c r="B23" s="128">
        <f>Football_Field!B17</f>
        <v>92.526686086968041</v>
      </c>
      <c r="C23" s="147">
        <f>Football_Field!B19</f>
        <v>114.06007726927123</v>
      </c>
      <c r="D23" s="128">
        <f>Football_Field!B18</f>
        <v>145.55967858745416</v>
      </c>
      <c r="E23" s="1" t="s">
        <v>1006</v>
      </c>
    </row>
    <row r="24" spans="1:5" x14ac:dyDescent="0.2">
      <c r="A24" s="10" t="s">
        <v>901</v>
      </c>
      <c r="C24" s="151">
        <f>NAV!B79</f>
        <v>145</v>
      </c>
      <c r="E24" s="1" t="s">
        <v>1007</v>
      </c>
    </row>
    <row r="26" spans="1:5" x14ac:dyDescent="0.2">
      <c r="A26" s="162" t="s">
        <v>1008</v>
      </c>
      <c r="B26" s="162"/>
      <c r="C26" s="162"/>
      <c r="D26" s="162"/>
      <c r="E26" s="162"/>
    </row>
    <row r="27" spans="1:5" x14ac:dyDescent="0.2">
      <c r="A27" s="64" t="s">
        <v>1009</v>
      </c>
      <c r="B27" s="14" t="s">
        <v>1010</v>
      </c>
      <c r="C27" s="14" t="s">
        <v>1011</v>
      </c>
      <c r="D27" s="14" t="s">
        <v>1012</v>
      </c>
      <c r="E27" s="14" t="s">
        <v>1013</v>
      </c>
    </row>
    <row r="28" spans="1:5" x14ac:dyDescent="0.2">
      <c r="A28" s="10" t="s">
        <v>426</v>
      </c>
      <c r="B28" s="128">
        <f>Scenarios!D17</f>
        <v>88.150919077922552</v>
      </c>
      <c r="C28" s="164">
        <v>0.25</v>
      </c>
      <c r="D28" s="135">
        <f>B28*C28</f>
        <v>22.037729769480638</v>
      </c>
      <c r="E28" s="1" t="s">
        <v>1014</v>
      </c>
    </row>
    <row r="29" spans="1:5" x14ac:dyDescent="0.2">
      <c r="A29" s="10" t="s">
        <v>424</v>
      </c>
      <c r="B29" s="128">
        <f>Scenarios!B17</f>
        <v>115.95956969161472</v>
      </c>
      <c r="C29" s="164">
        <v>0.5</v>
      </c>
      <c r="D29" s="135">
        <f>B29*C29</f>
        <v>57.979784845807359</v>
      </c>
      <c r="E29" s="1" t="s">
        <v>1015</v>
      </c>
    </row>
    <row r="30" spans="1:5" x14ac:dyDescent="0.2">
      <c r="A30" s="10" t="s">
        <v>425</v>
      </c>
      <c r="B30" s="128">
        <f>Scenarios!C17</f>
        <v>149.84903332687773</v>
      </c>
      <c r="C30" s="164">
        <v>0.25</v>
      </c>
      <c r="D30" s="135">
        <f>B30*C30</f>
        <v>37.462258331719433</v>
      </c>
      <c r="E30" s="1" t="s">
        <v>1016</v>
      </c>
    </row>
    <row r="31" spans="1:5" x14ac:dyDescent="0.2">
      <c r="A31" s="10" t="s">
        <v>1017</v>
      </c>
      <c r="C31" s="165">
        <f>SUM(C28:C30)</f>
        <v>1</v>
      </c>
      <c r="D31" s="166">
        <f>SUM(D28:D30)</f>
        <v>117.47977294700743</v>
      </c>
    </row>
    <row r="32" spans="1:5" x14ac:dyDescent="0.2">
      <c r="A32" s="2" t="s">
        <v>1018</v>
      </c>
      <c r="D32" s="167">
        <f>Scenarios!D14*C28+Scenarios!B14*C29+Scenarios!C14*C30</f>
        <v>123.34206563898135</v>
      </c>
    </row>
    <row r="33" spans="1:5" ht="39.75" customHeight="1" x14ac:dyDescent="0.2">
      <c r="A33" s="10" t="s">
        <v>1019</v>
      </c>
      <c r="D33" s="148">
        <f>D31/C24-1</f>
        <v>-0.18979466933098321</v>
      </c>
      <c r="E33" s="1" t="s">
        <v>1020</v>
      </c>
    </row>
    <row r="35" spans="1:5" x14ac:dyDescent="0.2">
      <c r="A35" s="162" t="s">
        <v>1021</v>
      </c>
      <c r="B35" s="162"/>
      <c r="C35" s="162"/>
      <c r="D35" s="162"/>
      <c r="E35" s="162"/>
    </row>
    <row r="36" spans="1:5" x14ac:dyDescent="0.2">
      <c r="A36" s="64" t="s">
        <v>905</v>
      </c>
      <c r="B36" s="14" t="s">
        <v>424</v>
      </c>
      <c r="C36" s="14" t="s">
        <v>425</v>
      </c>
      <c r="D36" s="14" t="s">
        <v>426</v>
      </c>
      <c r="E36" s="14" t="s">
        <v>53</v>
      </c>
    </row>
    <row r="37" spans="1:5" x14ac:dyDescent="0.2">
      <c r="A37" s="7" t="s">
        <v>926</v>
      </c>
      <c r="B37" s="155">
        <f>Scenarios!B6</f>
        <v>13522501.059166577</v>
      </c>
      <c r="C37" s="155">
        <f>Scenarios!C6</f>
        <v>17092091.2428394</v>
      </c>
      <c r="D37" s="155">
        <f>Scenarios!D6</f>
        <v>10999577.445282999</v>
      </c>
      <c r="E37" s="1" t="s">
        <v>1022</v>
      </c>
    </row>
    <row r="38" spans="1:5" x14ac:dyDescent="0.2">
      <c r="A38" s="7" t="s">
        <v>928</v>
      </c>
      <c r="B38" s="155">
        <f>Scenarios!B7</f>
        <v>10209488.299670765</v>
      </c>
      <c r="C38" s="155">
        <f>Scenarios!C7</f>
        <v>12989989.344558001</v>
      </c>
      <c r="D38" s="155">
        <f>Scenarios!D7</f>
        <v>8194685.1967358002</v>
      </c>
      <c r="E38" s="1" t="s">
        <v>1022</v>
      </c>
    </row>
    <row r="39" spans="1:5" x14ac:dyDescent="0.2">
      <c r="A39" s="7" t="s">
        <v>931</v>
      </c>
      <c r="B39" s="128">
        <f>Scenarios!B10</f>
        <v>8.3924008845719626</v>
      </c>
      <c r="C39" s="128">
        <f>Scenarios!C10</f>
        <v>10.799106542255901</v>
      </c>
      <c r="D39" s="128">
        <f>Scenarios!D10</f>
        <v>6.6679194879017798</v>
      </c>
      <c r="E39" s="1" t="s">
        <v>1022</v>
      </c>
    </row>
    <row r="40" spans="1:5" x14ac:dyDescent="0.2">
      <c r="A40" s="7" t="s">
        <v>933</v>
      </c>
      <c r="B40" s="128">
        <f>Scenarios!B11</f>
        <v>6.5418925611382903</v>
      </c>
      <c r="C40" s="128">
        <f>Scenarios!C11</f>
        <v>8.4179242301920603</v>
      </c>
      <c r="D40" s="128">
        <f>Scenarios!D11</f>
        <v>5.1976560100177496</v>
      </c>
      <c r="E40" s="1" t="s">
        <v>1022</v>
      </c>
    </row>
    <row r="41" spans="1:5" x14ac:dyDescent="0.2">
      <c r="A41" s="7" t="s">
        <v>1023</v>
      </c>
      <c r="B41" s="157">
        <f>Model!G65</f>
        <v>4.9695157358244861</v>
      </c>
      <c r="C41" s="157">
        <f>Assumptions!D46</f>
        <v>4.5</v>
      </c>
      <c r="D41" s="157">
        <f>Assumptions!E46</f>
        <v>5.5</v>
      </c>
      <c r="E41" s="1" t="s">
        <v>1024</v>
      </c>
    </row>
    <row r="43" spans="1:5" x14ac:dyDescent="0.2">
      <c r="A43" s="162" t="s">
        <v>1025</v>
      </c>
      <c r="B43" s="162"/>
      <c r="C43" s="162"/>
      <c r="D43" s="162"/>
      <c r="E43" s="162"/>
    </row>
    <row r="44" spans="1:5" ht="42" customHeight="1" x14ac:dyDescent="0.2">
      <c r="A44" s="93" t="s">
        <v>1026</v>
      </c>
      <c r="B44" s="170" t="s">
        <v>1027</v>
      </c>
      <c r="C44" s="170"/>
      <c r="D44" s="170"/>
      <c r="E44" s="170"/>
    </row>
    <row r="45" spans="1:5" ht="42" customHeight="1" x14ac:dyDescent="0.2">
      <c r="A45" s="93" t="s">
        <v>1028</v>
      </c>
      <c r="B45" s="170" t="s">
        <v>1029</v>
      </c>
      <c r="C45" s="170"/>
      <c r="D45" s="170"/>
      <c r="E45" s="170"/>
    </row>
    <row r="46" spans="1:5" ht="42" customHeight="1" x14ac:dyDescent="0.2">
      <c r="A46" s="93" t="s">
        <v>1030</v>
      </c>
      <c r="B46" s="170" t="s">
        <v>1031</v>
      </c>
      <c r="C46" s="170"/>
      <c r="D46" s="170"/>
      <c r="E46" s="170"/>
    </row>
    <row r="47" spans="1:5" ht="42" customHeight="1" x14ac:dyDescent="0.2">
      <c r="A47" s="93" t="s">
        <v>1032</v>
      </c>
      <c r="B47" s="170" t="s">
        <v>1033</v>
      </c>
      <c r="C47" s="170"/>
      <c r="D47" s="170"/>
      <c r="E47" s="170"/>
    </row>
  </sheetData>
  <mergeCells count="13">
    <mergeCell ref="B6:E6"/>
    <mergeCell ref="B7:E7"/>
    <mergeCell ref="B8:E8"/>
    <mergeCell ref="B10:E10"/>
    <mergeCell ref="B11:E11"/>
    <mergeCell ref="B45:E45"/>
    <mergeCell ref="B46:E46"/>
    <mergeCell ref="B47:E47"/>
    <mergeCell ref="B12:E12"/>
    <mergeCell ref="B14:E14"/>
    <mergeCell ref="B15:E15"/>
    <mergeCell ref="B16:E16"/>
    <mergeCell ref="B44:E4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Cover</vt:lpstr>
      <vt:lpstr>ReadMe</vt:lpstr>
      <vt:lpstr>Data_Collection</vt:lpstr>
      <vt:lpstr>Historicals</vt:lpstr>
      <vt:lpstr>FFO_Recon</vt:lpstr>
      <vt:lpstr>Drivers</vt:lpstr>
      <vt:lpstr>Development</vt:lpstr>
      <vt:lpstr>Strategic_Capital</vt:lpstr>
      <vt:lpstr>Capital_Deployment</vt:lpstr>
      <vt:lpstr>Debt</vt:lpstr>
      <vt:lpstr>Share_Count</vt:lpstr>
      <vt:lpstr>Audit</vt:lpstr>
      <vt:lpstr>Assumptions</vt:lpstr>
      <vt:lpstr>Model</vt:lpstr>
      <vt:lpstr>DCF</vt:lpstr>
      <vt:lpstr>NAV</vt:lpstr>
      <vt:lpstr>Comps</vt:lpstr>
      <vt:lpstr>Football_Field</vt:lpstr>
      <vt:lpstr>Scenarios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Sheikh, Muhammed T</cp:lastModifiedBy>
  <cp:revision>7</cp:revision>
  <dcterms:created xsi:type="dcterms:W3CDTF">2026-06-13T04:59:11Z</dcterms:created>
  <dcterms:modified xsi:type="dcterms:W3CDTF">2026-06-19T18:48:43Z</dcterms:modified>
  <dc:language>en-US</dc:language>
</cp:coreProperties>
</file>