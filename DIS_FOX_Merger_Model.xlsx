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abishsheikh/Downloads/"/>
    </mc:Choice>
  </mc:AlternateContent>
  <xr:revisionPtr revIDLastSave="0" documentId="13_ncr:1_{5D3459BD-18FF-1448-BAA0-11FB2E6AAEC2}" xr6:coauthVersionLast="47" xr6:coauthVersionMax="47" xr10:uidLastSave="{00000000-0000-0000-0000-000000000000}"/>
  <bookViews>
    <workbookView xWindow="0" yWindow="780" windowWidth="34200" windowHeight="19900" tabRatio="500" activeTab="20" xr2:uid="{00000000-000D-0000-FFFF-FFFF00000000}"/>
  </bookViews>
  <sheets>
    <sheet name="COVER" sheetId="1" r:id="rId1"/>
    <sheet name="README" sheetId="2" r:id="rId2"/>
    <sheet name="CONTROL" sheetId="3" r:id="rId3"/>
    <sheet name="ASSUMPTIONS" sheetId="4" r:id="rId4"/>
    <sheet name="DIS_HIST" sheetId="5" r:id="rId5"/>
    <sheet name="DIS_PROJ" sheetId="6" r:id="rId6"/>
    <sheet name="FOX_HIST" sheetId="7" r:id="rId7"/>
    <sheet name="FOX_PROJ" sheetId="8" r:id="rId8"/>
    <sheet name="S&amp;U" sheetId="9" r:id="rId9"/>
    <sheet name="PPA" sheetId="10" r:id="rId10"/>
    <sheet name="PPA_DA" sheetId="11" r:id="rId11"/>
    <sheet name="SYNERGIES" sheetId="12" r:id="rId12"/>
    <sheet name="DEBT" sheetId="13" r:id="rId13"/>
    <sheet name="HULU" sheetId="14" state="hidden" r:id="rId14"/>
    <sheet name="RSN" sheetId="15" state="hidden" r:id="rId15"/>
    <sheet name="PF_IS" sheetId="16" r:id="rId16"/>
    <sheet name="PF_BS" sheetId="17" state="hidden" r:id="rId17"/>
    <sheet name="PF_CF" sheetId="18" state="hidden" r:id="rId18"/>
    <sheet name="ACCR_DIL" sheetId="19" r:id="rId19"/>
    <sheet name="SENS" sheetId="20" r:id="rId20"/>
    <sheet name="OUTPUT" sheetId="21" r:id="rId2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6" i="20" l="1"/>
  <c r="D45" i="20"/>
  <c r="D44" i="20"/>
  <c r="D43" i="20"/>
  <c r="D42" i="20"/>
  <c r="D41" i="20"/>
  <c r="D18" i="21"/>
  <c r="C18" i="21"/>
  <c r="C17" i="21"/>
  <c r="C16" i="21"/>
  <c r="C15" i="21"/>
  <c r="C14" i="21"/>
  <c r="C13" i="21"/>
  <c r="C8" i="21"/>
  <c r="G48" i="16"/>
  <c r="F48" i="16"/>
  <c r="E48" i="16"/>
  <c r="D48" i="16"/>
  <c r="B6" i="15"/>
  <c r="B5" i="15"/>
  <c r="B10" i="14"/>
  <c r="B7" i="14"/>
  <c r="B6" i="14"/>
  <c r="B5" i="14"/>
  <c r="B8" i="14" s="1"/>
  <c r="G22" i="13"/>
  <c r="F22" i="13"/>
  <c r="E22" i="13"/>
  <c r="D22" i="13"/>
  <c r="C22" i="13"/>
  <c r="C16" i="13"/>
  <c r="B7" i="13"/>
  <c r="B32" i="12"/>
  <c r="G12" i="12"/>
  <c r="F12" i="12"/>
  <c r="B33" i="12" s="1"/>
  <c r="E12" i="12"/>
  <c r="D12" i="12"/>
  <c r="C12" i="12"/>
  <c r="G11" i="12"/>
  <c r="F11" i="12"/>
  <c r="E11" i="12"/>
  <c r="D11" i="12"/>
  <c r="C11" i="12"/>
  <c r="B8" i="12"/>
  <c r="B7" i="12"/>
  <c r="B6" i="12"/>
  <c r="B17" i="11"/>
  <c r="B11" i="11"/>
  <c r="B10" i="11"/>
  <c r="B8" i="11"/>
  <c r="B6" i="11"/>
  <c r="B33" i="10"/>
  <c r="B9" i="14" s="1"/>
  <c r="B31" i="10"/>
  <c r="B7" i="10"/>
  <c r="B6" i="10"/>
  <c r="B21" i="10" s="1"/>
  <c r="B23" i="10" s="1"/>
  <c r="C35" i="9"/>
  <c r="B35" i="9"/>
  <c r="B34" i="9"/>
  <c r="D9" i="21" s="1"/>
  <c r="B31" i="9"/>
  <c r="C48" i="16" s="1"/>
  <c r="B30" i="9"/>
  <c r="B32" i="9" s="1"/>
  <c r="B33" i="9" s="1"/>
  <c r="C9" i="21" s="1"/>
  <c r="B26" i="9"/>
  <c r="B25" i="9"/>
  <c r="B22" i="9"/>
  <c r="B21" i="9"/>
  <c r="B20" i="9"/>
  <c r="B19" i="9"/>
  <c r="B17" i="9"/>
  <c r="B16" i="9"/>
  <c r="B18" i="9" s="1"/>
  <c r="B6" i="13" s="1"/>
  <c r="B8" i="13" s="1"/>
  <c r="C48" i="13" s="1"/>
  <c r="B11" i="9"/>
  <c r="G22" i="21" s="1"/>
  <c r="B10" i="9"/>
  <c r="G23" i="21" s="1"/>
  <c r="B6" i="9"/>
  <c r="C23" i="21" s="1"/>
  <c r="B5" i="9"/>
  <c r="C22" i="21" s="1"/>
  <c r="B53" i="8"/>
  <c r="B51" i="8"/>
  <c r="B50" i="8"/>
  <c r="G49" i="8"/>
  <c r="B34" i="8"/>
  <c r="B31" i="8"/>
  <c r="B29" i="8"/>
  <c r="B48" i="8" s="1"/>
  <c r="B26" i="8"/>
  <c r="B25" i="8"/>
  <c r="B24" i="8"/>
  <c r="F22" i="8"/>
  <c r="F49" i="8" s="1"/>
  <c r="E22" i="8"/>
  <c r="D22" i="8"/>
  <c r="C22" i="8"/>
  <c r="C49" i="8" s="1"/>
  <c r="B22" i="8"/>
  <c r="G22" i="8" s="1"/>
  <c r="B21" i="8"/>
  <c r="B18" i="8"/>
  <c r="B17" i="8"/>
  <c r="B42" i="8" s="1"/>
  <c r="B10" i="8"/>
  <c r="B55" i="8" s="1"/>
  <c r="B9" i="8"/>
  <c r="B7" i="8"/>
  <c r="D52" i="7"/>
  <c r="C52" i="7"/>
  <c r="B52" i="7"/>
  <c r="D46" i="7"/>
  <c r="D47" i="7" s="1"/>
  <c r="C46" i="7"/>
  <c r="C47" i="7" s="1"/>
  <c r="B46" i="7"/>
  <c r="B47" i="7" s="1"/>
  <c r="D32" i="7"/>
  <c r="C32" i="7"/>
  <c r="B32" i="7"/>
  <c r="D31" i="7"/>
  <c r="C31" i="7"/>
  <c r="B31" i="7"/>
  <c r="D9" i="7"/>
  <c r="C9" i="7"/>
  <c r="C12" i="7" s="1"/>
  <c r="C17" i="7" s="1"/>
  <c r="C19" i="7" s="1"/>
  <c r="C21" i="7" s="1"/>
  <c r="C25" i="7" s="1"/>
  <c r="C26" i="7" s="1"/>
  <c r="B9" i="7"/>
  <c r="B12" i="7" s="1"/>
  <c r="B17" i="7" s="1"/>
  <c r="B19" i="7" s="1"/>
  <c r="B21" i="7" s="1"/>
  <c r="B25" i="7" s="1"/>
  <c r="B26" i="7" s="1"/>
  <c r="B52" i="6"/>
  <c r="F51" i="6"/>
  <c r="E51" i="6"/>
  <c r="B50" i="6"/>
  <c r="B41" i="6"/>
  <c r="B56" i="6" s="1"/>
  <c r="B39" i="6"/>
  <c r="B37" i="6"/>
  <c r="B34" i="6"/>
  <c r="B31" i="6"/>
  <c r="B30" i="6"/>
  <c r="B29" i="6"/>
  <c r="B27" i="6"/>
  <c r="B23" i="6"/>
  <c r="B21" i="6"/>
  <c r="B20" i="6"/>
  <c r="B19" i="6"/>
  <c r="B17" i="6"/>
  <c r="B16" i="6"/>
  <c r="B15" i="6"/>
  <c r="B13" i="6"/>
  <c r="B12" i="6"/>
  <c r="B11" i="6"/>
  <c r="B9" i="6"/>
  <c r="B24" i="6" s="1"/>
  <c r="B61" i="6" s="1"/>
  <c r="B8" i="6"/>
  <c r="B7" i="6"/>
  <c r="D121" i="5"/>
  <c r="C121" i="5"/>
  <c r="B121" i="5"/>
  <c r="D114" i="5"/>
  <c r="C114" i="5"/>
  <c r="B114" i="5"/>
  <c r="D105" i="5"/>
  <c r="B32" i="6" s="1"/>
  <c r="G32" i="6" s="1"/>
  <c r="C105" i="5"/>
  <c r="B105" i="5"/>
  <c r="D92" i="5"/>
  <c r="C92" i="5"/>
  <c r="B92" i="5"/>
  <c r="D83" i="5"/>
  <c r="C83" i="5"/>
  <c r="B83" i="5"/>
  <c r="D61" i="5"/>
  <c r="C61" i="5"/>
  <c r="B61" i="5"/>
  <c r="D59" i="5"/>
  <c r="C59" i="5"/>
  <c r="B59" i="5"/>
  <c r="D49" i="5"/>
  <c r="D53" i="5" s="1"/>
  <c r="D62" i="5" s="1"/>
  <c r="C49" i="5"/>
  <c r="C53" i="5" s="1"/>
  <c r="C62" i="5" s="1"/>
  <c r="B49" i="5"/>
  <c r="B53" i="5" s="1"/>
  <c r="B62" i="5" s="1"/>
  <c r="D41" i="5"/>
  <c r="C41" i="5"/>
  <c r="B41" i="5"/>
  <c r="D34" i="5"/>
  <c r="D45" i="5" s="1"/>
  <c r="C34" i="5"/>
  <c r="B34" i="5"/>
  <c r="B22" i="5"/>
  <c r="B27" i="5" s="1"/>
  <c r="B20" i="5"/>
  <c r="B65" i="5" s="1"/>
  <c r="B79" i="5" s="1"/>
  <c r="B94" i="5" s="1"/>
  <c r="B96" i="5" s="1"/>
  <c r="C18" i="5"/>
  <c r="C20" i="5" s="1"/>
  <c r="B18" i="5"/>
  <c r="D13" i="5"/>
  <c r="C13" i="5"/>
  <c r="B13" i="5"/>
  <c r="D8" i="5"/>
  <c r="B25" i="6" s="1"/>
  <c r="B26" i="6" s="1"/>
  <c r="C8" i="5"/>
  <c r="B8" i="5"/>
  <c r="F88" i="4"/>
  <c r="F80" i="4"/>
  <c r="F79" i="4"/>
  <c r="C13" i="11" s="1"/>
  <c r="G13" i="11" s="1"/>
  <c r="F78" i="4"/>
  <c r="C11" i="11" s="1"/>
  <c r="F70" i="4"/>
  <c r="F62" i="4"/>
  <c r="B20" i="12" s="1"/>
  <c r="F61" i="4"/>
  <c r="F59" i="4"/>
  <c r="D47" i="8" s="1"/>
  <c r="F52" i="4"/>
  <c r="D6" i="8" s="1"/>
  <c r="F44" i="4"/>
  <c r="F43" i="4"/>
  <c r="F42" i="4"/>
  <c r="E20" i="6" s="1"/>
  <c r="F38" i="4"/>
  <c r="G18" i="6" s="1"/>
  <c r="B31" i="4"/>
  <c r="F86" i="4" s="1"/>
  <c r="B30" i="4"/>
  <c r="B7" i="4"/>
  <c r="B14" i="3"/>
  <c r="B12" i="3"/>
  <c r="B11" i="3"/>
  <c r="B10" i="3"/>
  <c r="C22" i="5" l="1"/>
  <c r="C27" i="5" s="1"/>
  <c r="C65" i="5"/>
  <c r="C79" i="5" s="1"/>
  <c r="C94" i="5" s="1"/>
  <c r="D63" i="5"/>
  <c r="B98" i="5"/>
  <c r="C95" i="5"/>
  <c r="C96" i="5" s="1"/>
  <c r="B35" i="6"/>
  <c r="B28" i="6"/>
  <c r="B44" i="6" s="1"/>
  <c r="B45" i="6"/>
  <c r="E18" i="6"/>
  <c r="G6" i="8"/>
  <c r="C49" i="6"/>
  <c r="D49" i="6"/>
  <c r="E28" i="21"/>
  <c r="D28" i="21"/>
  <c r="C28" i="21"/>
  <c r="F28" i="21"/>
  <c r="G28" i="21"/>
  <c r="B14" i="12"/>
  <c r="B9" i="12"/>
  <c r="B34" i="12" s="1"/>
  <c r="E47" i="8"/>
  <c r="C51" i="6"/>
  <c r="D51" i="6"/>
  <c r="H23" i="11"/>
  <c r="G23" i="11"/>
  <c r="F23" i="11"/>
  <c r="C29" i="13"/>
  <c r="E18" i="11"/>
  <c r="E21" i="11" s="1"/>
  <c r="D18" i="11"/>
  <c r="D21" i="11" s="1"/>
  <c r="F18" i="11"/>
  <c r="F21" i="11" s="1"/>
  <c r="D18" i="5"/>
  <c r="D20" i="5" s="1"/>
  <c r="G49" i="6"/>
  <c r="F40" i="4"/>
  <c r="F54" i="4"/>
  <c r="F76" i="4"/>
  <c r="C6" i="11" s="1"/>
  <c r="E6" i="11" s="1"/>
  <c r="E15" i="11" s="1"/>
  <c r="B115" i="5"/>
  <c r="F18" i="6"/>
  <c r="C32" i="6"/>
  <c r="B7" i="9"/>
  <c r="F6" i="8"/>
  <c r="E6" i="8"/>
  <c r="D18" i="6"/>
  <c r="G28" i="8"/>
  <c r="H18" i="11"/>
  <c r="H21" i="11" s="1"/>
  <c r="F39" i="4"/>
  <c r="F53" i="4"/>
  <c r="F74" i="4"/>
  <c r="B95" i="4"/>
  <c r="F41" i="4"/>
  <c r="F55" i="4"/>
  <c r="F77" i="4"/>
  <c r="C10" i="11" s="1"/>
  <c r="C115" i="5"/>
  <c r="D32" i="6"/>
  <c r="H11" i="11"/>
  <c r="F11" i="11"/>
  <c r="G11" i="11"/>
  <c r="E11" i="11"/>
  <c r="D11" i="11"/>
  <c r="B27" i="11" s="1"/>
  <c r="F13" i="11"/>
  <c r="D28" i="8"/>
  <c r="G47" i="8"/>
  <c r="F28" i="8"/>
  <c r="C47" i="8"/>
  <c r="C28" i="8"/>
  <c r="D23" i="11"/>
  <c r="D13" i="11"/>
  <c r="B28" i="11" s="1"/>
  <c r="E13" i="11"/>
  <c r="D115" i="5"/>
  <c r="F32" i="6"/>
  <c r="B31" i="12"/>
  <c r="G21" i="12"/>
  <c r="F21" i="12"/>
  <c r="E21" i="12"/>
  <c r="D21" i="12"/>
  <c r="C21" i="12"/>
  <c r="F47" i="8"/>
  <c r="F6" i="11"/>
  <c r="H13" i="11"/>
  <c r="E23" i="11"/>
  <c r="G20" i="6"/>
  <c r="F20" i="6"/>
  <c r="D14" i="21"/>
  <c r="C6" i="21"/>
  <c r="D13" i="21"/>
  <c r="F48" i="4"/>
  <c r="F63" i="4"/>
  <c r="B17" i="12" s="1"/>
  <c r="F81" i="4"/>
  <c r="B45" i="5"/>
  <c r="B63" i="5" s="1"/>
  <c r="B12" i="8"/>
  <c r="D12" i="7"/>
  <c r="D17" i="7" s="1"/>
  <c r="D19" i="7" s="1"/>
  <c r="D21" i="7" s="1"/>
  <c r="D25" i="7" s="1"/>
  <c r="D26" i="7" s="1"/>
  <c r="B61" i="7" s="1"/>
  <c r="B19" i="3" s="1"/>
  <c r="E32" i="6"/>
  <c r="F49" i="4"/>
  <c r="F68" i="4"/>
  <c r="C45" i="5"/>
  <c r="C63" i="5" s="1"/>
  <c r="C20" i="6"/>
  <c r="E49" i="6"/>
  <c r="E49" i="8"/>
  <c r="B30" i="11"/>
  <c r="B62" i="6"/>
  <c r="B60" i="6"/>
  <c r="G51" i="6"/>
  <c r="F84" i="4"/>
  <c r="F72" i="4"/>
  <c r="F57" i="4"/>
  <c r="F46" i="4"/>
  <c r="F36" i="4"/>
  <c r="F71" i="4"/>
  <c r="C39" i="13" s="1"/>
  <c r="F56" i="4"/>
  <c r="F45" i="4"/>
  <c r="F35" i="4"/>
  <c r="F83" i="4"/>
  <c r="F85" i="4"/>
  <c r="F73" i="4"/>
  <c r="F58" i="4"/>
  <c r="F47" i="4"/>
  <c r="F37" i="4"/>
  <c r="F50" i="4"/>
  <c r="F69" i="4"/>
  <c r="F87" i="4"/>
  <c r="C18" i="6"/>
  <c r="C19" i="6" s="1"/>
  <c r="D20" i="6"/>
  <c r="F49" i="6"/>
  <c r="C6" i="8"/>
  <c r="C7" i="8" s="1"/>
  <c r="E28" i="8"/>
  <c r="G18" i="11"/>
  <c r="G21" i="11" s="1"/>
  <c r="D49" i="8"/>
  <c r="B12" i="9"/>
  <c r="C28" i="13"/>
  <c r="C65" i="16" s="1"/>
  <c r="B49" i="8"/>
  <c r="C10" i="13"/>
  <c r="B96" i="21"/>
  <c r="C35" i="21"/>
  <c r="C74" i="21" s="1"/>
  <c r="F10" i="11"/>
  <c r="E10" i="11"/>
  <c r="D30" i="19" l="1"/>
  <c r="E20" i="11"/>
  <c r="D31" i="21"/>
  <c r="D25" i="12"/>
  <c r="D8" i="6"/>
  <c r="C8" i="6"/>
  <c r="E8" i="6"/>
  <c r="F8" i="6"/>
  <c r="G8" i="6"/>
  <c r="G15" i="12"/>
  <c r="C15" i="12"/>
  <c r="D15" i="12"/>
  <c r="F15" i="12"/>
  <c r="E15" i="12"/>
  <c r="G12" i="8"/>
  <c r="D12" i="8"/>
  <c r="C12" i="8"/>
  <c r="E12" i="8"/>
  <c r="F12" i="8"/>
  <c r="B14" i="8"/>
  <c r="B13" i="8"/>
  <c r="E31" i="21"/>
  <c r="E25" i="12"/>
  <c r="C33" i="6"/>
  <c r="G33" i="6"/>
  <c r="G34" i="6" s="1"/>
  <c r="F33" i="6"/>
  <c r="F34" i="6" s="1"/>
  <c r="E33" i="6"/>
  <c r="D33" i="6"/>
  <c r="D34" i="6" s="1"/>
  <c r="F36" i="6"/>
  <c r="D55" i="6"/>
  <c r="C55" i="6"/>
  <c r="E55" i="6"/>
  <c r="E36" i="6"/>
  <c r="D36" i="6"/>
  <c r="F55" i="6"/>
  <c r="G55" i="6"/>
  <c r="C36" i="6"/>
  <c r="G36" i="6"/>
  <c r="F31" i="21"/>
  <c r="F25" i="12"/>
  <c r="G12" i="6"/>
  <c r="C12" i="6"/>
  <c r="F12" i="6"/>
  <c r="E12" i="6"/>
  <c r="D12" i="6"/>
  <c r="G24" i="21"/>
  <c r="B27" i="9"/>
  <c r="B5" i="10"/>
  <c r="B9" i="3"/>
  <c r="G31" i="21"/>
  <c r="G25" i="12"/>
  <c r="B46" i="6"/>
  <c r="B63" i="6"/>
  <c r="B38" i="6"/>
  <c r="B40" i="6" s="1"/>
  <c r="C98" i="5"/>
  <c r="D95" i="5"/>
  <c r="F41" i="6"/>
  <c r="D41" i="6"/>
  <c r="C41" i="6"/>
  <c r="E41" i="6"/>
  <c r="G41" i="6"/>
  <c r="C10" i="6"/>
  <c r="C11" i="6" s="1"/>
  <c r="D10" i="6"/>
  <c r="G10" i="6"/>
  <c r="F10" i="6"/>
  <c r="E10" i="6"/>
  <c r="C23" i="8"/>
  <c r="C24" i="8" s="1"/>
  <c r="F23" i="8"/>
  <c r="F24" i="8" s="1"/>
  <c r="D23" i="8"/>
  <c r="D24" i="8" s="1"/>
  <c r="G23" i="8"/>
  <c r="G24" i="8" s="1"/>
  <c r="E23" i="8"/>
  <c r="E24" i="8" s="1"/>
  <c r="D21" i="8"/>
  <c r="D51" i="8" s="1"/>
  <c r="G21" i="8"/>
  <c r="G51" i="8" s="1"/>
  <c r="E21" i="8"/>
  <c r="E51" i="8" s="1"/>
  <c r="F21" i="8"/>
  <c r="F51" i="8" s="1"/>
  <c r="C21" i="8"/>
  <c r="C51" i="8" s="1"/>
  <c r="C21" i="13"/>
  <c r="C27" i="13"/>
  <c r="C12" i="13"/>
  <c r="D7" i="8"/>
  <c r="C13" i="8"/>
  <c r="C43" i="13"/>
  <c r="G43" i="13"/>
  <c r="F43" i="13"/>
  <c r="E43" i="13"/>
  <c r="D43" i="13"/>
  <c r="F15" i="11"/>
  <c r="G16" i="6"/>
  <c r="F16" i="6"/>
  <c r="E16" i="6"/>
  <c r="D16" i="6"/>
  <c r="C16" i="6"/>
  <c r="D22" i="5"/>
  <c r="D27" i="5" s="1"/>
  <c r="D65" i="5"/>
  <c r="D79" i="5" s="1"/>
  <c r="D94" i="5" s="1"/>
  <c r="C27" i="12"/>
  <c r="F27" i="12"/>
  <c r="E27" i="12"/>
  <c r="D27" i="12"/>
  <c r="G27" i="12"/>
  <c r="C18" i="12"/>
  <c r="C7" i="16" s="1"/>
  <c r="F18" i="12"/>
  <c r="F7" i="16" s="1"/>
  <c r="E18" i="12"/>
  <c r="E7" i="16" s="1"/>
  <c r="G18" i="12"/>
  <c r="G7" i="16" s="1"/>
  <c r="D18" i="12"/>
  <c r="D7" i="16" s="1"/>
  <c r="G6" i="11"/>
  <c r="E41" i="8"/>
  <c r="D41" i="8"/>
  <c r="C41" i="8"/>
  <c r="F41" i="8"/>
  <c r="G41" i="8"/>
  <c r="D57" i="6"/>
  <c r="C57" i="6"/>
  <c r="E57" i="6"/>
  <c r="G57" i="6"/>
  <c r="F57" i="6"/>
  <c r="E34" i="6"/>
  <c r="D6" i="11"/>
  <c r="C34" i="6"/>
  <c r="C58" i="6"/>
  <c r="D58" i="6"/>
  <c r="G58" i="6"/>
  <c r="F58" i="6"/>
  <c r="E58" i="6"/>
  <c r="H6" i="11"/>
  <c r="G45" i="8"/>
  <c r="E45" i="8"/>
  <c r="C53" i="6"/>
  <c r="F45" i="8"/>
  <c r="D53" i="6"/>
  <c r="E53" i="6"/>
  <c r="D45" i="8"/>
  <c r="G53" i="6"/>
  <c r="C45" i="8"/>
  <c r="F53" i="6"/>
  <c r="C72" i="21"/>
  <c r="G14" i="6"/>
  <c r="E14" i="6"/>
  <c r="F14" i="6"/>
  <c r="D14" i="6"/>
  <c r="C14" i="6"/>
  <c r="C15" i="6" s="1"/>
  <c r="H10" i="11"/>
  <c r="D10" i="11"/>
  <c r="B29" i="11" s="1"/>
  <c r="G10" i="11"/>
  <c r="C24" i="21"/>
  <c r="B13" i="9"/>
  <c r="B37" i="9" s="1"/>
  <c r="B20" i="3" s="1"/>
  <c r="C21" i="6"/>
  <c r="D19" i="6"/>
  <c r="F6" i="6"/>
  <c r="E6" i="6"/>
  <c r="G6" i="6"/>
  <c r="C6" i="6"/>
  <c r="C7" i="6" s="1"/>
  <c r="D6" i="6"/>
  <c r="G43" i="8"/>
  <c r="C43" i="8"/>
  <c r="F43" i="8"/>
  <c r="E43" i="8"/>
  <c r="D43" i="8"/>
  <c r="C31" i="21"/>
  <c r="C25" i="12"/>
  <c r="E8" i="8"/>
  <c r="F8" i="8"/>
  <c r="G8" i="8"/>
  <c r="D8" i="8"/>
  <c r="C8" i="8"/>
  <c r="C9" i="8" s="1"/>
  <c r="H15" i="11" l="1"/>
  <c r="E63" i="16"/>
  <c r="E50" i="8"/>
  <c r="G47" i="16"/>
  <c r="G49" i="16" s="1"/>
  <c r="G10" i="19" s="1"/>
  <c r="G56" i="6"/>
  <c r="E19" i="6"/>
  <c r="D21" i="6"/>
  <c r="C64" i="16"/>
  <c r="C30" i="13"/>
  <c r="D63" i="16"/>
  <c r="D50" i="8"/>
  <c r="C47" i="16"/>
  <c r="C49" i="16" s="1"/>
  <c r="C10" i="19" s="1"/>
  <c r="C56" i="6"/>
  <c r="G93" i="21"/>
  <c r="B30" i="12"/>
  <c r="B36" i="12" s="1"/>
  <c r="G30" i="21"/>
  <c r="G29" i="21"/>
  <c r="G23" i="12"/>
  <c r="F63" i="16"/>
  <c r="F50" i="8"/>
  <c r="D47" i="16"/>
  <c r="D49" i="16" s="1"/>
  <c r="D10" i="19" s="1"/>
  <c r="D56" i="6"/>
  <c r="B22" i="10"/>
  <c r="B24" i="10"/>
  <c r="D9" i="8"/>
  <c r="C14" i="8"/>
  <c r="D96" i="5"/>
  <c r="D98" i="5" s="1"/>
  <c r="B123" i="5" s="1"/>
  <c r="B18" i="3" s="1"/>
  <c r="C15" i="8"/>
  <c r="D7" i="6"/>
  <c r="C23" i="6"/>
  <c r="C9" i="6"/>
  <c r="C10" i="8"/>
  <c r="E30" i="21"/>
  <c r="E93" i="21"/>
  <c r="E29" i="21"/>
  <c r="E23" i="12"/>
  <c r="C63" i="16"/>
  <c r="C66" i="16" s="1"/>
  <c r="C50" i="8"/>
  <c r="F47" i="16"/>
  <c r="F49" i="16" s="1"/>
  <c r="F10" i="19" s="1"/>
  <c r="F56" i="6"/>
  <c r="B26" i="11"/>
  <c r="D15" i="11"/>
  <c r="E7" i="8"/>
  <c r="D13" i="8"/>
  <c r="D10" i="8"/>
  <c r="B64" i="6"/>
  <c r="B42" i="6"/>
  <c r="B65" i="6" s="1"/>
  <c r="B47" i="6"/>
  <c r="D15" i="6"/>
  <c r="C17" i="6"/>
  <c r="C13" i="6"/>
  <c r="D11" i="6"/>
  <c r="F93" i="21"/>
  <c r="F30" i="21"/>
  <c r="F29" i="21"/>
  <c r="F23" i="12"/>
  <c r="D30" i="21"/>
  <c r="D93" i="21"/>
  <c r="D29" i="21"/>
  <c r="D23" i="12"/>
  <c r="D20" i="16"/>
  <c r="E22" i="11"/>
  <c r="E30" i="19"/>
  <c r="F20" i="11"/>
  <c r="G15" i="11"/>
  <c r="G63" i="16"/>
  <c r="G50" i="8"/>
  <c r="E56" i="6"/>
  <c r="E47" i="16"/>
  <c r="E49" i="16" s="1"/>
  <c r="E10" i="19" s="1"/>
  <c r="B15" i="8"/>
  <c r="C30" i="21"/>
  <c r="C93" i="21"/>
  <c r="C29" i="21"/>
  <c r="C23" i="12"/>
  <c r="C39" i="21" l="1"/>
  <c r="C50" i="13"/>
  <c r="C36" i="13"/>
  <c r="C68" i="16"/>
  <c r="C67" i="16"/>
  <c r="B23" i="3"/>
  <c r="G13" i="16"/>
  <c r="G24" i="12"/>
  <c r="D34" i="8"/>
  <c r="D6" i="16"/>
  <c r="D44" i="8"/>
  <c r="D17" i="8"/>
  <c r="D42" i="8" s="1"/>
  <c r="D53" i="8"/>
  <c r="D46" i="8"/>
  <c r="D14" i="8"/>
  <c r="E9" i="8"/>
  <c r="F19" i="6"/>
  <c r="E21" i="6"/>
  <c r="C35" i="8"/>
  <c r="C54" i="8"/>
  <c r="F13" i="16"/>
  <c r="F24" i="12"/>
  <c r="C24" i="12"/>
  <c r="C13" i="16"/>
  <c r="F22" i="11"/>
  <c r="E20" i="16"/>
  <c r="E13" i="8"/>
  <c r="E10" i="8"/>
  <c r="F7" i="8"/>
  <c r="B25" i="10"/>
  <c r="B38" i="10" s="1"/>
  <c r="B21" i="3" s="1"/>
  <c r="B36" i="10"/>
  <c r="B13" i="3"/>
  <c r="B54" i="8"/>
  <c r="B56" i="8"/>
  <c r="B19" i="8"/>
  <c r="B35" i="8"/>
  <c r="D13" i="16"/>
  <c r="D24" i="12"/>
  <c r="C24" i="6"/>
  <c r="F30" i="19"/>
  <c r="G20" i="11"/>
  <c r="E13" i="16"/>
  <c r="E24" i="12"/>
  <c r="D15" i="8"/>
  <c r="E24" i="11"/>
  <c r="D26" i="16"/>
  <c r="D13" i="6"/>
  <c r="E11" i="6"/>
  <c r="C30" i="19"/>
  <c r="B31" i="11"/>
  <c r="D20" i="11"/>
  <c r="C6" i="16"/>
  <c r="C46" i="8"/>
  <c r="C44" i="8"/>
  <c r="C17" i="8"/>
  <c r="C42" i="8" s="1"/>
  <c r="C34" i="8"/>
  <c r="C53" i="8"/>
  <c r="C27" i="6"/>
  <c r="C50" i="6" s="1"/>
  <c r="C5" i="16"/>
  <c r="C60" i="6"/>
  <c r="C52" i="6"/>
  <c r="C25" i="6"/>
  <c r="C54" i="6"/>
  <c r="B33" i="11"/>
  <c r="E15" i="6"/>
  <c r="D17" i="6"/>
  <c r="D23" i="6"/>
  <c r="D9" i="6"/>
  <c r="E7" i="6"/>
  <c r="G30" i="19"/>
  <c r="H20" i="11"/>
  <c r="C19" i="8" l="1"/>
  <c r="D17" i="19"/>
  <c r="D38" i="16"/>
  <c r="D25" i="19"/>
  <c r="D54" i="6"/>
  <c r="D52" i="6"/>
  <c r="D34" i="13" s="1"/>
  <c r="D5" i="16"/>
  <c r="D9" i="16" s="1"/>
  <c r="D60" i="6"/>
  <c r="D27" i="6"/>
  <c r="D50" i="6" s="1"/>
  <c r="D25" i="6"/>
  <c r="C26" i="6"/>
  <c r="C61" i="6"/>
  <c r="F13" i="8"/>
  <c r="G7" i="8"/>
  <c r="F10" i="8"/>
  <c r="D23" i="19"/>
  <c r="D26" i="12"/>
  <c r="D15" i="19"/>
  <c r="E6" i="16"/>
  <c r="E17" i="8"/>
  <c r="E42" i="8" s="1"/>
  <c r="E46" i="8"/>
  <c r="E44" i="8"/>
  <c r="E53" i="8"/>
  <c r="E34" i="8"/>
  <c r="C72" i="16"/>
  <c r="C39" i="19"/>
  <c r="C18" i="19"/>
  <c r="C26" i="19"/>
  <c r="C10" i="21"/>
  <c r="B13" i="1"/>
  <c r="C34" i="13"/>
  <c r="C20" i="16"/>
  <c r="D22" i="11"/>
  <c r="G22" i="11"/>
  <c r="F20" i="16"/>
  <c r="B67" i="6"/>
  <c r="F23" i="19"/>
  <c r="F26" i="12"/>
  <c r="F15" i="19"/>
  <c r="F15" i="6"/>
  <c r="E17" i="6"/>
  <c r="G19" i="6"/>
  <c r="G21" i="6" s="1"/>
  <c r="F21" i="6"/>
  <c r="G20" i="16"/>
  <c r="H22" i="11"/>
  <c r="B20" i="8"/>
  <c r="B36" i="8" s="1"/>
  <c r="B37" i="8"/>
  <c r="B57" i="8"/>
  <c r="B27" i="8"/>
  <c r="E14" i="8"/>
  <c r="E15" i="8" s="1"/>
  <c r="F9" i="8"/>
  <c r="C26" i="12"/>
  <c r="C15" i="19"/>
  <c r="C23" i="19"/>
  <c r="E23" i="6"/>
  <c r="F7" i="6"/>
  <c r="E9" i="6"/>
  <c r="E24" i="6" s="1"/>
  <c r="C48" i="19"/>
  <c r="C75" i="21"/>
  <c r="C7" i="21"/>
  <c r="B15" i="3"/>
  <c r="G23" i="19"/>
  <c r="G26" i="12"/>
  <c r="G15" i="19"/>
  <c r="D35" i="8"/>
  <c r="D54" i="8"/>
  <c r="D19" i="8"/>
  <c r="E23" i="19"/>
  <c r="E26" i="12"/>
  <c r="E15" i="19"/>
  <c r="F24" i="11"/>
  <c r="E26" i="16"/>
  <c r="C9" i="16"/>
  <c r="C55" i="16" s="1"/>
  <c r="D24" i="6"/>
  <c r="E13" i="6"/>
  <c r="F11" i="6"/>
  <c r="E35" i="8" l="1"/>
  <c r="E54" i="8"/>
  <c r="E19" i="8"/>
  <c r="D25" i="16"/>
  <c r="D19" i="16"/>
  <c r="D28" i="12"/>
  <c r="E25" i="16"/>
  <c r="E19" i="16"/>
  <c r="E28" i="12"/>
  <c r="B30" i="8"/>
  <c r="B32" i="8" s="1"/>
  <c r="B38" i="8"/>
  <c r="D18" i="16"/>
  <c r="D20" i="8"/>
  <c r="D37" i="8"/>
  <c r="D27" i="8"/>
  <c r="F19" i="16"/>
  <c r="F25" i="16"/>
  <c r="F28" i="12"/>
  <c r="E26" i="6"/>
  <c r="E61" i="6"/>
  <c r="F23" i="6"/>
  <c r="G7" i="6"/>
  <c r="F9" i="6"/>
  <c r="G11" i="6"/>
  <c r="G13" i="6" s="1"/>
  <c r="F13" i="6"/>
  <c r="D26" i="6"/>
  <c r="D61" i="6"/>
  <c r="D102" i="21"/>
  <c r="E102" i="21"/>
  <c r="E5" i="16"/>
  <c r="E9" i="16" s="1"/>
  <c r="E25" i="6"/>
  <c r="E27" i="6"/>
  <c r="E50" i="6" s="1"/>
  <c r="E60" i="6"/>
  <c r="E52" i="6"/>
  <c r="E34" i="13" s="1"/>
  <c r="E54" i="6"/>
  <c r="G26" i="16"/>
  <c r="H24" i="11"/>
  <c r="F6" i="16"/>
  <c r="F46" i="8"/>
  <c r="F17" i="8"/>
  <c r="F42" i="8" s="1"/>
  <c r="F44" i="8"/>
  <c r="F53" i="8"/>
  <c r="F34" i="8"/>
  <c r="F26" i="16"/>
  <c r="G24" i="11"/>
  <c r="G19" i="16"/>
  <c r="G28" i="12"/>
  <c r="G25" i="16"/>
  <c r="G13" i="8"/>
  <c r="D24" i="11"/>
  <c r="C26" i="16"/>
  <c r="F15" i="8"/>
  <c r="E25" i="19"/>
  <c r="E17" i="19"/>
  <c r="E38" i="16"/>
  <c r="C25" i="16"/>
  <c r="C28" i="12"/>
  <c r="C19" i="16"/>
  <c r="F14" i="8"/>
  <c r="G9" i="8"/>
  <c r="G14" i="8" s="1"/>
  <c r="C17" i="16"/>
  <c r="C21" i="16" s="1"/>
  <c r="C56" i="16" s="1"/>
  <c r="C45" i="6"/>
  <c r="C35" i="6"/>
  <c r="C28" i="6"/>
  <c r="F17" i="6"/>
  <c r="G15" i="6"/>
  <c r="G17" i="6" s="1"/>
  <c r="C18" i="16"/>
  <c r="C20" i="8"/>
  <c r="C27" i="8"/>
  <c r="C37" i="8"/>
  <c r="G25" i="19" l="1"/>
  <c r="G38" i="16"/>
  <c r="G17" i="19"/>
  <c r="E35" i="6"/>
  <c r="E17" i="16"/>
  <c r="E21" i="16" s="1"/>
  <c r="E28" i="6"/>
  <c r="E45" i="6"/>
  <c r="E32" i="21"/>
  <c r="E16" i="19"/>
  <c r="E24" i="19"/>
  <c r="E37" i="16"/>
  <c r="C11" i="16"/>
  <c r="C44" i="6"/>
  <c r="C23" i="16"/>
  <c r="C46" i="6"/>
  <c r="C37" i="6"/>
  <c r="C29" i="16" s="1"/>
  <c r="C38" i="6"/>
  <c r="F25" i="19"/>
  <c r="F38" i="16"/>
  <c r="F17" i="19"/>
  <c r="D17" i="16"/>
  <c r="D21" i="16" s="1"/>
  <c r="D45" i="6"/>
  <c r="D35" i="6"/>
  <c r="D28" i="6"/>
  <c r="D29" i="8"/>
  <c r="D38" i="8"/>
  <c r="D30" i="8"/>
  <c r="D24" i="16"/>
  <c r="C24" i="16"/>
  <c r="C38" i="8"/>
  <c r="C29" i="8"/>
  <c r="G15" i="8"/>
  <c r="C37" i="16"/>
  <c r="C32" i="21"/>
  <c r="C37" i="19"/>
  <c r="C24" i="19"/>
  <c r="C47" i="19" s="1"/>
  <c r="C16" i="19"/>
  <c r="G23" i="6"/>
  <c r="G9" i="6"/>
  <c r="G24" i="6" s="1"/>
  <c r="E37" i="8"/>
  <c r="E18" i="16"/>
  <c r="E27" i="8"/>
  <c r="E20" i="8"/>
  <c r="F19" i="8"/>
  <c r="F35" i="8"/>
  <c r="F54" i="8"/>
  <c r="D32" i="21"/>
  <c r="D24" i="19"/>
  <c r="D16" i="19"/>
  <c r="D37" i="16"/>
  <c r="C38" i="16"/>
  <c r="C17" i="19"/>
  <c r="C38" i="19"/>
  <c r="C25" i="19"/>
  <c r="C12" i="16"/>
  <c r="C36" i="8"/>
  <c r="G10" i="8"/>
  <c r="D12" i="16"/>
  <c r="D36" i="8"/>
  <c r="F5" i="16"/>
  <c r="F9" i="16" s="1"/>
  <c r="F25" i="6"/>
  <c r="F27" i="6"/>
  <c r="F50" i="6" s="1"/>
  <c r="F52" i="6"/>
  <c r="F34" i="13" s="1"/>
  <c r="F60" i="6"/>
  <c r="F54" i="6"/>
  <c r="F16" i="19"/>
  <c r="F37" i="16"/>
  <c r="F32" i="21"/>
  <c r="F24" i="19"/>
  <c r="F24" i="6"/>
  <c r="G16" i="19"/>
  <c r="G37" i="16"/>
  <c r="G32" i="21"/>
  <c r="G24" i="19"/>
  <c r="B58" i="8"/>
  <c r="B60" i="8" s="1"/>
  <c r="B39" i="8"/>
  <c r="G53" i="8" l="1"/>
  <c r="G46" i="8"/>
  <c r="G34" i="8"/>
  <c r="G6" i="16"/>
  <c r="G44" i="8"/>
  <c r="G17" i="8"/>
  <c r="G42" i="8" s="1"/>
  <c r="G61" i="6"/>
  <c r="G26" i="6"/>
  <c r="D36" i="16"/>
  <c r="D32" i="8"/>
  <c r="D31" i="8"/>
  <c r="D41" i="16" s="1"/>
  <c r="C35" i="16"/>
  <c r="C39" i="6"/>
  <c r="C40" i="16" s="1"/>
  <c r="D37" i="19"/>
  <c r="C60" i="21"/>
  <c r="E44" i="6"/>
  <c r="E11" i="16"/>
  <c r="E15" i="16" s="1"/>
  <c r="E33" i="13" s="1"/>
  <c r="E23" i="16"/>
  <c r="E37" i="6"/>
  <c r="E29" i="16" s="1"/>
  <c r="E38" i="6"/>
  <c r="E46" i="6"/>
  <c r="G35" i="8"/>
  <c r="G54" i="8"/>
  <c r="G19" i="8"/>
  <c r="E104" i="21"/>
  <c r="D104" i="21"/>
  <c r="C46" i="20"/>
  <c r="C61" i="21"/>
  <c r="D38" i="19"/>
  <c r="D11" i="16"/>
  <c r="D15" i="16" s="1"/>
  <c r="D33" i="13" s="1"/>
  <c r="D44" i="6"/>
  <c r="E103" i="21"/>
  <c r="D103" i="21"/>
  <c r="C42" i="20"/>
  <c r="C30" i="16"/>
  <c r="C33" i="16" s="1"/>
  <c r="C35" i="13" s="1"/>
  <c r="C48" i="8"/>
  <c r="C15" i="16"/>
  <c r="C33" i="13" s="1"/>
  <c r="G5" i="16"/>
  <c r="G9" i="16" s="1"/>
  <c r="G60" i="6"/>
  <c r="G52" i="6"/>
  <c r="G25" i="6"/>
  <c r="G54" i="6"/>
  <c r="G27" i="6"/>
  <c r="G50" i="6" s="1"/>
  <c r="F37" i="8"/>
  <c r="F18" i="16"/>
  <c r="F27" i="8"/>
  <c r="F20" i="8"/>
  <c r="D30" i="16"/>
  <c r="D48" i="8"/>
  <c r="E36" i="8"/>
  <c r="E12" i="16"/>
  <c r="C27" i="16"/>
  <c r="E38" i="8"/>
  <c r="E24" i="16"/>
  <c r="E29" i="8"/>
  <c r="D23" i="16"/>
  <c r="D38" i="6"/>
  <c r="D46" i="6"/>
  <c r="D37" i="6"/>
  <c r="D29" i="16" s="1"/>
  <c r="F61" i="6"/>
  <c r="F26" i="6"/>
  <c r="C30" i="8"/>
  <c r="D14" i="19" l="1"/>
  <c r="D39" i="8"/>
  <c r="D22" i="19"/>
  <c r="G18" i="16"/>
  <c r="G37" i="8"/>
  <c r="G27" i="8"/>
  <c r="G20" i="8"/>
  <c r="G17" i="16"/>
  <c r="G28" i="6"/>
  <c r="G45" i="6"/>
  <c r="G35" i="6"/>
  <c r="D35" i="16"/>
  <c r="D39" i="6"/>
  <c r="D40" i="16" s="1"/>
  <c r="D44" i="16" s="1"/>
  <c r="D40" i="6"/>
  <c r="F36" i="8"/>
  <c r="F12" i="16"/>
  <c r="F24" i="16"/>
  <c r="F29" i="8"/>
  <c r="F30" i="8"/>
  <c r="F38" i="8"/>
  <c r="C40" i="6"/>
  <c r="E30" i="16"/>
  <c r="E48" i="8"/>
  <c r="C36" i="16"/>
  <c r="C31" i="8"/>
  <c r="C41" i="16" s="1"/>
  <c r="C44" i="16" s="1"/>
  <c r="E30" i="8"/>
  <c r="E37" i="19"/>
  <c r="D60" i="21"/>
  <c r="F17" i="16"/>
  <c r="F21" i="16" s="1"/>
  <c r="F35" i="6"/>
  <c r="F28" i="6"/>
  <c r="F45" i="6"/>
  <c r="G34" i="13"/>
  <c r="C39" i="16"/>
  <c r="C37" i="13"/>
  <c r="C38" i="13" s="1"/>
  <c r="E35" i="16"/>
  <c r="E39" i="6"/>
  <c r="E40" i="16" s="1"/>
  <c r="D61" i="21"/>
  <c r="E38" i="19"/>
  <c r="G24" i="16" l="1"/>
  <c r="G29" i="8"/>
  <c r="G30" i="8"/>
  <c r="G38" i="8"/>
  <c r="D21" i="19"/>
  <c r="D47" i="6"/>
  <c r="D42" i="6"/>
  <c r="F11" i="16"/>
  <c r="F15" i="16" s="1"/>
  <c r="F33" i="13" s="1"/>
  <c r="F44" i="6"/>
  <c r="F23" i="16"/>
  <c r="F37" i="6"/>
  <c r="F29" i="16" s="1"/>
  <c r="F38" i="6"/>
  <c r="F46" i="6"/>
  <c r="C21" i="19"/>
  <c r="C13" i="19"/>
  <c r="C47" i="6"/>
  <c r="C42" i="6"/>
  <c r="E44" i="16"/>
  <c r="F36" i="16"/>
  <c r="F31" i="8"/>
  <c r="F41" i="16" s="1"/>
  <c r="F32" i="8"/>
  <c r="G37" i="6"/>
  <c r="G29" i="16" s="1"/>
  <c r="G46" i="6"/>
  <c r="G23" i="16"/>
  <c r="G21" i="16"/>
  <c r="C45" i="16"/>
  <c r="C32" i="8"/>
  <c r="F38" i="19"/>
  <c r="E61" i="21"/>
  <c r="G11" i="16"/>
  <c r="G44" i="6"/>
  <c r="C40" i="13"/>
  <c r="C18" i="13" s="1"/>
  <c r="C19" i="13" s="1"/>
  <c r="D16" i="13" s="1"/>
  <c r="C13" i="13"/>
  <c r="F37" i="19"/>
  <c r="E60" i="21"/>
  <c r="F30" i="16"/>
  <c r="F48" i="8"/>
  <c r="E40" i="6"/>
  <c r="E31" i="8"/>
  <c r="E41" i="16" s="1"/>
  <c r="E32" i="8"/>
  <c r="E36" i="16"/>
  <c r="G12" i="16"/>
  <c r="G36" i="8"/>
  <c r="C73" i="16" l="1"/>
  <c r="C57" i="16"/>
  <c r="C29" i="19"/>
  <c r="C31" i="19" s="1"/>
  <c r="C36" i="19"/>
  <c r="C71" i="16"/>
  <c r="C75" i="16" s="1"/>
  <c r="C52" i="16"/>
  <c r="D51" i="16"/>
  <c r="D12" i="19"/>
  <c r="D6" i="19"/>
  <c r="G37" i="19"/>
  <c r="G60" i="21" s="1"/>
  <c r="F60" i="21"/>
  <c r="D28" i="13"/>
  <c r="D65" i="16" s="1"/>
  <c r="D29" i="13"/>
  <c r="G38" i="6"/>
  <c r="E14" i="19"/>
  <c r="E22" i="19"/>
  <c r="E39" i="8"/>
  <c r="C51" i="16"/>
  <c r="C12" i="19"/>
  <c r="C19" i="19" s="1"/>
  <c r="C6" i="19"/>
  <c r="C23" i="13"/>
  <c r="C14" i="13"/>
  <c r="D13" i="19"/>
  <c r="C27" i="19"/>
  <c r="C45" i="19" s="1"/>
  <c r="G15" i="16"/>
  <c r="G33" i="13" s="1"/>
  <c r="E21" i="19"/>
  <c r="E13" i="19"/>
  <c r="E47" i="6"/>
  <c r="E42" i="6"/>
  <c r="F14" i="19"/>
  <c r="F22" i="19"/>
  <c r="F39" i="8"/>
  <c r="G30" i="16"/>
  <c r="G48" i="8"/>
  <c r="G36" i="16"/>
  <c r="G32" i="8"/>
  <c r="G31" i="8"/>
  <c r="G41" i="16" s="1"/>
  <c r="F35" i="16"/>
  <c r="F39" i="6"/>
  <c r="F40" i="16" s="1"/>
  <c r="F44" i="16" s="1"/>
  <c r="G38" i="19"/>
  <c r="G61" i="21" s="1"/>
  <c r="F61" i="21"/>
  <c r="C14" i="19"/>
  <c r="C39" i="8"/>
  <c r="C22" i="19"/>
  <c r="C45" i="21" l="1"/>
  <c r="C44" i="19"/>
  <c r="F36" i="20"/>
  <c r="F34" i="20"/>
  <c r="E36" i="20"/>
  <c r="E34" i="20"/>
  <c r="C17" i="20"/>
  <c r="D17" i="20" s="1"/>
  <c r="D36" i="20"/>
  <c r="D34" i="20"/>
  <c r="C36" i="20"/>
  <c r="E33" i="20"/>
  <c r="G35" i="20"/>
  <c r="D33" i="20"/>
  <c r="C15" i="20"/>
  <c r="D15" i="20" s="1"/>
  <c r="F35" i="20"/>
  <c r="C33" i="20"/>
  <c r="C18" i="20"/>
  <c r="D18" i="20" s="1"/>
  <c r="C14" i="20"/>
  <c r="D14" i="20" s="1"/>
  <c r="G36" i="20"/>
  <c r="F33" i="20"/>
  <c r="E37" i="20"/>
  <c r="D37" i="20"/>
  <c r="C37" i="20"/>
  <c r="D35" i="20"/>
  <c r="G34" i="20"/>
  <c r="C34" i="20"/>
  <c r="G37" i="20"/>
  <c r="G33" i="20"/>
  <c r="F37" i="20"/>
  <c r="C32" i="19"/>
  <c r="C16" i="20"/>
  <c r="D16" i="20" s="1"/>
  <c r="E35" i="20"/>
  <c r="C35" i="20"/>
  <c r="C52" i="20"/>
  <c r="D45" i="21"/>
  <c r="F40" i="6"/>
  <c r="D10" i="13"/>
  <c r="C24" i="13"/>
  <c r="C58" i="16"/>
  <c r="B60" i="16" s="1"/>
  <c r="C40" i="19"/>
  <c r="C7" i="19"/>
  <c r="E12" i="19"/>
  <c r="E6" i="19"/>
  <c r="E51" i="16"/>
  <c r="G14" i="19"/>
  <c r="G22" i="19"/>
  <c r="G39" i="8"/>
  <c r="G35" i="16"/>
  <c r="G39" i="6"/>
  <c r="G40" i="16" s="1"/>
  <c r="G44" i="16" s="1"/>
  <c r="C62" i="21" l="1"/>
  <c r="C52" i="21"/>
  <c r="C33" i="19"/>
  <c r="C41" i="19"/>
  <c r="D101" i="21"/>
  <c r="E101" i="21"/>
  <c r="C41" i="20"/>
  <c r="G40" i="6"/>
  <c r="E45" i="21"/>
  <c r="C47" i="13"/>
  <c r="C38" i="21"/>
  <c r="C96" i="21"/>
  <c r="C37" i="21"/>
  <c r="C25" i="13"/>
  <c r="C31" i="13" s="1"/>
  <c r="C42" i="13"/>
  <c r="C44" i="13"/>
  <c r="C41" i="21" s="1"/>
  <c r="C60" i="20"/>
  <c r="D21" i="13"/>
  <c r="D12" i="13"/>
  <c r="D27" i="13"/>
  <c r="F21" i="19"/>
  <c r="F47" i="6"/>
  <c r="F13" i="19"/>
  <c r="F42" i="6"/>
  <c r="C8" i="19"/>
  <c r="C46" i="21"/>
  <c r="G21" i="19" l="1"/>
  <c r="G47" i="6"/>
  <c r="G42" i="6"/>
  <c r="D30" i="13"/>
  <c r="D64" i="16"/>
  <c r="D66" i="16" s="1"/>
  <c r="C63" i="21"/>
  <c r="C47" i="21"/>
  <c r="C73" i="21" s="1"/>
  <c r="C46" i="19"/>
  <c r="B50" i="19" s="1"/>
  <c r="C9" i="19"/>
  <c r="F12" i="19"/>
  <c r="F6" i="19"/>
  <c r="F51" i="16"/>
  <c r="C53" i="21"/>
  <c r="C34" i="19"/>
  <c r="C40" i="21"/>
  <c r="C51" i="13"/>
  <c r="F45" i="21" l="1"/>
  <c r="D67" i="16"/>
  <c r="D33" i="16" s="1"/>
  <c r="D35" i="13" s="1"/>
  <c r="D37" i="13" s="1"/>
  <c r="D38" i="13" s="1"/>
  <c r="D27" i="16"/>
  <c r="C91" i="21"/>
  <c r="C48" i="21"/>
  <c r="D39" i="21"/>
  <c r="D36" i="13"/>
  <c r="C54" i="21"/>
  <c r="C92" i="21"/>
  <c r="G12" i="19"/>
  <c r="G6" i="19"/>
  <c r="G51" i="16"/>
  <c r="G13" i="19"/>
  <c r="E100" i="21" l="1"/>
  <c r="C45" i="20"/>
  <c r="D100" i="21"/>
  <c r="G45" i="21"/>
  <c r="F99" i="21"/>
  <c r="H99" i="21"/>
  <c r="D68" i="16"/>
  <c r="D40" i="13"/>
  <c r="D18" i="13" s="1"/>
  <c r="D19" i="13" s="1"/>
  <c r="E16" i="13" s="1"/>
  <c r="D13" i="13"/>
  <c r="D14" i="13" l="1"/>
  <c r="D23" i="13"/>
  <c r="H100" i="21"/>
  <c r="C100" i="21"/>
  <c r="E28" i="13"/>
  <c r="E65" i="16" s="1"/>
  <c r="E29" i="13"/>
  <c r="D18" i="19"/>
  <c r="D19" i="19" s="1"/>
  <c r="D72" i="16"/>
  <c r="D26" i="19"/>
  <c r="D27" i="19" s="1"/>
  <c r="D39" i="19"/>
  <c r="D39" i="16"/>
  <c r="D45" i="16" s="1"/>
  <c r="H101" i="21" l="1"/>
  <c r="D73" i="16"/>
  <c r="D29" i="19"/>
  <c r="D31" i="19" s="1"/>
  <c r="D32" i="19" s="1"/>
  <c r="D71" i="16"/>
  <c r="D52" i="16"/>
  <c r="D36" i="19"/>
  <c r="E10" i="13"/>
  <c r="D24" i="13"/>
  <c r="D38" i="21" l="1"/>
  <c r="D96" i="21"/>
  <c r="D37" i="21"/>
  <c r="D42" i="13"/>
  <c r="D40" i="21" s="1"/>
  <c r="D44" i="13"/>
  <c r="D41" i="21" s="1"/>
  <c r="D25" i="13"/>
  <c r="D31" i="13" s="1"/>
  <c r="E21" i="13"/>
  <c r="E27" i="13"/>
  <c r="E12" i="13"/>
  <c r="D7" i="19"/>
  <c r="D40" i="19"/>
  <c r="D52" i="21"/>
  <c r="D33" i="19"/>
  <c r="D41" i="19"/>
  <c r="H102" i="21"/>
  <c r="C102" i="21" s="1"/>
  <c r="C101" i="21"/>
  <c r="E30" i="13" l="1"/>
  <c r="E64" i="16"/>
  <c r="E66" i="16" s="1"/>
  <c r="H103" i="21"/>
  <c r="C103" i="21"/>
  <c r="D63" i="21"/>
  <c r="D53" i="21"/>
  <c r="D34" i="19"/>
  <c r="D62" i="21"/>
  <c r="D46" i="21"/>
  <c r="D8" i="19"/>
  <c r="D54" i="21" l="1"/>
  <c r="D92" i="21"/>
  <c r="D47" i="21"/>
  <c r="D9" i="19"/>
  <c r="H104" i="21"/>
  <c r="C104" i="21"/>
  <c r="E67" i="16"/>
  <c r="E33" i="16" s="1"/>
  <c r="E35" i="13" s="1"/>
  <c r="E37" i="13" s="1"/>
  <c r="E38" i="13" s="1"/>
  <c r="E27" i="16"/>
  <c r="E39" i="21"/>
  <c r="E36" i="13"/>
  <c r="E40" i="13" l="1"/>
  <c r="E18" i="13" s="1"/>
  <c r="E19" i="13" s="1"/>
  <c r="F16" i="13" s="1"/>
  <c r="E13" i="13"/>
  <c r="E68" i="16"/>
  <c r="D91" i="21"/>
  <c r="D48" i="21"/>
  <c r="E18" i="19" l="1"/>
  <c r="E19" i="19" s="1"/>
  <c r="E26" i="19"/>
  <c r="E27" i="19" s="1"/>
  <c r="E72" i="16"/>
  <c r="E39" i="16"/>
  <c r="E45" i="16" s="1"/>
  <c r="E39" i="19"/>
  <c r="E14" i="13"/>
  <c r="E23" i="13"/>
  <c r="F28" i="13"/>
  <c r="F65" i="16" s="1"/>
  <c r="F29" i="13"/>
  <c r="F10" i="13" l="1"/>
  <c r="E24" i="13"/>
  <c r="E71" i="16"/>
  <c r="E29" i="19"/>
  <c r="E31" i="19" s="1"/>
  <c r="E32" i="19" s="1"/>
  <c r="E73" i="16"/>
  <c r="E52" i="16"/>
  <c r="E36" i="19"/>
  <c r="E7" i="19" l="1"/>
  <c r="E40" i="19"/>
  <c r="E52" i="21"/>
  <c r="E33" i="19"/>
  <c r="E41" i="19"/>
  <c r="E96" i="21"/>
  <c r="E37" i="21"/>
  <c r="E38" i="21"/>
  <c r="E42" i="13"/>
  <c r="E40" i="21" s="1"/>
  <c r="E44" i="13"/>
  <c r="E41" i="21" s="1"/>
  <c r="E25" i="13"/>
  <c r="E31" i="13" s="1"/>
  <c r="F21" i="13"/>
  <c r="F27" i="13"/>
  <c r="F12" i="13"/>
  <c r="E63" i="21" l="1"/>
  <c r="F64" i="16"/>
  <c r="F66" i="16" s="1"/>
  <c r="F30" i="13"/>
  <c r="E53" i="21"/>
  <c r="E34" i="19"/>
  <c r="E62" i="21"/>
  <c r="E46" i="21"/>
  <c r="E8" i="19"/>
  <c r="E92" i="21" l="1"/>
  <c r="E54" i="21"/>
  <c r="C56" i="21"/>
  <c r="C76" i="21" s="1"/>
  <c r="B78" i="21" s="1"/>
  <c r="E47" i="21"/>
  <c r="E9" i="19"/>
  <c r="F36" i="13"/>
  <c r="F39" i="21"/>
  <c r="F67" i="16"/>
  <c r="F33" i="16" s="1"/>
  <c r="F35" i="13" s="1"/>
  <c r="F37" i="13" s="1"/>
  <c r="F38" i="13" s="1"/>
  <c r="F68" i="16"/>
  <c r="F27" i="16"/>
  <c r="F18" i="19" l="1"/>
  <c r="F19" i="19" s="1"/>
  <c r="F26" i="19"/>
  <c r="F27" i="19" s="1"/>
  <c r="F72" i="16"/>
  <c r="F39" i="16"/>
  <c r="F45" i="16" s="1"/>
  <c r="F39" i="19"/>
  <c r="F40" i="13"/>
  <c r="F18" i="13" s="1"/>
  <c r="F19" i="13" s="1"/>
  <c r="G16" i="13" s="1"/>
  <c r="F13" i="13"/>
  <c r="E91" i="21"/>
  <c r="E48" i="21"/>
  <c r="G28" i="13" l="1"/>
  <c r="G65" i="16" s="1"/>
  <c r="G29" i="13"/>
  <c r="F73" i="16"/>
  <c r="F71" i="16"/>
  <c r="F52" i="16"/>
  <c r="F29" i="19"/>
  <c r="F31" i="19" s="1"/>
  <c r="F32" i="19" s="1"/>
  <c r="F36" i="19"/>
  <c r="F14" i="13"/>
  <c r="F23" i="13"/>
  <c r="G10" i="13" l="1"/>
  <c r="F24" i="13"/>
  <c r="F7" i="19"/>
  <c r="F40" i="19"/>
  <c r="F52" i="21"/>
  <c r="F33" i="19"/>
  <c r="F41" i="19"/>
  <c r="F53" i="21" l="1"/>
  <c r="F34" i="19"/>
  <c r="F63" i="21"/>
  <c r="F62" i="21"/>
  <c r="F46" i="21"/>
  <c r="F8" i="19"/>
  <c r="F37" i="21"/>
  <c r="F96" i="21"/>
  <c r="F38" i="21"/>
  <c r="F42" i="13"/>
  <c r="F40" i="21" s="1"/>
  <c r="F44" i="13"/>
  <c r="F41" i="21" s="1"/>
  <c r="F25" i="13"/>
  <c r="F31" i="13" s="1"/>
  <c r="C62" i="20"/>
  <c r="G27" i="13"/>
  <c r="G12" i="13"/>
  <c r="G21" i="13"/>
  <c r="F47" i="21" l="1"/>
  <c r="F9" i="19"/>
  <c r="G64" i="16"/>
  <c r="G66" i="16" s="1"/>
  <c r="G30" i="13"/>
  <c r="F92" i="21"/>
  <c r="F54" i="21"/>
  <c r="G39" i="21" l="1"/>
  <c r="C44" i="20"/>
  <c r="G36" i="13"/>
  <c r="F48" i="21"/>
  <c r="F91" i="21"/>
  <c r="G67" i="16"/>
  <c r="G33" i="16" s="1"/>
  <c r="G35" i="13" s="1"/>
  <c r="G37" i="13" s="1"/>
  <c r="G38" i="13" s="1"/>
  <c r="G68" i="16"/>
  <c r="G27" i="16"/>
  <c r="G18" i="19" l="1"/>
  <c r="G26" i="19"/>
  <c r="G27" i="19" s="1"/>
  <c r="G72" i="16"/>
  <c r="G39" i="16"/>
  <c r="G45" i="16" s="1"/>
  <c r="G39" i="19"/>
  <c r="G40" i="13"/>
  <c r="G18" i="13" s="1"/>
  <c r="G19" i="13" s="1"/>
  <c r="G13" i="13"/>
  <c r="G23" i="13" l="1"/>
  <c r="G14" i="13"/>
  <c r="G73" i="16"/>
  <c r="G71" i="16"/>
  <c r="G52" i="16"/>
  <c r="G29" i="19"/>
  <c r="G31" i="19" s="1"/>
  <c r="G36" i="19"/>
  <c r="E105" i="21"/>
  <c r="D105" i="21"/>
  <c r="C43" i="20"/>
  <c r="G19" i="19"/>
  <c r="F106" i="21" s="1"/>
  <c r="H105" i="21"/>
  <c r="C47" i="20" l="1"/>
  <c r="F28" i="20"/>
  <c r="F26" i="20"/>
  <c r="F24" i="20"/>
  <c r="G32" i="19"/>
  <c r="E28" i="20"/>
  <c r="E26" i="20"/>
  <c r="E24" i="20"/>
  <c r="E14" i="20"/>
  <c r="F14" i="20" s="1"/>
  <c r="C7" i="20"/>
  <c r="D7" i="20" s="1"/>
  <c r="D28" i="20"/>
  <c r="D26" i="20"/>
  <c r="D24" i="20"/>
  <c r="G26" i="20"/>
  <c r="E18" i="20"/>
  <c r="F18" i="20" s="1"/>
  <c r="C26" i="20"/>
  <c r="G25" i="20"/>
  <c r="C27" i="20"/>
  <c r="E15" i="20"/>
  <c r="F15" i="20" s="1"/>
  <c r="C6" i="20"/>
  <c r="D6" i="20" s="1"/>
  <c r="C28" i="20"/>
  <c r="C24" i="20"/>
  <c r="C9" i="20"/>
  <c r="D9" i="20" s="1"/>
  <c r="G27" i="20"/>
  <c r="F27" i="20"/>
  <c r="E17" i="20"/>
  <c r="F17" i="20" s="1"/>
  <c r="C8" i="20"/>
  <c r="D27" i="20"/>
  <c r="E25" i="20"/>
  <c r="D25" i="20"/>
  <c r="C25" i="20"/>
  <c r="C10" i="20"/>
  <c r="D10" i="20" s="1"/>
  <c r="G28" i="20"/>
  <c r="G24" i="20"/>
  <c r="E27" i="20"/>
  <c r="F25" i="20"/>
  <c r="E16" i="20"/>
  <c r="F16" i="20" s="1"/>
  <c r="C51" i="20"/>
  <c r="H106" i="21"/>
  <c r="C105" i="21"/>
  <c r="G24" i="13"/>
  <c r="C52" i="13"/>
  <c r="G7" i="19"/>
  <c r="G40" i="19"/>
  <c r="G62" i="21" s="1"/>
  <c r="G52" i="21" l="1"/>
  <c r="G33" i="19"/>
  <c r="G41" i="19"/>
  <c r="G63" i="21" s="1"/>
  <c r="G37" i="21"/>
  <c r="G96" i="21"/>
  <c r="G38" i="21"/>
  <c r="G42" i="13"/>
  <c r="G40" i="21" s="1"/>
  <c r="G44" i="13"/>
  <c r="G41" i="21" s="1"/>
  <c r="C49" i="13"/>
  <c r="B54" i="13" s="1"/>
  <c r="G25" i="13"/>
  <c r="G31" i="13" s="1"/>
  <c r="C61" i="20"/>
  <c r="D8" i="20"/>
  <c r="C59" i="20"/>
  <c r="B64" i="20" s="1"/>
  <c r="G46" i="21"/>
  <c r="G8" i="19"/>
  <c r="G53" i="21" l="1"/>
  <c r="G34" i="19"/>
  <c r="G47" i="21"/>
  <c r="G9" i="19"/>
  <c r="G48" i="21" l="1"/>
  <c r="G91" i="21"/>
  <c r="C55" i="21"/>
  <c r="G54" i="21"/>
  <c r="G92" i="21"/>
</calcChain>
</file>

<file path=xl/sharedStrings.xml><?xml version="1.0" encoding="utf-8"?>
<sst xmlns="http://schemas.openxmlformats.org/spreadsheetml/2006/main" count="1274" uniqueCount="987">
  <si>
    <t>The Walt Disney Company</t>
  </si>
  <si>
    <t>Acquisition of 21st Century Fox (RemainCo / TFCF)</t>
  </si>
  <si>
    <t>Closed March 20, 2019  ·  Total consideration $69,456mm  ·  Double-dummy structure</t>
  </si>
  <si>
    <t>Workbook: Wave 1 build (COVER · README · CONTROL · ASSUMPTIONS · DIS_HIST · FOX_HIST · S&amp;U · PPA)</t>
  </si>
  <si>
    <t>Version</t>
  </si>
  <si>
    <t>Wave 1 v1.0</t>
  </si>
  <si>
    <t>Prepared by</t>
  </si>
  <si>
    <t>Model status</t>
  </si>
  <si>
    <t>Note: historical foundations (DIS_HIST, FOX_HIST) are LOCKED; PPA values are PRELIMINARY reference pending FY2019 10-K validation.</t>
  </si>
  <si>
    <t>Units: $ in millions except per-share and shares.</t>
  </si>
  <si>
    <t>SOURCE REGISTER</t>
  </si>
  <si>
    <t>DIS-10K-18</t>
  </si>
  <si>
    <t>DIS-10K-16</t>
  </si>
  <si>
    <t>21CF-10K-18</t>
  </si>
  <si>
    <t>FOX-ER-19</t>
  </si>
  <si>
    <t>PROFORMA-A</t>
  </si>
  <si>
    <t>PROFORMA-D</t>
  </si>
  <si>
    <t>DIS-10K-19</t>
  </si>
  <si>
    <t>COLOR LEGEND</t>
  </si>
  <si>
    <t>Blue = hardcoded input</t>
  </si>
  <si>
    <t>Black = in-sheet formula</t>
  </si>
  <si>
    <t>Green = link to another worksheet</t>
  </si>
  <si>
    <t>Red = audit check / flag</t>
  </si>
  <si>
    <t>CONVENTIONS &amp; NOTES</t>
  </si>
  <si>
    <t>Negatives shown in parentheses; zeros shown as "-".</t>
  </si>
  <si>
    <t>FY alignment: Disney FYE late-September; RemainCo FYE June 30 (noted on each sheet).</t>
  </si>
  <si>
    <t>Dependency: left-to-right (a sheet references only sheets to its left).</t>
  </si>
  <si>
    <t>DIS_HIST and FOX_HIST are LOCKED standalone foundations.</t>
  </si>
  <si>
    <t>Audit: each sheet carries check rows; CONTROL aggregates to MODEL OK.</t>
  </si>
  <si>
    <t>CHANGE LOG</t>
  </si>
  <si>
    <t>Initial build: COVER, README, CONTROL, ASSUMPTIONS, DIS_HIST, FOX_HIST, S&amp;U, PPA</t>
  </si>
  <si>
    <t>Scenario toggles · key deal outputs · audit panel · MODEL OK</t>
  </si>
  <si>
    <t>SCENARIO TOGGLES</t>
  </si>
  <si>
    <t>Scenario (Base / Upside / Downside)</t>
  </si>
  <si>
    <t>Base</t>
  </si>
  <si>
    <t>Iterative calculation (Off / On)</t>
  </si>
  <si>
    <t>Off</t>
  </si>
  <si>
    <t>KEY DEAL OUTPUTS (Wave 1)</t>
  </si>
  <si>
    <t>Total consideration</t>
  </si>
  <si>
    <t>Net new acquisition debt</t>
  </si>
  <si>
    <t>Assumed 21CF debt (book)</t>
  </si>
  <si>
    <t>21CF holders ownership %</t>
  </si>
  <si>
    <t>Total preliminary goodwill</t>
  </si>
  <si>
    <t>AUDIT PANEL</t>
  </si>
  <si>
    <t>DIS_HIST status</t>
  </si>
  <si>
    <t>FOX_HIST status</t>
  </si>
  <si>
    <t>S&amp;U status</t>
  </si>
  <si>
    <t>PPA status</t>
  </si>
  <si>
    <t>MODEL OK (Wave 1)</t>
  </si>
  <si>
    <t>WORKBOOK BUILD STATUS</t>
  </si>
  <si>
    <t>COVER</t>
  </si>
  <si>
    <t>COMPLETE</t>
  </si>
  <si>
    <t>README</t>
  </si>
  <si>
    <t>CONTROL</t>
  </si>
  <si>
    <t>ASSUMPTIONS</t>
  </si>
  <si>
    <t>DIS_HIST</t>
  </si>
  <si>
    <t>LOCKED</t>
  </si>
  <si>
    <t>DIS_PROJ</t>
  </si>
  <si>
    <t>FOX_HIST</t>
  </si>
  <si>
    <t>FOX_PROJ</t>
  </si>
  <si>
    <t>S&amp;U</t>
  </si>
  <si>
    <t>PPA</t>
  </si>
  <si>
    <t>PPA_DA</t>
  </si>
  <si>
    <t>SYNERGIES</t>
  </si>
  <si>
    <t>DEBT</t>
  </si>
  <si>
    <t>HULU</t>
  </si>
  <si>
    <t>DEFERRED</t>
  </si>
  <si>
    <t>RSN</t>
  </si>
  <si>
    <t>PF_IS</t>
  </si>
  <si>
    <t>PF_BS</t>
  </si>
  <si>
    <t>PF_CF</t>
  </si>
  <si>
    <t>ACCR_DIL</t>
  </si>
  <si>
    <t>SENS</t>
  </si>
  <si>
    <t>OUTPUT</t>
  </si>
  <si>
    <t>Legend:</t>
  </si>
  <si>
    <t>Green = COMPLETE / LOCKED   ·   Yellow = DEFERRED (HULU, RSN, PF_BS, PF_CF)</t>
  </si>
  <si>
    <t>$ in millions except per-share; blue = input, black = formula, green = link, red = check. Active case driven by CONTROL scenario toggle.</t>
  </si>
  <si>
    <t>Cash consideration</t>
  </si>
  <si>
    <t>Stock consideration (307mm sh × $110.00 close)</t>
  </si>
  <si>
    <t>New Disney shares issued to 21CF (mm)</t>
  </si>
  <si>
    <t>Disney closing price (3/19/2019)</t>
  </si>
  <si>
    <t>15-day VWAP (through 3/15/2019)</t>
  </si>
  <si>
    <t>Exchange ratio (= $38.00 / VWAP)</t>
  </si>
  <si>
    <t>Per-share 21CF consideration value</t>
  </si>
  <si>
    <t>New debt incurred (gross)</t>
  </si>
  <si>
    <t>Debt repaid from acquired RemainCo cash</t>
  </si>
  <si>
    <t>Assumed 21CF debt (fair value)</t>
  </si>
  <si>
    <t>Acquired RemainCo cash</t>
  </si>
  <si>
    <t>Payment to New Fox (tax true-up)</t>
  </si>
  <si>
    <t>Transaction fees &amp; expenses</t>
  </si>
  <si>
    <t>Disney legacy shares (basic, mm)</t>
  </si>
  <si>
    <t>Announced equity value (Dec-2017)</t>
  </si>
  <si>
    <t>Revised equity value (Jun-2018)</t>
  </si>
  <si>
    <t>TAX &amp; UNITS REFERENCE</t>
  </si>
  <si>
    <t>U.S. federal statutory rate (post-TCJA)</t>
  </si>
  <si>
    <t>FY2018 results distorted by one-time TCJA items</t>
  </si>
  <si>
    <t>Units: $ in millions; shares in millions; per-share in $.</t>
  </si>
  <si>
    <t>FY alignment: Disney FYE late-Sept; RemainCo FYE June 30.</t>
  </si>
  <si>
    <t>SCENARIO SELECTION</t>
  </si>
  <si>
    <t>Active scenario (linked from CONTROL)</t>
  </si>
  <si>
    <t>Scenario index (1=Base, 2=Upside, 3=Downside)</t>
  </si>
  <si>
    <t>DRIVER</t>
  </si>
  <si>
    <t>Hist ref</t>
  </si>
  <si>
    <t>Upside</t>
  </si>
  <si>
    <t>Downside</t>
  </si>
  <si>
    <t>Active</t>
  </si>
  <si>
    <t>Source / rationale</t>
  </si>
  <si>
    <t>Hist FY16–18 CAGR 1.7% (DIS_HIST). Affiliate fees vs cord-cutting; ESPN pressure.</t>
  </si>
  <si>
    <t>Hist CAGR 9.4%. Capacity/pricing; cyclical downside.</t>
  </si>
  <si>
    <t>Studio — revenue growth (%)</t>
  </si>
  <si>
    <t>Hist CAGR 2.9% (volatile, slate-driven).</t>
  </si>
  <si>
    <t>Consumer Products &amp; IM — revenue growth (%)</t>
  </si>
  <si>
    <t>Hist CAGR -8.3%. Secular licensing/games decline.</t>
  </si>
  <si>
    <t>Media Networks — operating margin (%)</t>
  </si>
  <si>
    <t>Hist FY18 27.0% (DIS_HIST segment OI).</t>
  </si>
  <si>
    <t>Parks &amp; Resorts — operating margin (%)</t>
  </si>
  <si>
    <t>Hist FY18 22.0%.</t>
  </si>
  <si>
    <t>Studio — operating margin (%)</t>
  </si>
  <si>
    <t>Hist FY18 29.8% (mix-dependent).</t>
  </si>
  <si>
    <t>Consumer Products &amp; IM — operating margin (%)</t>
  </si>
  <si>
    <t>Hist FY18 35.1%.</t>
  </si>
  <si>
    <t>D&amp;A — % of revenue</t>
  </si>
  <si>
    <t>Hist FY18 5.1%. Capex-linked.</t>
  </si>
  <si>
    <t>Capex — % of revenue</t>
  </si>
  <si>
    <t>Hist FY18 7.5%. Park investment cycle.</t>
  </si>
  <si>
    <t>Net working capital — Δ as % of Δrevenue</t>
  </si>
  <si>
    <t>Disney WC near-neutral; assume flat.</t>
  </si>
  <si>
    <t>Effective tax rate — normalized (%)</t>
  </si>
  <si>
    <t>Post-TCJA 21% fed + state. FY18 (~8%) distorted; pre-TCJA ~33%.</t>
  </si>
  <si>
    <t>Interest rate — standalone debt (%)</t>
  </si>
  <si>
    <t>Approx FY18 blended; Disney IG issuer.</t>
  </si>
  <si>
    <t>Dividend per share ($)</t>
  </si>
  <si>
    <t>FY18 ~$1.68/sh; semiannual.</t>
  </si>
  <si>
    <t>Share repurchases ($mm/yr)</t>
  </si>
  <si>
    <t>FY18 $3,577mm; SUSPENDED post-acquisition to delever.</t>
  </si>
  <si>
    <t>Diluted shares — standalone (mm)</t>
  </si>
  <si>
    <t>FY18 diluted 1,507; period-end 1,488; buybacks paused.</t>
  </si>
  <si>
    <t>B. FOX REMAINCO STANDALONE — revenue, margin &amp; below-the-line</t>
  </si>
  <si>
    <t>Cable Network Programming — revenue growth (%)</t>
  </si>
  <si>
    <t>Hist CAGR 9.3% (incl. Star India; RSNs held-for-sale excluded in continuing).</t>
  </si>
  <si>
    <t>Filmed Entertainment — revenue growth (%)</t>
  </si>
  <si>
    <t>Hist CAGR 1.4% (slate-driven).</t>
  </si>
  <si>
    <t>RemainCo OIBDA margin (%)</t>
  </si>
  <si>
    <t>Hist FY18 20.3% (FOX_HIST).</t>
  </si>
  <si>
    <t>Hist FY18 2.0%.</t>
  </si>
  <si>
    <t>Content/networks capex-light; no separate RemainCo capex disclosed — analyst estimate.</t>
  </si>
  <si>
    <t>Hulu — equity-method loss ($mm/yr, pre-consol.)</t>
  </si>
  <si>
    <t>Hist FY18 -445 (growing); consolidates at close (see HULU).</t>
  </si>
  <si>
    <t>Interest rate — assumed 21CF debt (%)</t>
  </si>
  <si>
    <t>Hist ~$1.2B / $19.2B book ≈ 6.3% coupon.</t>
  </si>
  <si>
    <t>Post-TCJA; FY18 distorted.</t>
  </si>
  <si>
    <t>C. SYNERGIES (management case — to be TESTED, not given)</t>
  </si>
  <si>
    <t>Run-rate cost synergies ($mm)</t>
  </si>
  <si>
    <t>Mgmt guidance: ≥$2.0B by FY2021.</t>
  </si>
  <si>
    <t>Costs to achieve — total ($mm, one-time)</t>
  </si>
  <si>
    <t>Est. ~0.5–1.0× run-rate (deal-typical).</t>
  </si>
  <si>
    <t>Revenue synergies ($mm)</t>
  </si>
  <si>
    <t>Excluded (conservative).</t>
  </si>
  <si>
    <t>Synergy realization phasing (% of run-rate):</t>
  </si>
  <si>
    <t>FY2019E</t>
  </si>
  <si>
    <t>FY2020E</t>
  </si>
  <si>
    <t>FY2021E</t>
  </si>
  <si>
    <t>FY2022E</t>
  </si>
  <si>
    <t>FY2023E</t>
  </si>
  <si>
    <t xml:space="preserve">  Cost-synergy realized (%)</t>
  </si>
  <si>
    <t>Ramp to full run-rate by FY2021 per guidance.</t>
  </si>
  <si>
    <t xml:space="preserve">  Costs-to-achieve incurred (%)</t>
  </si>
  <si>
    <t>Front-loaded integration spend.</t>
  </si>
  <si>
    <t>D. DEBT &amp; FINANCING</t>
  </si>
  <si>
    <t>New acquisition debt rate (%)</t>
  </si>
  <si>
    <t>Phase 3 weighted-avg ~3.3%.</t>
  </si>
  <si>
    <t>Assumed 21CF debt coupon (%)</t>
  </si>
  <si>
    <t>Book interest / debt.</t>
  </si>
  <si>
    <t>Debt FV-premium amortization ($mm/yr)</t>
  </si>
  <si>
    <t>PROFORMA-D e3a: ~$205mm/yr interest benefit.</t>
  </si>
  <si>
    <t>RSN sale proceeds ($mm)</t>
  </si>
  <si>
    <t>Sinclair $9,600 + YES $3,470 (FY2019).</t>
  </si>
  <si>
    <t>RSN proceeds applied to debt (%)</t>
  </si>
  <si>
    <t>Mandatory paydown.</t>
  </si>
  <si>
    <t>Minimum operating cash ($mm)</t>
  </si>
  <si>
    <t>Liquidity floor (assumption).</t>
  </si>
  <si>
    <t>FCF cash sweep to debt (%)</t>
  </si>
  <si>
    <t>Delever priority post-close.</t>
  </si>
  <si>
    <t>E. PURCHASE ACCOUNTING (PPA) — amortization &amp; tax</t>
  </si>
  <si>
    <t>Intangibles — useful life (yrs, wtd)</t>
  </si>
  <si>
    <t>Phase 4 framework; finite-lived SL.</t>
  </si>
  <si>
    <t>Film — recent releases life (SYD, yrs wtd)</t>
  </si>
  <si>
    <t>Phase 4 framework.</t>
  </si>
  <si>
    <t>Film — library life (SL, yrs wtd)</t>
  </si>
  <si>
    <t>Hulu intangibles — life (yrs, wtd)</t>
  </si>
  <si>
    <t>Deferred-tax rate on step-ups (%)</t>
  </si>
  <si>
    <t>Blended fed+state; non-taxable reorg → DTL.</t>
  </si>
  <si>
    <t>Goodwill amortization ($mm)</t>
  </si>
  <si>
    <t>None — impairment-only (ASC 350); non-deductible.</t>
  </si>
  <si>
    <t>F. PRO FORMA COMBINATION</t>
  </si>
  <si>
    <t>Intercompany eliminations (DIS↔RemainCo, $mm)</t>
  </si>
  <si>
    <t>Minimal direct intercompany; assume ~0.</t>
  </si>
  <si>
    <t>Combined effective tax rate (%)</t>
  </si>
  <si>
    <t>Blended normalized.</t>
  </si>
  <si>
    <t>RemainCo NCI — fair value ($mm)</t>
  </si>
  <si>
    <t>PPA (b9), preliminary.</t>
  </si>
  <si>
    <t>Hulu NCI 30% — fair value ($mm)</t>
  </si>
  <si>
    <t>PPA (c), preliminary.</t>
  </si>
  <si>
    <t>Hulu redeemable NCI 10% — fair value ($mm)</t>
  </si>
  <si>
    <t>Hulu remeasurement gain — one-time ($mm)</t>
  </si>
  <si>
    <t>Excluded from ongoing EPS.</t>
  </si>
  <si>
    <t>G. MACRO / TIMING</t>
  </si>
  <si>
    <t>Projection horizon</t>
  </si>
  <si>
    <t>FY2019E – FY2023E (5 years)</t>
  </si>
  <si>
    <t>Disney fiscal year-end</t>
  </si>
  <si>
    <t>Late September</t>
  </si>
  <si>
    <t>RemainCo fiscal year-end</t>
  </si>
  <si>
    <t>June 30</t>
  </si>
  <si>
    <t>Acquisition close date</t>
  </si>
  <si>
    <t>March 20, 2019</t>
  </si>
  <si>
    <t>CHECK: active scenario resolves (1–3)</t>
  </si>
  <si>
    <t>$ in millions except per share &amp; shares; fiscal year ended late September; all 52-week years</t>
  </si>
  <si>
    <t>Line item ($mm)</t>
  </si>
  <si>
    <t>FY2016</t>
  </si>
  <si>
    <t>FY2017</t>
  </si>
  <si>
    <t>FY2018</t>
  </si>
  <si>
    <t>Source</t>
  </si>
  <si>
    <t>INCOME STATEMENT</t>
  </si>
  <si>
    <t>Services revenue</t>
  </si>
  <si>
    <t>DIS FY2018 10-K (FYE 9/29/18) &amp; FY2016 10-K; LOCKED dataset, IS p.62</t>
  </si>
  <si>
    <t>Products revenue</t>
  </si>
  <si>
    <t>Total revenues</t>
  </si>
  <si>
    <t>Cost of services (excl. D&amp;A)</t>
  </si>
  <si>
    <t>Cost of products (excl. D&amp;A)</t>
  </si>
  <si>
    <t>Selling, general, administrative &amp; other</t>
  </si>
  <si>
    <t>Depreciation and amortization</t>
  </si>
  <si>
    <t>Total costs and expenses</t>
  </si>
  <si>
    <t>Restructuring and impairment charges</t>
  </si>
  <si>
    <t>Other income, net</t>
  </si>
  <si>
    <t>Interest expense, net</t>
  </si>
  <si>
    <t>Equity in the income (loss) of investees</t>
  </si>
  <si>
    <t>Income before income taxes</t>
  </si>
  <si>
    <t>Income taxes</t>
  </si>
  <si>
    <t>Net income</t>
  </si>
  <si>
    <t>Less: net income attributable to NCI</t>
  </si>
  <si>
    <t>Net income attributable to Disney</t>
  </si>
  <si>
    <t>Diluted weighted-average shares</t>
  </si>
  <si>
    <t>Basic weighted-average shares</t>
  </si>
  <si>
    <t>Diluted EPS (reported)</t>
  </si>
  <si>
    <t>Diluted EPS (computed)</t>
  </si>
  <si>
    <t>BALANCE SHEET</t>
  </si>
  <si>
    <t>Cash and cash equivalents</t>
  </si>
  <si>
    <t>DIS FY2018 10-K (FYE 9/29/18) &amp; FY2016 10-K; LOCKED dataset, BS p.64</t>
  </si>
  <si>
    <t>Receivables</t>
  </si>
  <si>
    <t>Inventories</t>
  </si>
  <si>
    <t>Television costs and advances</t>
  </si>
  <si>
    <t>Other current assets</t>
  </si>
  <si>
    <t>Total current assets</t>
  </si>
  <si>
    <t>Film and television costs</t>
  </si>
  <si>
    <t>Investments</t>
  </si>
  <si>
    <t>Attractions, buildings and equipment</t>
  </si>
  <si>
    <t>Accumulated depreciation</t>
  </si>
  <si>
    <t>Projects in progress</t>
  </si>
  <si>
    <t>Land</t>
  </si>
  <si>
    <t>Parks, resorts and other property, net</t>
  </si>
  <si>
    <t>Intangible assets, net</t>
  </si>
  <si>
    <t>Goodwill</t>
  </si>
  <si>
    <t>Other assets</t>
  </si>
  <si>
    <t>TOTAL ASSETS</t>
  </si>
  <si>
    <t>Accounts payable and other accrued liabilities</t>
  </si>
  <si>
    <t>Current portion of borrowings</t>
  </si>
  <si>
    <t>Deferred revenue and other (FY16: unearned royalties)</t>
  </si>
  <si>
    <t>Total current liabilities</t>
  </si>
  <si>
    <t>Borrowings (long-term)</t>
  </si>
  <si>
    <t>Deferred income taxes</t>
  </si>
  <si>
    <t>Other long-term liabilities</t>
  </si>
  <si>
    <t>Total liabilities</t>
  </si>
  <si>
    <t>Redeemable noncontrolling interests</t>
  </si>
  <si>
    <t>Common stock</t>
  </si>
  <si>
    <t>Retained earnings</t>
  </si>
  <si>
    <t>Accumulated other comprehensive loss</t>
  </si>
  <si>
    <t>Treasury stock, at cost</t>
  </si>
  <si>
    <t>Total Disney shareholders' equity</t>
  </si>
  <si>
    <t>Noncontrolling interests</t>
  </si>
  <si>
    <t>Total equity</t>
  </si>
  <si>
    <t>TOTAL LIABILITIES AND EQUITY</t>
  </si>
  <si>
    <t xml:space="preserve">  CHECK: Assets − Liab − Equity (=0)</t>
  </si>
  <si>
    <t>CASH FLOW STATEMENT</t>
  </si>
  <si>
    <t>ties to IS net income</t>
  </si>
  <si>
    <t>Gains on acquisitions and dispositions</t>
  </si>
  <si>
    <t>Equity in the (income) loss of investees</t>
  </si>
  <si>
    <t>Cash distributions from equity investees</t>
  </si>
  <si>
    <t>Net change in film and television costs</t>
  </si>
  <si>
    <t>Equity-based compensation</t>
  </si>
  <si>
    <t>Other</t>
  </si>
  <si>
    <t>Δ Receivables</t>
  </si>
  <si>
    <t>Δ Inventories</t>
  </si>
  <si>
    <t>Δ Other assets</t>
  </si>
  <si>
    <t>Δ Accounts payable and accrued liabilities</t>
  </si>
  <si>
    <t>Δ Income taxes</t>
  </si>
  <si>
    <t>Cash provided by operations</t>
  </si>
  <si>
    <t>Investments in parks, resorts &amp; other property</t>
  </si>
  <si>
    <t>Acquisitions</t>
  </si>
  <si>
    <t>Other investing activities</t>
  </si>
  <si>
    <t>Cash used in investing activities</t>
  </si>
  <si>
    <t>Commercial paper borrowings, net</t>
  </si>
  <si>
    <t>Borrowings</t>
  </si>
  <si>
    <t>Reduction of borrowings</t>
  </si>
  <si>
    <t>Dividends</t>
  </si>
  <si>
    <t>Repurchases of common stock</t>
  </si>
  <si>
    <t>Proceeds from exercise of stock options</t>
  </si>
  <si>
    <t>Contributions from NCI holders</t>
  </si>
  <si>
    <t>Other financing activities</t>
  </si>
  <si>
    <t>Cash used in financing activities</t>
  </si>
  <si>
    <t>Impact of exchange rates on cash</t>
  </si>
  <si>
    <t>Change in cash, cash equiv. &amp; restricted cash</t>
  </si>
  <si>
    <t>Cash, beginning of year</t>
  </si>
  <si>
    <t>Cash, end of year</t>
  </si>
  <si>
    <t>Memo: restricted cash (in other assets)</t>
  </si>
  <si>
    <t xml:space="preserve">  CHECK: CF end cash − (BS cash + restricted) (=0)</t>
  </si>
  <si>
    <t>Supplemental: interest paid</t>
  </si>
  <si>
    <t>Supplemental: income taxes paid</t>
  </si>
  <si>
    <t>SUPPORTING SCHEDULES</t>
  </si>
  <si>
    <t>Debt schedule</t>
  </si>
  <si>
    <t>Long-term borrowings</t>
  </si>
  <si>
    <t>Total borrowings</t>
  </si>
  <si>
    <t>Basic weighted-avg shares</t>
  </si>
  <si>
    <t>Share count</t>
  </si>
  <si>
    <t>Diluted weighted-avg shares</t>
  </si>
  <si>
    <t>Period-end shares outstanding</t>
  </si>
  <si>
    <t>Segment revenue (as-reported 4-segment):</t>
  </si>
  <si>
    <t xml:space="preserve">  Media Networks</t>
  </si>
  <si>
    <t>Segments</t>
  </si>
  <si>
    <t xml:space="preserve">  Parks and Resorts</t>
  </si>
  <si>
    <t xml:space="preserve">  Studio Entertainment</t>
  </si>
  <si>
    <t xml:space="preserve">  Consumer Products &amp; Interactive Media</t>
  </si>
  <si>
    <t xml:space="preserve">  Total segment revenue (ties to Total revenues)</t>
  </si>
  <si>
    <t xml:space="preserve">  CHECK: segment revenue − Total revenues (=0)</t>
  </si>
  <si>
    <t>Segment operating income (as-reported):</t>
  </si>
  <si>
    <t xml:space="preserve">  Total segment operating income</t>
  </si>
  <si>
    <t>SHEET STATUS</t>
  </si>
  <si>
    <t>$ in millions except per share; FY2018A linked from DIS_HIST; FY2019E–FY2023E driven by ASSUMPTIONS active case. Segment taxonomy = locked FY16–18 (4-segment).</t>
  </si>
  <si>
    <t>FY2018A</t>
  </si>
  <si>
    <t>Driver / source</t>
  </si>
  <si>
    <t>SEGMENT FORECAST (revenue · margin · operating income)</t>
  </si>
  <si>
    <t>ASSUMPTIONS!F35</t>
  </si>
  <si>
    <t>ASSUMPTIONS!F39</t>
  </si>
  <si>
    <t>ASSUMPTIONS!F36</t>
  </si>
  <si>
    <t>ASSUMPTIONS!F40</t>
  </si>
  <si>
    <t>ASSUMPTIONS!F37</t>
  </si>
  <si>
    <t>ASSUMPTIONS!F41</t>
  </si>
  <si>
    <t>ASSUMPTIONS!F38</t>
  </si>
  <si>
    <t>ASSUMPTIONS!F42</t>
  </si>
  <si>
    <t>CONSOLIDATED INCOME STATEMENT</t>
  </si>
  <si>
    <t>Consolidated revenue</t>
  </si>
  <si>
    <t>Total segment operating income</t>
  </si>
  <si>
    <t>Corporate, unallocated &amp; amortization</t>
  </si>
  <si>
    <t>Calibrated FY18A; held as % of revenue</t>
  </si>
  <si>
    <t>Operating income (EBIT)</t>
  </si>
  <si>
    <t>Depreciation &amp; amortization</t>
  </si>
  <si>
    <t>ASSUMPTIONS D&amp;A % of revenue</t>
  </si>
  <si>
    <t>EBITDA</t>
  </si>
  <si>
    <t>Restructuring &amp; impairment</t>
  </si>
  <si>
    <t>0</t>
  </si>
  <si>
    <t>Non-recurring; forecast 0</t>
  </si>
  <si>
    <t>FY18 one-time gains; forecast 0</t>
  </si>
  <si>
    <t>Equity in income of investees</t>
  </si>
  <si>
    <t>Standalone capital structure held flat</t>
  </si>
  <si>
    <t>Net interest expense</t>
  </si>
  <si>
    <t>Income before income taxes (EBT)</t>
  </si>
  <si>
    <t>FY18A actual (TCJA); forecast normalized</t>
  </si>
  <si>
    <t>Less: NI attributable to NCI</t>
  </si>
  <si>
    <t>Buybacks paused post-deal</t>
  </si>
  <si>
    <t>Diluted EPS</t>
  </si>
  <si>
    <t>KEY METRICS (summary)</t>
  </si>
  <si>
    <t>EBIT</t>
  </si>
  <si>
    <t>EBT (pre-tax income)</t>
  </si>
  <si>
    <t>Disney WC near-neutral</t>
  </si>
  <si>
    <t>Effective tax rate</t>
  </si>
  <si>
    <t>Diluted shares (mm)</t>
  </si>
  <si>
    <t>Share repurchases ($mm)</t>
  </si>
  <si>
    <t>AUDIT CHECKS (red = must be ~0)</t>
  </si>
  <si>
    <t>Segment revenue ties to consolidated (=0)</t>
  </si>
  <si>
    <t>Segment OI ties to total (=0)</t>
  </si>
  <si>
    <t>FY18A consolidated revenue ties to DIS_HIST (=0)</t>
  </si>
  <si>
    <t>FY18A EBT ties to DIS_HIST (=0)</t>
  </si>
  <si>
    <t>FY18A net income to Disney ties (=0)</t>
  </si>
  <si>
    <t>FY18A diluted EPS ties (≈0)</t>
  </si>
  <si>
    <t>$ in millions except per share &amp; shares; fiscal year ended June 30; authoritative pro forma RemainCo</t>
  </si>
  <si>
    <t>Revenues</t>
  </si>
  <si>
    <t>Disney 8-K/A Ex.99.4 RemainCo Pro Forma (Path A); LOCKED</t>
  </si>
  <si>
    <t>Operating expenses</t>
  </si>
  <si>
    <t>Selling, general and administrative</t>
  </si>
  <si>
    <t>OIBDA (Rev − OpEx − SG&amp;A)</t>
  </si>
  <si>
    <t>Impairment and restructuring charges</t>
  </si>
  <si>
    <t>EBIT (operating income)</t>
  </si>
  <si>
    <t>Equity earnings (losses) of affiliates</t>
  </si>
  <si>
    <t>Interest income</t>
  </si>
  <si>
    <t>Other, net</t>
  </si>
  <si>
    <t>Pre-tax income (continuing operations)</t>
  </si>
  <si>
    <t>Income tax benefit (expense)</t>
  </si>
  <si>
    <t>Income from continuing operations</t>
  </si>
  <si>
    <t>Net income attributable to RemainCo</t>
  </si>
  <si>
    <t xml:space="preserve">  CHECK: EPS computed − reported (≈0)</t>
  </si>
  <si>
    <t>CARVE-OUT BRIDGE (21CF total → RemainCo revenue)</t>
  </si>
  <si>
    <t>21CF total revenue</t>
  </si>
  <si>
    <t>21CF FY2018 10-K</t>
  </si>
  <si>
    <t>Less: New Fox (FOX) revenue removed (ASC 205)</t>
  </si>
  <si>
    <t>Ex.99.4 FOX col</t>
  </si>
  <si>
    <t>Plus: intercompany reversal (3.c)</t>
  </si>
  <si>
    <t>Ex.99.4 adj 3.c</t>
  </si>
  <si>
    <t>RemainCo revenue</t>
  </si>
  <si>
    <t xml:space="preserve">  CHECK: bridge − Path A revenue (=0)</t>
  </si>
  <si>
    <t>EQUITY AFFILIATES &amp; KEY ITEMS</t>
  </si>
  <si>
    <t>Sky (39%, sold to cash Oct-2018; excl. FY18)</t>
  </si>
  <si>
    <t>excluded from acquired RemainCo</t>
  </si>
  <si>
    <t>Hulu (30%, retained equity method)</t>
  </si>
  <si>
    <t>→ 60% consolidation post-close</t>
  </si>
  <si>
    <t>Other equity affiliates</t>
  </si>
  <si>
    <t>RSN revenue (held-for-sale, FY2018 only)</t>
  </si>
  <si>
    <t>Ex.99.3 RSN removal col</t>
  </si>
  <si>
    <t>RSN OIBDA (held-for-sale, FY2018 only)</t>
  </si>
  <si>
    <t>Total 21CF revenue</t>
  </si>
  <si>
    <t xml:space="preserve">  CHECK: segment total − 21CF total (=0)</t>
  </si>
  <si>
    <t>Total 21CF Segment OIBDA</t>
  </si>
  <si>
    <t>REMAINCO BALANCE SHEET ANCHORS (12/31/2018)</t>
  </si>
  <si>
    <t>Total assets</t>
  </si>
  <si>
    <t>Cash (incl. ~$15.1B Sky + $6.5B dividend)</t>
  </si>
  <si>
    <t>Total borrowings (current 887 + non-curr 18,321)</t>
  </si>
  <si>
    <t>Goodwill (book) / Intangibles (book)</t>
  </si>
  <si>
    <t>Redeemable NCI (book)</t>
  </si>
  <si>
    <t>$ in millions; FY2018A linked from FOX_HIST (Path A); FY2019E–FY2023E driven by ASSUMPTIONS active case. Hulu equity-method; Sky excluded; RSN held-for-sale carried in Cable base, removed in RSN tab.</t>
  </si>
  <si>
    <t>SEGMENT REVENUE FORECAST (approved RemainCo structure)</t>
  </si>
  <si>
    <t>ASSUMPTIONS!F52</t>
  </si>
  <si>
    <t xml:space="preserve">  Cable Networks &amp; Other (incl. RSN held-for-sale)</t>
  </si>
  <si>
    <t>remainco consol. − Filmed (FOX_HIST)</t>
  </si>
  <si>
    <t>ASSUMPTIONS!F53</t>
  </si>
  <si>
    <t>MARGIN &amp; OIBDA</t>
  </si>
  <si>
    <t xml:space="preserve">  RemainCo OIBDA margin %</t>
  </si>
  <si>
    <t>ASSUMPTIONS!F54 (single blended RemainCo margin)</t>
  </si>
  <si>
    <t>Consolidated OIBDA</t>
  </si>
  <si>
    <t>INCOME STATEMENT (OIBDA → net income)</t>
  </si>
  <si>
    <t>Impairment &amp; restructuring</t>
  </si>
  <si>
    <t>ebit + d&amp;a</t>
  </si>
  <si>
    <t>Hulu equity-method (ASSUMPTIONS); Sky excluded</t>
  </si>
  <si>
    <t>Standalone debt held at FY18A</t>
  </si>
  <si>
    <t>Income tax (expense) benefit</t>
  </si>
  <si>
    <t>Revenue</t>
  </si>
  <si>
    <t>OIBDA</t>
  </si>
  <si>
    <t>RemainCo debt (held flat)</t>
  </si>
  <si>
    <t>Hulu equity income / (loss)</t>
  </si>
  <si>
    <t>Equity-method retained</t>
  </si>
  <si>
    <t>Segment OIBDA ties to consolidated (=0)</t>
  </si>
  <si>
    <t>FY18A revenue ties to FOX_HIST (=0)</t>
  </si>
  <si>
    <t>FY18A OIBDA ties to FOX_HIST (=0)</t>
  </si>
  <si>
    <t>FY18A EBIT ties to FOX_HIST (=0)</t>
  </si>
  <si>
    <t>FY18A net income attributable ties (=0)</t>
  </si>
  <si>
    <t>$ in millions; green = link to ASSUMPTIONS; red = check</t>
  </si>
  <si>
    <t>SOURCES OF FUNDS</t>
  </si>
  <si>
    <t>New Disney common stock issued to 21CF holders</t>
  </si>
  <si>
    <t>New debt incurred ("New Indebtedness")</t>
  </si>
  <si>
    <t>Total financing sources</t>
  </si>
  <si>
    <t>USES OF FUNDS</t>
  </si>
  <si>
    <t>Stock consideration to 21CF holders</t>
  </si>
  <si>
    <t>Cash consideration to 21CF holders</t>
  </si>
  <si>
    <t>Total equity purchase price</t>
  </si>
  <si>
    <t xml:space="preserve">  CHECK: Sources − Uses (=0)</t>
  </si>
  <si>
    <t>TRANSACTION CASH BRIDGE</t>
  </si>
  <si>
    <t>Gross new borrowings</t>
  </si>
  <si>
    <t>Less: repaid from acquired RemainCo cash</t>
  </si>
  <si>
    <t>Assumed 21CF debt (book; FV ~22,800)</t>
  </si>
  <si>
    <t>VALUE RECONCILIATION</t>
  </si>
  <si>
    <t>Recorded consideration (Mar-2019)</t>
  </si>
  <si>
    <t>OWNERSHIP FRAMEWORK</t>
  </si>
  <si>
    <t>New shares issued to 21CF holders (mm)</t>
  </si>
  <si>
    <t>Total New Disney shares (mm)</t>
  </si>
  <si>
    <t>Disney holders ownership %</t>
  </si>
  <si>
    <t>Per-share value / exchange ratio</t>
  </si>
  <si>
    <t>$ in millions; blue = preliminary reference (to be validated vs Disney FY2019 10-K); green = link; red = check</t>
  </si>
  <si>
    <t>Purchase consideration</t>
  </si>
  <si>
    <t>from S&amp;U</t>
  </si>
  <si>
    <t>RemainCo book equity</t>
  </si>
  <si>
    <t>from FOX_HIST anchors</t>
  </si>
  <si>
    <t>RemainCo redeemable NCI (book)</t>
  </si>
  <si>
    <t>Eliminate: book goodwill</t>
  </si>
  <si>
    <t>Disney 8-K/A Ex.99.3 (b2)</t>
  </si>
  <si>
    <t>Eliminate: book intangibles</t>
  </si>
  <si>
    <t>Eliminate: book investments</t>
  </si>
  <si>
    <t>Eliminate: book film &amp; TV costs</t>
  </si>
  <si>
    <t>Step-up: film &amp; TV costs to FV</t>
  </si>
  <si>
    <t>(b3)</t>
  </si>
  <si>
    <t>Step-up: intangibles to FV</t>
  </si>
  <si>
    <t>(b4)</t>
  </si>
  <si>
    <t>Step-up: RemainCo 30% Hulu to FV</t>
  </si>
  <si>
    <t>(b5)</t>
  </si>
  <si>
    <t>Step-up: other equity affiliates to FV</t>
  </si>
  <si>
    <t>FV adj: deferred revenue</t>
  </si>
  <si>
    <t>(b6)</t>
  </si>
  <si>
    <t>FV adj: debt to fair value</t>
  </si>
  <si>
    <t>(b7)</t>
  </si>
  <si>
    <t>FV adj: deferred taxes</t>
  </si>
  <si>
    <t>(b8)</t>
  </si>
  <si>
    <t>FV adj: NCI to fair value</t>
  </si>
  <si>
    <t>(b9)</t>
  </si>
  <si>
    <t>FV adj: redeemable NCI to fair value</t>
  </si>
  <si>
    <t>FV of net identifiable assets acquired</t>
  </si>
  <si>
    <t xml:space="preserve">  Memo: FV of 100% identifiable net assets</t>
  </si>
  <si>
    <t xml:space="preserve">  Memo: goodwill via standard formula</t>
  </si>
  <si>
    <t xml:space="preserve">  CHECK: goodwill identity (=0)</t>
  </si>
  <si>
    <t>FV of New Disney 60% interest</t>
  </si>
  <si>
    <t>Ex.99.3 (c)</t>
  </si>
  <si>
    <t>+ NCI (30%) at fair value</t>
  </si>
  <si>
    <t>+ Redeemable NCI (10%) at fair value</t>
  </si>
  <si>
    <t>Total Hulu fair value (100%)</t>
  </si>
  <si>
    <t>− FV of identifiable net assets</t>
  </si>
  <si>
    <t>Memo: Hulu remeasurement gain (one-time)</t>
  </si>
  <si>
    <t>(c) FV 4,500 vs CV (169)</t>
  </si>
  <si>
    <t>TOTAL PRELIMINARY GOODWILL (RemainCo + Hulu)</t>
  </si>
  <si>
    <t>Asset class</t>
  </si>
  <si>
    <t>FV step-up</t>
  </si>
  <si>
    <t>Life (yrs)</t>
  </si>
  <si>
    <t>Method / source</t>
  </si>
  <si>
    <t>INTANGIBLE ASSET AMORTIZATION</t>
  </si>
  <si>
    <t xml:space="preserve">  RemainCo intangibles (finite-lived)</t>
  </si>
  <si>
    <t>SL 11yr; PPA (b4) $25,732</t>
  </si>
  <si>
    <t>FILM &amp; TELEVISION STEP-UP AMORTIZATION</t>
  </si>
  <si>
    <t xml:space="preserve">  Film &amp; TV step-up (total)</t>
  </si>
  <si>
    <t>PPA (b3) $10,442; allocated below</t>
  </si>
  <si>
    <t xml:space="preserve">  Recent-releases share of film step-up (%)</t>
  </si>
  <si>
    <t>Analyst allocation; refine w/ FY2019 10-K detail</t>
  </si>
  <si>
    <t>Sum-of-years-digits 8yr (accelerated)</t>
  </si>
  <si>
    <t>SL 9yr</t>
  </si>
  <si>
    <t>HULU INTANGIBLE AMORTIZATION</t>
  </si>
  <si>
    <t xml:space="preserve">  Hulu intangibles (trade name, tech, subs)</t>
  </si>
  <si>
    <t>SL 10yr; PPA (c1) $2,324</t>
  </si>
  <si>
    <t>TOTAL INCREMENTAL PPA AMORTIZATION</t>
  </si>
  <si>
    <t>Total incremental PPA amortization</t>
  </si>
  <si>
    <t xml:space="preserve">  Debt FV premium (recorded)</t>
  </si>
  <si>
    <t>PPA (b7) FV adj</t>
  </si>
  <si>
    <t xml:space="preserve">  Premium amortization (interest benefit)</t>
  </si>
  <si>
    <t>Reduces interest expense ~$205/yr (ASSUMPTIONS F70)</t>
  </si>
  <si>
    <t>P&amp;L IMPACT</t>
  </si>
  <si>
    <t>EBIT impact (amortization expense)</t>
  </si>
  <si>
    <t xml:space="preserve">  Add: debt FV premium amort (interest benefit)</t>
  </si>
  <si>
    <t>Pretax impact</t>
  </si>
  <si>
    <t xml:space="preserve">  Deferred-tax rate on step-ups (memo)</t>
  </si>
  <si>
    <t>After-tax impact</t>
  </si>
  <si>
    <t>Intangibles SL ties (annual×life − FV =0)</t>
  </si>
  <si>
    <t>Film library SL ties (=0)</t>
  </si>
  <si>
    <t>Hulu SL ties (=0)</t>
  </si>
  <si>
    <t>Film recent SYD yr-1 ties (=0)</t>
  </si>
  <si>
    <t>Film split ties to total (=0)</t>
  </si>
  <si>
    <t>Total ties to components, FY2019E (=0)</t>
  </si>
  <si>
    <t>Item ($mm)</t>
  </si>
  <si>
    <t>Run-rate / total</t>
  </si>
  <si>
    <t>SYNERGY CASE SELECTION (management guidance under test)</t>
  </si>
  <si>
    <t xml:space="preserve">  Base case run-rate cost synergies</t>
  </si>
  <si>
    <t>Mgmt: ≥$2.0B by FY2021</t>
  </si>
  <si>
    <t xml:space="preserve">  Upside case run-rate</t>
  </si>
  <si>
    <t xml:space="preserve">  Downside case run-rate</t>
  </si>
  <si>
    <t>Active run-rate (selected by CONTROL scenario)</t>
  </si>
  <si>
    <t>CHOOSE on CONTROL scenario</t>
  </si>
  <si>
    <t>REALIZATION PHASING (approved ramp)</t>
  </si>
  <si>
    <t xml:space="preserve">  Cost-synergy realized (% of run-rate)</t>
  </si>
  <si>
    <t>Approved ramp 10 / 50 / 90 / 100 / 100</t>
  </si>
  <si>
    <t xml:space="preserve">  Costs-to-achieve incurred (% of total)</t>
  </si>
  <si>
    <t>Front-loaded 40 / 40 / 20 / 0 / 0</t>
  </si>
  <si>
    <t>COST SYNERGIES</t>
  </si>
  <si>
    <t xml:space="preserve">  Run-rate cost synergies</t>
  </si>
  <si>
    <t xml:space="preserve">  Cost synergies realized</t>
  </si>
  <si>
    <t>REVENUE SYNERGIES</t>
  </si>
  <si>
    <t xml:space="preserve">  Run-rate revenue synergies</t>
  </si>
  <si>
    <t>Excluded (conservative; base 0)</t>
  </si>
  <si>
    <t xml:space="preserve">  Revenue synergies realized</t>
  </si>
  <si>
    <t>INTEGRATION COSTS (costs to achieve)</t>
  </si>
  <si>
    <t xml:space="preserve">  Total costs to achieve (one-time)</t>
  </si>
  <si>
    <t xml:space="preserve">  Costs to achieve incurred</t>
  </si>
  <si>
    <t>EBITDA impact (recurring)</t>
  </si>
  <si>
    <t>EBIT impact</t>
  </si>
  <si>
    <t>EBITDA impact (synergies create no D&amp;A)</t>
  </si>
  <si>
    <t xml:space="preserve">  Less: costs to achieve (one-time)</t>
  </si>
  <si>
    <t>Pretax synergy impact</t>
  </si>
  <si>
    <t xml:space="preserve">  Combined tax rate (memo)</t>
  </si>
  <si>
    <t>After-tax synergy impact</t>
  </si>
  <si>
    <t>Full run-rate realized by FY2023 (=0)</t>
  </si>
  <si>
    <t>Costs-to-achieve fully incurred (=0)</t>
  </si>
  <si>
    <t>Realization ramp reaches 100% in FY2023 (=0)</t>
  </si>
  <si>
    <t>Costs-to-achieve %% sums to 100%% (=0)</t>
  </si>
  <si>
    <t>Active run-rate within case range (=0 if valid)</t>
  </si>
  <si>
    <t>$ in millions. Two tranches: new acquisition debt + assumed 21CF notes. Waterfall: RSN proceeds + cash sweep -&gt; new debt first, excess -&gt; assumed. Interest on beginning balances (non-circular). Drivers link ASSUMPTIONS; EBITDA from PF_IS.</t>
  </si>
  <si>
    <t>($mm)</t>
  </si>
  <si>
    <t>At close</t>
  </si>
  <si>
    <t>Notes</t>
  </si>
  <si>
    <t>DEBT STRUCTURE AT CLOSE</t>
  </si>
  <si>
    <t xml:space="preserve">  New acquisition debt</t>
  </si>
  <si>
    <t>Net new borrowings (S&amp;U)</t>
  </si>
  <si>
    <t xml:space="preserve">  Assumed 21CF debt (book)</t>
  </si>
  <si>
    <t>FV ~22,800; premium amortized in interest</t>
  </si>
  <si>
    <t xml:space="preserve">  Total debt at close</t>
  </si>
  <si>
    <t xml:space="preserve">  Beginning balance</t>
  </si>
  <si>
    <t xml:space="preserve">  Additions</t>
  </si>
  <si>
    <t xml:space="preserve">  RSN-proceeds paydown</t>
  </si>
  <si>
    <t xml:space="preserve">  Cash-sweep paydown</t>
  </si>
  <si>
    <t xml:space="preserve">  Ending balance</t>
  </si>
  <si>
    <t xml:space="preserve">  Cash-sweep paydown (excess)</t>
  </si>
  <si>
    <t>TOTAL DEBT</t>
  </si>
  <si>
    <t xml:space="preserve">  Total paydowns</t>
  </si>
  <si>
    <t xml:space="preserve">  Weighted avg balance (memo)</t>
  </si>
  <si>
    <t>INTEREST EXPENSE</t>
  </si>
  <si>
    <t xml:space="preserve">  New acquisition debt interest</t>
  </si>
  <si>
    <t>Beginning balance x rate</t>
  </si>
  <si>
    <t xml:space="preserve">  Assumed 21CF interest (gross)</t>
  </si>
  <si>
    <t xml:space="preserve">  Less: FV-premium amortization</t>
  </si>
  <si>
    <t xml:space="preserve">  Total interest expense</t>
  </si>
  <si>
    <t xml:space="preserve">  Effective rate on avg debt (memo)</t>
  </si>
  <si>
    <t>CASH FLOW &amp; SWEEP (paydown capacity, proxy)</t>
  </si>
  <si>
    <t xml:space="preserve">  Pro forma EBITDA</t>
  </si>
  <si>
    <t>From PF_IS</t>
  </si>
  <si>
    <t xml:space="preserve">  Less: combined capex</t>
  </si>
  <si>
    <t xml:space="preserve">  Less: cash taxes</t>
  </si>
  <si>
    <t xml:space="preserve">  Less: cash interest</t>
  </si>
  <si>
    <t xml:space="preserve">  FCF available for paydown</t>
  </si>
  <si>
    <t xml:space="preserve">  Cash sweep to debt</t>
  </si>
  <si>
    <t xml:space="preserve">  RSN-proceeds available</t>
  </si>
  <si>
    <t xml:space="preserve">  Total paydown available</t>
  </si>
  <si>
    <t>LEVERAGE</t>
  </si>
  <si>
    <t xml:space="preserve">  Total debt / EBITDA</t>
  </si>
  <si>
    <t xml:space="preserve">  Cash (assumed min operating)</t>
  </si>
  <si>
    <t xml:space="preserve">  Net debt / EBITDA</t>
  </si>
  <si>
    <t>Beg + Add - Paydowns = End (total, FY19E =0)</t>
  </si>
  <si>
    <t>Total debt tie at close (=0)</t>
  </si>
  <si>
    <t>Total = tranches every year (FY19E..23E max abs)</t>
  </si>
  <si>
    <t>Interest = components (FY19E =0)</t>
  </si>
  <si>
    <t>Leverage tie: Debt/EBITDA x EBITDA - Debt (FY19E =0)</t>
  </si>
  <si>
    <t>Ending debt non-negative (min across yrs, &gt;=0)</t>
  </si>
  <si>
    <t>HULU — Step Acquisition &amp; Consolidation</t>
  </si>
  <si>
    <t>$ in millions; fair values linked from PPA Schedule 4B</t>
  </si>
  <si>
    <t>OWNERSHIP &amp; REMEASUREMENT (preliminary reference)</t>
  </si>
  <si>
    <t>NCI (30%) at fair value</t>
  </si>
  <si>
    <t>Redeemable NCI (10%) at fair value</t>
  </si>
  <si>
    <t>Goodwill — Hulu (preliminary)</t>
  </si>
  <si>
    <t>Remeasurement gain (one-time, to earnings)</t>
  </si>
  <si>
    <t>STATUS: To be completed in later phase</t>
  </si>
  <si>
    <t>Hulu P&amp;L consolidation, NCI allocation roll-forward, and elimination of equity-method losses to be completed.</t>
  </si>
  <si>
    <t>RSN — Regional Sports Networks (Held-for-Sale)</t>
  </si>
  <si>
    <t>$ in millions; FY2018 results linked from FOX_HIST; disposal group per Phase 4</t>
  </si>
  <si>
    <t>HELD-FOR-SALE CARVE-OUT (reference)</t>
  </si>
  <si>
    <t>RSN revenue (FY2018)</t>
  </si>
  <si>
    <t>RSN OIBDA (FY2018)</t>
  </si>
  <si>
    <t>Disposal-group net assets at fair value</t>
  </si>
  <si>
    <t>Disney 8-K/A Ex.99.3 (g)</t>
  </si>
  <si>
    <t>Estimated sale proceeds (Sinclair + YES)</t>
  </si>
  <si>
    <t>Removal of RSN from continuing pro forma, gain/loss on sale, and debt paydown to be completed.</t>
  </si>
  <si>
    <t>$ in millions except per share. Bridge: Disney standalone + Fox RemainCo + Synergies − PPA_DA = Pro Forma. Links: DIS_PROJ, FOX_PROJ, SYNERGIES, PPA_DA (yr cols D–H), ASSUMPTIONS.</t>
  </si>
  <si>
    <t>REVENUE</t>
  </si>
  <si>
    <t xml:space="preserve">  Disney standalone</t>
  </si>
  <si>
    <t xml:space="preserve">  Fox RemainCo standalone</t>
  </si>
  <si>
    <t xml:space="preserve">  + Synergies</t>
  </si>
  <si>
    <t xml:space="preserve">  − PPA purchase-accounting</t>
  </si>
  <si>
    <t>Pro forma revenue</t>
  </si>
  <si>
    <t>Pro forma EBITDA</t>
  </si>
  <si>
    <t>Pro forma EBIT</t>
  </si>
  <si>
    <t>Pro forma EBT</t>
  </si>
  <si>
    <t>INCOME TAXES</t>
  </si>
  <si>
    <t>Pro forma income taxes</t>
  </si>
  <si>
    <t>NET INCOME</t>
  </si>
  <si>
    <t>Pro forma net income (before NCI)</t>
  </si>
  <si>
    <t>Pro forma noncontrolling interests</t>
  </si>
  <si>
    <t>Net income attributable to New Disney</t>
  </si>
  <si>
    <t>DILUTED SHARES</t>
  </si>
  <si>
    <t xml:space="preserve">  Disney standalone diluted shares</t>
  </si>
  <si>
    <t xml:space="preserve">  + New Disney shares issued to 21CF</t>
  </si>
  <si>
    <t>Pro forma diluted shares</t>
  </si>
  <si>
    <t>EPS</t>
  </si>
  <si>
    <t xml:space="preserve">  Disney standalone diluted EPS (memo)</t>
  </si>
  <si>
    <t>Pro forma diluted EPS</t>
  </si>
  <si>
    <t>Combined revenue tie (PF − DIS − FOX − syn, FY19E =0)</t>
  </si>
  <si>
    <t>Combined EBIT tie (FY19E =0)</t>
  </si>
  <si>
    <t>Combined net income tie (PF NI attr − components, FY19E =0)</t>
  </si>
  <si>
    <t>EPS calculation tie (PF EPS×shares − NI attr, FY19E =0)</t>
  </si>
  <si>
    <t>DEBT FINANCING INTEGRATION  (drives EBT -&gt; Taxes -&gt; NI -&gt; EPS above)</t>
  </si>
  <si>
    <t xml:space="preserve">  Remove Fox standalone interest (add-back)</t>
  </si>
  <si>
    <t>Replaced by DEBT schedule</t>
  </si>
  <si>
    <t xml:space="preserve">  Less: new acquisition debt interest</t>
  </si>
  <si>
    <t xml:space="preserve">  Less: assumed 21CF interest (DEBT)</t>
  </si>
  <si>
    <t>Premium benefit stays in PPA layer</t>
  </si>
  <si>
    <t xml:space="preserve">  Tax effect at combined rate</t>
  </si>
  <si>
    <t>EPS RECONCILIATION:  PRE- vs POST-DEBT INTEGRATION</t>
  </si>
  <si>
    <t xml:space="preserve">  Impact of DEBT financing (per share)</t>
  </si>
  <si>
    <t>Recon tie: before + impact − after (FY19E =0)</t>
  </si>
  <si>
    <t>PF_BS — Pro Forma Balance Sheet (opening)</t>
  </si>
  <si>
    <t>$ in millions; opening combined balance sheet at close + roll-forward</t>
  </si>
  <si>
    <t>DIS</t>
  </si>
  <si>
    <t>FOX RemainCo</t>
  </si>
  <si>
    <t>PPA adj</t>
  </si>
  <si>
    <t>Synergies</t>
  </si>
  <si>
    <t>Debt</t>
  </si>
  <si>
    <t>Hulu</t>
  </si>
  <si>
    <t>Pro Forma</t>
  </si>
  <si>
    <t>OPENING BALANCE SHEET (structure)</t>
  </si>
  <si>
    <t>Film, TV &amp; content</t>
  </si>
  <si>
    <t>Property, net</t>
  </si>
  <si>
    <t>Intangible assets</t>
  </si>
  <si>
    <t>Other liabilities</t>
  </si>
  <si>
    <t>Redeemable NCI</t>
  </si>
  <si>
    <t>TOTAL LIAB &amp; EQUITY</t>
  </si>
  <si>
    <t>Opening-BS bridge (DIS + RemainCo at FV + PPA goodwill/step-ups + new debt/equity) to be completed.</t>
  </si>
  <si>
    <t>PF_CF — Pro Forma Cash Flow</t>
  </si>
  <si>
    <t>$ in millions; combined indirect-method cash flow</t>
  </si>
  <si>
    <t>COMBINED CASH FLOW (structure)</t>
  </si>
  <si>
    <t>PPA amortization</t>
  </si>
  <si>
    <t>Working capital</t>
  </si>
  <si>
    <t>Cash from operations</t>
  </si>
  <si>
    <t>Capex</t>
  </si>
  <si>
    <t>RSN sale proceeds</t>
  </si>
  <si>
    <t>Cash from investing</t>
  </si>
  <si>
    <t>Debt repayment</t>
  </si>
  <si>
    <t>Cash from financing</t>
  </si>
  <si>
    <t>Net change in cash</t>
  </si>
  <si>
    <t xml:space="preserve">  CHECK: CF cash − BS cash (=0)</t>
  </si>
  <si>
    <t>Indirect-method build and cash tie-out to be completed after PF_IS / PF_BS.</t>
  </si>
  <si>
    <t>Pro forma EPS vs Disney standalone. Per-share bridge decomposes every driver incl. share issuance; cash-EPS view strips non-cash PPA amortization. Links: DIS_PROJ, FOX_PROJ, SYNERGIES, PPA_DA (yr D-H), PF_IS.</t>
  </si>
  <si>
    <t>Metric</t>
  </si>
  <si>
    <t>EPS SUMMARY</t>
  </si>
  <si>
    <t xml:space="preserve">  Disney standalone diluted EPS</t>
  </si>
  <si>
    <t xml:space="preserve">  Pro forma diluted EPS</t>
  </si>
  <si>
    <t xml:space="preserve">    memo: pro forma / Disney diluted shares</t>
  </si>
  <si>
    <t>EPS BRIDGE  (Disney standalone -&gt; Pro forma, $/sh)</t>
  </si>
  <si>
    <t xml:space="preserve">  Disney standalone EPS</t>
  </si>
  <si>
    <t xml:space="preserve">  (−) Dilution from new shares issued</t>
  </si>
  <si>
    <t xml:space="preserve">  (+) Fox earnings contribution</t>
  </si>
  <si>
    <t xml:space="preserve">  (+) Cost &amp; revenue synergies</t>
  </si>
  <si>
    <t xml:space="preserve">  (−) Integration costs</t>
  </si>
  <si>
    <t xml:space="preserve">  (−) PPA amortization</t>
  </si>
  <si>
    <t xml:space="preserve">  (+/−) Financing costs (DEBT)</t>
  </si>
  <si>
    <t xml:space="preserve">  = Pro forma EPS</t>
  </si>
  <si>
    <t>DRIVER CONTRIBUTION TO NET INCOME  ($mm, after-tax)</t>
  </si>
  <si>
    <t xml:space="preserve">  Disney net income attributable</t>
  </si>
  <si>
    <t xml:space="preserve">  Fox net income attributable</t>
  </si>
  <si>
    <t xml:space="preserve">  Cost &amp; revenue synergies</t>
  </si>
  <si>
    <t xml:space="preserve">  Integration costs</t>
  </si>
  <si>
    <t xml:space="preserve">  PPA amortization</t>
  </si>
  <si>
    <t xml:space="preserve">  Financing (DEBT integration)</t>
  </si>
  <si>
    <t xml:space="preserve">  = Pro forma net income attributable</t>
  </si>
  <si>
    <t>CASH EPS  (excl. non-cash PPA step-up amortization)</t>
  </si>
  <si>
    <t xml:space="preserve">  Pro forma net income attributable</t>
  </si>
  <si>
    <t xml:space="preserve">  Add back: PPA step-up amort, after-tax</t>
  </si>
  <si>
    <t xml:space="preserve">  Cash pro forma net income</t>
  </si>
  <si>
    <t xml:space="preserve">  Cash pro forma EPS</t>
  </si>
  <si>
    <t>CUMULATIVE VALUE CREATION  (running; FY2023E col = 5-yr total)</t>
  </si>
  <si>
    <t xml:space="preserve">  Cumulative incremental NI vs standalone ($mm)</t>
  </si>
  <si>
    <t xml:space="preserve">  Cumulative net synergies, after-tax ($mm)</t>
  </si>
  <si>
    <t xml:space="preserve">  Cumulative PPA amortization, after-tax ($mm)</t>
  </si>
  <si>
    <t xml:space="preserve">  Cumulative financing impact, after-tax ($mm)</t>
  </si>
  <si>
    <t xml:space="preserve">  Cumulative GAAP accretion / (dilution) ($/sh)</t>
  </si>
  <si>
    <t xml:space="preserve">  Cumulative cash accretion / (dilution) ($/sh)</t>
  </si>
  <si>
    <t>EPS bridge ties to PF EPS (FY19E =0)</t>
  </si>
  <si>
    <t>Driver $ sum = PF NI attributable (FY19E =0)</t>
  </si>
  <si>
    <t>Accretion $ = PF EPS − DIS EPS (FY19E =0)</t>
  </si>
  <si>
    <t>Synergy split ties to PF_IS (FY19E =0)</t>
  </si>
  <si>
    <t>Cash EPS ≥ GAAP EPS (min add-back, ≥0)</t>
  </si>
  <si>
    <t>Robustness of cash-accretion conclusions. Analytical perturbations of the live model (exact at FY2023E: all debt repaid by FY2022E, so no second-order paydown effect). $/sh; A/(D) vs Disney standalone.</t>
  </si>
  <si>
    <t>Synergy realization (% of run-rate)</t>
  </si>
  <si>
    <t>Cash EPS</t>
  </si>
  <si>
    <t>Cash A/(D) %</t>
  </si>
  <si>
    <t xml:space="preserve">   base case</t>
  </si>
  <si>
    <t>New-acq debt rate</t>
  </si>
  <si>
    <t>Cash EPS FY19E</t>
  </si>
  <si>
    <t>Cash A/(D)% FY19E</t>
  </si>
  <si>
    <t>Cash EPS FY23E</t>
  </si>
  <si>
    <t>Cash A/(D)% FY23E</t>
  </si>
  <si>
    <t>Syn ↓ / Rate →</t>
  </si>
  <si>
    <t>Driver</t>
  </si>
  <si>
    <t>$/sh</t>
  </si>
  <si>
    <t>Direction</t>
  </si>
  <si>
    <t xml:space="preserve">   Fox earnings contribution</t>
  </si>
  <si>
    <t xml:space="preserve">   Cost &amp; revenue synergies (net of integration)</t>
  </si>
  <si>
    <t xml:space="preserve">   Debt paydown / deleveraging benefit</t>
  </si>
  <si>
    <t xml:space="preserve">   Financing costs (interest incurred)</t>
  </si>
  <si>
    <t xml:space="preserve">   Share issuance dilution</t>
  </si>
  <si>
    <t xml:space="preserve">   PPA amortization (non-cash)</t>
  </si>
  <si>
    <t xml:space="preserve">   = Net GAAP accretion / (dilution)</t>
  </si>
  <si>
    <t xml:space="preserve">      memo: ranked largest positive → largest negative (Fox &gt; Synergies &gt; Deleveraging &gt; Financing &gt; Shares &gt; PPA)</t>
  </si>
  <si>
    <t>5 · KEY SENSITIVITY CONCLUSIONS</t>
  </si>
  <si>
    <t xml:space="preserve">   Break-even synergy realization (FY2023E cash A/D = 0)</t>
  </si>
  <si>
    <t xml:space="preserve">   Break-even new-acq rate (FY2019E cash A/D = 0)</t>
  </si>
  <si>
    <t>Synergy base (100%) cash EPS ties to ACCR_DIL (FY23E =0)</t>
  </si>
  <si>
    <t>Financing base-rate cash EPS ties to ACCR_DIL (FY19E =0)</t>
  </si>
  <si>
    <t>Value-driver sum ties to GAAP A/(D) (FY23E =0)</t>
  </si>
  <si>
    <t>FY23E financing-rate range is invariant (=0)</t>
  </si>
  <si>
    <t>THE WALT DISNEY COMPANY  /  ACQUISITION OF 21st CENTURY FOX</t>
  </si>
  <si>
    <t>1 · TRANSACTION OVERVIEW</t>
  </si>
  <si>
    <t>Disney acquires the entertainment assets of 21st Century Fox (RemainCo) in a $69.5bn cash-and-stock transaction (closed Mar-2019). Consideration was funded ~51% cash / ~49% new Disney equity; the RSNs were divested and proceeds applied to debt. Double-dummy structure under TWDC Holdco.</t>
  </si>
  <si>
    <t xml:space="preserve">   Total consideration</t>
  </si>
  <si>
    <t xml:space="preserve">   Total preliminary goodwill</t>
  </si>
  <si>
    <t xml:space="preserve">   Hulu remeasurement gain (one-time)</t>
  </si>
  <si>
    <t xml:space="preserve">   Pro forma 21CF / Disney ownership</t>
  </si>
  <si>
    <t xml:space="preserve"> Fox →</t>
  </si>
  <si>
    <t xml:space="preserve">   Model status</t>
  </si>
  <si>
    <t>2 · DEAL TERMS</t>
  </si>
  <si>
    <t xml:space="preserve">   Cash consideration</t>
  </si>
  <si>
    <t>% of total →</t>
  </si>
  <si>
    <t xml:space="preserve">   Stock consideration</t>
  </si>
  <si>
    <t xml:space="preserve">   New Disney shares issued (mm)</t>
  </si>
  <si>
    <t xml:space="preserve">   Exchange ratio</t>
  </si>
  <si>
    <t xml:space="preserve">   Disney close price (3/19/19)</t>
  </si>
  <si>
    <t xml:space="preserve">   Assumed 21CF debt (book / FV)</t>
  </si>
  <si>
    <t>FV →</t>
  </si>
  <si>
    <t>3 · SOURCES &amp; USES</t>
  </si>
  <si>
    <t xml:space="preserve">   Sources</t>
  </si>
  <si>
    <t>Uses</t>
  </si>
  <si>
    <t xml:space="preserve">   New Disney equity issued</t>
  </si>
  <si>
    <t>Cash to 21CF holders</t>
  </si>
  <si>
    <t xml:space="preserve">   New debt incurred</t>
  </si>
  <si>
    <t>Stock to 21CF holders</t>
  </si>
  <si>
    <t xml:space="preserve">   Total sources</t>
  </si>
  <si>
    <t>Total uses</t>
  </si>
  <si>
    <t>4 · SYNERGY SUMMARY</t>
  </si>
  <si>
    <t xml:space="preserve">   Run-rate cost synergies (target)</t>
  </si>
  <si>
    <t xml:space="preserve">   Cost synergies realized</t>
  </si>
  <si>
    <t xml:space="preserve">   Realization % of run-rate</t>
  </si>
  <si>
    <t xml:space="preserve">   Costs to achieve (incurred)</t>
  </si>
  <si>
    <t xml:space="preserve">   After-tax synergy impact</t>
  </si>
  <si>
    <t>5 · DEBT &amp; DELEVERAGING SUMMARY</t>
  </si>
  <si>
    <t xml:space="preserve">   Total debt at close</t>
  </si>
  <si>
    <t xml:space="preserve">   % of total debt repaid</t>
  </si>
  <si>
    <t xml:space="preserve">   Total interest expense</t>
  </si>
  <si>
    <t xml:space="preserve">   Total debt / EBITDA</t>
  </si>
  <si>
    <t xml:space="preserve">   Net debt / EBITDA</t>
  </si>
  <si>
    <t xml:space="preserve">   Disney standalone EPS</t>
  </si>
  <si>
    <t xml:space="preserve">   Pro forma EPS</t>
  </si>
  <si>
    <t>7 · CASH EPS SUMMARY (excl. non-cash PPA amortization)</t>
  </si>
  <si>
    <t xml:space="preserve">   Cash pro forma EPS</t>
  </si>
  <si>
    <t xml:space="preserve">   GAAP EPS crossover (accretive from)</t>
  </si>
  <si>
    <t xml:space="preserve">   Cash EPS crossover (accretive from)</t>
  </si>
  <si>
    <t>8 · VALUE CREATION SUMMARY (cumulative; FY2023E = 5-yr total)</t>
  </si>
  <si>
    <t xml:space="preserve">   Cumulative net synergies, after-tax</t>
  </si>
  <si>
    <t xml:space="preserve">   Cumulative PPA amortization (non-cash)</t>
  </si>
  <si>
    <t xml:space="preserve">   Cumulative GAAP A/(D) per share</t>
  </si>
  <si>
    <t xml:space="preserve">   Cumulative cash A/(D) per share</t>
  </si>
  <si>
    <t>9 · KEY CONCLUSIONS</t>
  </si>
  <si>
    <t>•  GAAP-dilutive throughout the explicit forecast (−36% in FY2019E narrowing to −6% by FY2023E). Two structural, largely non-economic drivers explain nearly all of it: ~$1.2–1.4/sh from the 307mm new shares issued to fund the stock consideration, and ~$1.5–1.7/sh of non-cash purchase-accounting (PPA) amortization on the stepped-up intangibles and film assets.</t>
  </si>
  <si>
    <t>Consideration ties to S&amp;U (=0)</t>
  </si>
  <si>
    <t>GAAP A/(D) $ ties to ACCR_DIL (FY19E =0)</t>
  </si>
  <si>
    <t>Debt at close ties to S&amp;U + assumed (=0)</t>
  </si>
  <si>
    <t>Goodwill ties (RemainCo + Hulu, =0)</t>
  </si>
  <si>
    <t>Cash EPS crossover detected (text non-blank)</t>
  </si>
  <si>
    <t>EXECUTIVE CONCLUSION</t>
  </si>
  <si>
    <t>Year</t>
  </si>
  <si>
    <t>GAAP A/(D) %</t>
  </si>
  <si>
    <t>Synergy realization %</t>
  </si>
  <si>
    <t>Debt point</t>
  </si>
  <si>
    <t>Total debt</t>
  </si>
  <si>
    <t>EPS waterfall (FY2023E)</t>
  </si>
  <si>
    <t>Decrease</t>
  </si>
  <si>
    <t>Increase</t>
  </si>
  <si>
    <t>Total</t>
  </si>
  <si>
    <t>Running</t>
  </si>
  <si>
    <t>Disney Standalone EPS</t>
  </si>
  <si>
    <t>(−) Share issuance dilution</t>
  </si>
  <si>
    <t>(+) Fox earnings contribution</t>
  </si>
  <si>
    <t>(+) Synergies</t>
  </si>
  <si>
    <t>(−) Integration costs</t>
  </si>
  <si>
    <t>(−) PPA amortization</t>
  </si>
  <si>
    <t>(+/−) Financing costs</t>
  </si>
  <si>
    <t>Pro Forma EPS</t>
  </si>
  <si>
    <t>INSTITUTIONAL M&amp;A MERGER MODEL</t>
  </si>
  <si>
    <t>M&amp;A Deal Team - Lead Associate</t>
  </si>
  <si>
    <t>README - Documentation, Sources &amp; Conventions</t>
  </si>
  <si>
    <t>Disney FY2018 Form 10-K (FYE 9/29/2018) - IS/BS/CF, segments</t>
  </si>
  <si>
    <t>Disney FY2016 Form 10-K - FY2016 comparatives &amp; reclassifications</t>
  </si>
  <si>
    <t>21st Century Fox FY2018 Form 10-K (FYE 6/30/2018) - 21CF total, segments, equity affiliates</t>
  </si>
  <si>
    <t>Fox Corporation FY2019 earnings release (8-K Ex.99.1) - New Fox combined carve-out</t>
  </si>
  <si>
    <t>Disney 8-K/A Ex.99.4 - RemainCo pro forma (Path A, authoritative)</t>
  </si>
  <si>
    <t>Disney 8-K/A Ex.99.3 - Disney combined pro forma; PPA notes (b)/(c); RSN removal</t>
  </si>
  <si>
    <t>Disney FY2019 Form 10-K - FINAL PPA (PENDING validation)</t>
  </si>
  <si>
    <t>PPA figures are PRELIMINARY pro forma reference - to be validated vs Disney FY2019 10-K.</t>
  </si>
  <si>
    <t>CONTROL - Dashboard &amp; Audit Gate (Wave 1)</t>
  </si>
  <si>
    <t>Preliminary goodwill - RemainCo</t>
  </si>
  <si>
    <t>Preliminary goodwill - Hulu</t>
  </si>
  <si>
    <t>ASSUMPTIONS - Global Inputs, Transaction Terms &amp; Forecast Drivers</t>
  </si>
  <si>
    <t>A. DISNEY STANDALONE - revenue, margin &amp; corporate drivers</t>
  </si>
  <si>
    <t>Media Networks - revenue growth (%)</t>
  </si>
  <si>
    <t>Parks &amp; Resorts - revenue growth (%)</t>
  </si>
  <si>
    <t xml:space="preserve">TRANSACTION TERMS </t>
  </si>
  <si>
    <t xml:space="preserve">Disney 8-K/A Ex.99.3/99.4 </t>
  </si>
  <si>
    <t>DIS_HIST - The Walt Disney Company - Standalone Historicals (LOCKED)</t>
  </si>
  <si>
    <t>DIS_PROJ - The Walt Disney Company - Standalone Forecast</t>
  </si>
  <si>
    <t xml:space="preserve">  Media Networks - revenue growth %</t>
  </si>
  <si>
    <t xml:space="preserve">  Media Networks - revenue</t>
  </si>
  <si>
    <t xml:space="preserve">  Media Networks - operating margin %</t>
  </si>
  <si>
    <t xml:space="preserve">  Media Networks - operating income</t>
  </si>
  <si>
    <t xml:space="preserve">  Parks &amp; Resorts - revenue growth %</t>
  </si>
  <si>
    <t xml:space="preserve">  Parks &amp; Resorts - revenue</t>
  </si>
  <si>
    <t xml:space="preserve">  Parks &amp; Resorts - operating margin %</t>
  </si>
  <si>
    <t xml:space="preserve">  Parks &amp; Resorts - operating income</t>
  </si>
  <si>
    <t xml:space="preserve">  Studio Entertainment - revenue growth %</t>
  </si>
  <si>
    <t xml:space="preserve">  Studio Entertainment - revenue</t>
  </si>
  <si>
    <t xml:space="preserve">  Studio Entertainment - operating margin %</t>
  </si>
  <si>
    <t xml:space="preserve">  Studio Entertainment - operating income</t>
  </si>
  <si>
    <t xml:space="preserve">  Consumer Products &amp; Interactive Media - revenue growth %</t>
  </si>
  <si>
    <t xml:space="preserve">  Consumer Products &amp; Interactive Media - revenue</t>
  </si>
  <si>
    <t xml:space="preserve">  Consumer Products &amp; Interactive Media - operating margin %</t>
  </si>
  <si>
    <t xml:space="preserve">  Consumer Products &amp; Interactive Media - operating income</t>
  </si>
  <si>
    <t>Net debt (held at FY18A) - memo</t>
  </si>
  <si>
    <t>Interest rate (standalone) - memo</t>
  </si>
  <si>
    <t>Effective tax rate - memo</t>
  </si>
  <si>
    <t>D&amp;A - % of revenue</t>
  </si>
  <si>
    <t>D&amp;A - $</t>
  </si>
  <si>
    <t>Capex - % of revenue</t>
  </si>
  <si>
    <t>Capex - $</t>
  </si>
  <si>
    <t>Working capital - Δ% of Δrevenue</t>
  </si>
  <si>
    <t>Working capital - change</t>
  </si>
  <si>
    <t>INCOME STATEMENT (Path A - RemainCo)</t>
  </si>
  <si>
    <t>Memo - corporate allocation (combined vs ASC 205): ~$310mm FY18</t>
  </si>
  <si>
    <t>SEGMENTS - 21CF TOTAL (reference)</t>
  </si>
  <si>
    <t>Cable Network Programming - revenue</t>
  </si>
  <si>
    <t>Television - revenue</t>
  </si>
  <si>
    <t>Filmed Entertainment - revenue</t>
  </si>
  <si>
    <t>Other, Corporate &amp; Eliminations - revenue</t>
  </si>
  <si>
    <t>Cable Network Programming - OIBDA</t>
  </si>
  <si>
    <t>Television - OIBDA</t>
  </si>
  <si>
    <t>Filmed Entertainment - OIBDA</t>
  </si>
  <si>
    <t>Other - OIBDA</t>
  </si>
  <si>
    <t xml:space="preserve">FOX_HIST - Fox RemainCo (TFCF) - Standalone Historicals </t>
  </si>
  <si>
    <t>FOX_PROJ - Fox RemainCo (TFCF) - Standalone Forecast</t>
  </si>
  <si>
    <t xml:space="preserve">  Cable Networks &amp; Other - revenue growth %</t>
  </si>
  <si>
    <t xml:space="preserve">  Filmed Entertainment - revenue growth %</t>
  </si>
  <si>
    <t xml:space="preserve">  Filmed Entertainment - revenue</t>
  </si>
  <si>
    <t xml:space="preserve">  Cable Networks &amp; Other - OIBDA</t>
  </si>
  <si>
    <t xml:space="preserve">  Filmed Entertainment - OIBDA</t>
  </si>
  <si>
    <t>Equity earnings (losses) - Hulu</t>
  </si>
  <si>
    <t>RemainCo debt (held flat) - memo</t>
  </si>
  <si>
    <t>Interest rate (assumed debt) - memo</t>
  </si>
  <si>
    <t>Income tax - $</t>
  </si>
  <si>
    <t>Interest expense - $</t>
  </si>
  <si>
    <t>S&amp;U - Sources &amp; Uses (Phase 3, approved)</t>
  </si>
  <si>
    <t>SCHEDULE 4A - RemainCo (preliminary reference)</t>
  </si>
  <si>
    <t>GOODWILL - RemainCo (preliminary)</t>
  </si>
  <si>
    <t>SCHEDULE 4B - Hulu consolidation (preliminary reference)</t>
  </si>
  <si>
    <t>GOODWILL - Hulu (preliminary)</t>
  </si>
  <si>
    <t xml:space="preserve">PPA - Purchase Price Allocation </t>
  </si>
  <si>
    <t>PPA_DA - Purchase Accounting Depreciation &amp; Amortization Schedule</t>
  </si>
  <si>
    <t>$ in millions; FV step-ups linked from PPA; lives &amp; rates linked from ASSUMPTIONS active case. Amortization of preliminary step-ups - to be validated vs Disney FY2019 10-K.</t>
  </si>
  <si>
    <t xml:space="preserve">  Film - recent releases (SYD)</t>
  </si>
  <si>
    <t xml:space="preserve">  Film - library (SL)</t>
  </si>
  <si>
    <t>DEBT FAIR VALUE PREMIUM (reference - interest, not amortization expense)</t>
  </si>
  <si>
    <t>SYNERGIES - Synergy Realization Engine (test of management case)</t>
  </si>
  <si>
    <t>$ in millions; drivers linked to ASSUMPTIONS active case. Management guided ≥$2.0B run-rate by FY2021 - modeled here to be TESTED, not assumed. Default OFF unless scenario applies it downstream.</t>
  </si>
  <si>
    <t>DEBT - Acquisition Financing &amp; Debt Paydown Engine</t>
  </si>
  <si>
    <t>NEW ACQUISITION DEBT - ROLL-FORWARD</t>
  </si>
  <si>
    <t>ASSUMED 21CF DEBT - ROLL-FORWARD</t>
  </si>
  <si>
    <t>PF_IS - Pro Forma Income Statement (combined New Disney)</t>
  </si>
  <si>
    <t xml:space="preserve">  Net financing adjustment - pre-tax</t>
  </si>
  <si>
    <t xml:space="preserve">  Net financing adjustment - after-tax</t>
  </si>
  <si>
    <t xml:space="preserve">  Pro forma diluted EPS - before integration</t>
  </si>
  <si>
    <t xml:space="preserve">  Pro forma diluted EPS - after integration</t>
  </si>
  <si>
    <t>ACCR_DIL - Accretion / (Dilution) Analysis</t>
  </si>
  <si>
    <t xml:space="preserve">  Accretion / (dilution) - $</t>
  </si>
  <si>
    <t xml:space="preserve">  Accretion / (dilution) - %</t>
  </si>
  <si>
    <t xml:space="preserve">  Cash accretion / (dilution) - $</t>
  </si>
  <si>
    <t xml:space="preserve">  Cash accretion / (dilution) - %</t>
  </si>
  <si>
    <t>SENS - Sensitivity &amp; Scenario Analysis</t>
  </si>
  <si>
    <t>1 · SYNERGY SENSITIVITY  -  FY2023E</t>
  </si>
  <si>
    <t>2 · FINANCING SENSITIVITY  -  new-acquisition debt rate</t>
  </si>
  <si>
    <t>Note: FY2023E is invariant to the new-acq rate - the debt is fully retired by FY2020E (new-acq balance = 0). Financing-rate risk is concentrated in FY2019E.</t>
  </si>
  <si>
    <t>3 · TWO-WAY MATRIX  -  Cash A/(D) %   (rows: synergy %  ·  cols: new-acq rate)</t>
  </si>
  <si>
    <t>3a · FY2023E Cash A/(D) %  (terminal year - financing-invariant, see note)</t>
  </si>
  <si>
    <t>FY2023E: every column is identical - the financing rate has fully washed out via deleveraging; the matrix collapses to the synergy axis.</t>
  </si>
  <si>
    <t>3b · FY2019E Cash A/(D) %  (binding year - both drivers interact)</t>
  </si>
  <si>
    <t>4 · VALUE DRIVER RANKING  -  FY2023E EPS impact ($/sh), ranked</t>
  </si>
  <si>
    <t>•  Assumptions that matter most: PPA amortization (−$1.49/sh) and share issuance (−$1.41/sh) dominate the FY2023E bridge - both structural (non-cash / fixed by deal terms), not operating levers. Fox earnings (+$1.07), synergies (+$0.85) and deleveraging (+$0.49) are the offsetting positives.</t>
  </si>
  <si>
    <t>•  Break-even synergy is below 0% - FY2023E is cash-accretive even with zero synergies; synergies enhance but are not required for terminal-year cash accretion.</t>
  </si>
  <si>
    <t>•  Break-even new-acq financing rate is below 0% - even free debt would not make FY2019E cash-accretive; early-year dilution is driven by purchase accounting and share count, not financing cost.</t>
  </si>
  <si>
    <t>•  Conditions for cash accretion: achieved by FY2021E under essentially all tested synergy/financing scenarios. The conclusion is robust - it depends on deleveraging and Fox earnings, both of which hold across the sensitivity ranges, rather than on optimistic synergy or financing assumptions.</t>
  </si>
  <si>
    <t>Merger Model - Executive Summary  |  $ in millions except per share  |  all figures linked live to model engine</t>
  </si>
  <si>
    <t xml:space="preserve">   Total debt - ending</t>
  </si>
  <si>
    <t>6 · ACCRETION / (DILUTION) SUMMARY - GAAP</t>
  </si>
  <si>
    <t xml:space="preserve">   Accretion / (dilution) - $</t>
  </si>
  <si>
    <t xml:space="preserve">   Accretion / (dilution) - %</t>
  </si>
  <si>
    <t xml:space="preserve">   Cash accretion / (dilution) - $</t>
  </si>
  <si>
    <t xml:space="preserve">   Cash accretion / (dilution) - %</t>
  </si>
  <si>
    <t>•  Cash-accretive from FY2021E. Stripping out the non-cash PPA amortization, the transaction crosses into accretion in year three (+7%) and reaches +13% by FY2023E - the true cash economics are favorable well before GAAP EPS recovers.</t>
  </si>
  <si>
    <t>•  Primary value drivers: (i) Fox earnings contribution (+$0.8–1.1/sh); (ii) cost synergies ramping to the $2.0bn run-rate by FY2022E; and (iii) rapid deleveraging - RSN divestiture proceeds plus cash sweep retire all acquisition and assumed debt by FY2022E, turning financing from a drag into an EPS tailwind.</t>
  </si>
  <si>
    <t>•  Bottom line: a classic large, intangible-heavy stock-and-cash acquisition - optically GAAP-dilutive due to share issuance and purchase accounting, but cash-accretive within three years and deleveraging to net cash, with synergy realization and debt paydown as the core value-creation levers.</t>
  </si>
  <si>
    <t xml:space="preserve">  Transaction -  Disney acquires the entertainment assets of 21st Century Fox for $69.5bn (~51% cash / ~49% new equity); closed Mar-2019. Goodwill $47.7bn; pro forma ownership ~83% Disney / ~17% Fox.</t>
  </si>
  <si>
    <t xml:space="preserve">  Why GAAP-dilutive -  EPS-dilutive across the forecast (−36% FY2019E → −6% FY2023E). The dilution is structural, not operational: the 307mm shares issued to fund the equity consideration (~−$1.4/sh) and non-cash purchase-accounting amortization (~−$1.5/sh) together explain essentially all of it.</t>
  </si>
  <si>
    <t xml:space="preserve">  Why cash-accretive -  Stripping the non-cash PPA amortization, cash EPS turns accretive in FY2021E and reaches +13% by FY2023E - the underlying cash economics are favorable well before GAAP EPS recovers.</t>
  </si>
  <si>
    <t xml:space="preserve">  Crossover timing -  GAAP: remains dilutive through FY2023E (crossover beyond the explicit window).  Cash: crosses to accretion in FY2021E.</t>
  </si>
  <si>
    <t xml:space="preserve">  Key value drivers -  Fox earnings (+$1.1/sh), cost synergies ramping to a $2.0bn run-rate (+$0.8/sh), and rapid deleveraging - RSN proceeds plus cash sweep retire all acquisition and assumed debt by FY2022E (+$0.5/sh).</t>
  </si>
  <si>
    <t xml:space="preserve">  Investment conclusion -  Strategically compelling and scale-defining. The headline GAAP dilution masks favorable cash economics and a strong deleveraging profile; sensitivity testing confirms FY2023E cash accretion holds even at zero synergies and across a 2–6% financing-rate range. Accretive on the metric that matters within three years.</t>
  </si>
  <si>
    <t>CHART DATA  (linked to model - feeds charts; do not 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</si>
</sst>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;\(#,##0\);\-"/>
    <numFmt numFmtId="165" formatCode="0.0%"/>
    <numFmt numFmtId="166" formatCode="\$0.00"/>
    <numFmt numFmtId="167" formatCode="\$0.0000"/>
    <numFmt numFmtId="168" formatCode="0.0000"/>
    <numFmt numFmtId="169" formatCode="\$0.000000"/>
    <numFmt numFmtId="170" formatCode="0.0"/>
    <numFmt numFmtId="171" formatCode="\$0.00;&quot;($&quot;0.00\);\-"/>
    <numFmt numFmtId="172" formatCode="0.000"/>
    <numFmt numFmtId="173" formatCode="0.00\x;\(0.00&quot;)x&quot;;\-"/>
    <numFmt numFmtId="174" formatCode="0.0%;\(0.0%\);\-"/>
    <numFmt numFmtId="175" formatCode="\$#,##0;&quot;($&quot;#,##0\)"/>
    <numFmt numFmtId="176" formatCode="\$#,##0.00"/>
  </numFmts>
  <fonts count="3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20"/>
      <color rgb="FF000000"/>
      <name val="Arial"/>
      <family val="2"/>
    </font>
    <font>
      <sz val="14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8000"/>
      <name val="Arial"/>
      <family val="2"/>
    </font>
    <font>
      <i/>
      <sz val="9"/>
      <color rgb="FF000000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b/>
      <sz val="11"/>
      <color rgb="FF000000"/>
      <name val="Arial"/>
      <family val="2"/>
    </font>
    <font>
      <b/>
      <sz val="10"/>
      <color rgb="FFBF8F00"/>
      <name val="Arial"/>
      <family val="2"/>
    </font>
    <font>
      <b/>
      <sz val="13"/>
      <color rgb="FFFFFFFF"/>
      <name val="Arial"/>
      <family val="2"/>
    </font>
    <font>
      <sz val="10"/>
      <name val="Arial"/>
      <family val="2"/>
    </font>
    <font>
      <i/>
      <sz val="8"/>
      <color rgb="FF7F7F7F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b/>
      <sz val="9"/>
      <color rgb="FFFF0000"/>
      <name val="Arial"/>
      <family val="2"/>
    </font>
    <font>
      <i/>
      <sz val="8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i/>
      <sz val="10"/>
      <color rgb="FFFF0000"/>
      <name val="Arial"/>
      <family val="2"/>
    </font>
    <font>
      <i/>
      <sz val="9"/>
      <color rgb="FF7F7F7F"/>
      <name val="Arial"/>
      <family val="2"/>
    </font>
    <font>
      <i/>
      <sz val="9"/>
      <color rgb="FF008000"/>
      <name val="Arial"/>
      <family val="2"/>
    </font>
    <font>
      <b/>
      <sz val="11"/>
      <color rgb="FFFFFFFF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i/>
      <sz val="9"/>
      <color rgb="FF000000"/>
      <name val="Arial"/>
      <family val="2"/>
    </font>
    <font>
      <sz val="9"/>
      <color rgb="FF008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305496"/>
        <bgColor rgb="FF1F3864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D9D9D9"/>
      </patternFill>
    </fill>
  </fills>
  <borders count="6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17">
    <xf numFmtId="0" fontId="0" fillId="0" borderId="0" xfId="0"/>
    <xf numFmtId="49" fontId="1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1" fillId="2" borderId="0" xfId="0" applyNumberFormat="1" applyFont="1" applyFill="1" applyAlignment="1">
      <alignment vertical="center"/>
    </xf>
    <xf numFmtId="49" fontId="12" fillId="3" borderId="0" xfId="0" applyNumberFormat="1" applyFont="1" applyFill="1" applyAlignment="1">
      <alignment vertic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164" fontId="13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vertical="center"/>
    </xf>
    <xf numFmtId="49" fontId="9" fillId="4" borderId="0" xfId="0" applyNumberFormat="1" applyFont="1" applyFill="1" applyAlignment="1">
      <alignment horizontal="left" vertical="center"/>
    </xf>
    <xf numFmtId="49" fontId="16" fillId="5" borderId="0" xfId="0" applyNumberFormat="1" applyFont="1" applyFill="1" applyAlignment="1">
      <alignment horizontal="left" vertical="center"/>
    </xf>
    <xf numFmtId="0" fontId="10" fillId="0" borderId="0" xfId="0" applyFont="1"/>
    <xf numFmtId="49" fontId="17" fillId="2" borderId="0" xfId="0" applyNumberFormat="1" applyFont="1" applyFill="1" applyAlignment="1">
      <alignment vertical="center"/>
    </xf>
    <xf numFmtId="0" fontId="18" fillId="0" borderId="0" xfId="0" applyFont="1"/>
    <xf numFmtId="164" fontId="8" fillId="0" borderId="0" xfId="0" applyNumberFormat="1" applyFont="1" applyAlignment="1">
      <alignment vertical="center"/>
    </xf>
    <xf numFmtId="49" fontId="19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169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right" vertical="center"/>
    </xf>
    <xf numFmtId="165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49" fontId="20" fillId="0" borderId="0" xfId="0" applyNumberFormat="1" applyFont="1" applyAlignment="1">
      <alignment horizontal="right" vertical="center"/>
    </xf>
    <xf numFmtId="170" fontId="8" fillId="0" borderId="0" xfId="0" applyNumberFormat="1" applyFont="1" applyAlignment="1">
      <alignment vertical="center"/>
    </xf>
    <xf numFmtId="170" fontId="7" fillId="0" borderId="0" xfId="0" applyNumberFormat="1" applyFont="1" applyAlignment="1">
      <alignment vertical="center"/>
    </xf>
    <xf numFmtId="49" fontId="21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horizontal="left" vertical="center"/>
    </xf>
    <xf numFmtId="164" fontId="7" fillId="0" borderId="2" xfId="0" applyNumberFormat="1" applyFont="1" applyBorder="1" applyAlignment="1">
      <alignment vertical="center"/>
    </xf>
    <xf numFmtId="171" fontId="8" fillId="0" borderId="0" xfId="0" applyNumberFormat="1" applyFont="1" applyAlignment="1">
      <alignment vertical="center"/>
    </xf>
    <xf numFmtId="171" fontId="6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49" fontId="24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vertical="center"/>
    </xf>
    <xf numFmtId="171" fontId="7" fillId="0" borderId="0" xfId="0" applyNumberFormat="1" applyFont="1" applyAlignment="1">
      <alignment vertical="center"/>
    </xf>
    <xf numFmtId="171" fontId="13" fillId="0" borderId="0" xfId="0" applyNumberFormat="1" applyFont="1" applyAlignment="1">
      <alignment vertical="center"/>
    </xf>
    <xf numFmtId="164" fontId="26" fillId="0" borderId="0" xfId="0" applyNumberFormat="1" applyFont="1" applyAlignment="1">
      <alignment vertical="center"/>
    </xf>
    <xf numFmtId="172" fontId="22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left" vertical="center"/>
    </xf>
    <xf numFmtId="169" fontId="13" fillId="0" borderId="0" xfId="0" applyNumberFormat="1" applyFont="1" applyAlignment="1">
      <alignment vertical="center"/>
    </xf>
    <xf numFmtId="168" fontId="13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70" fontId="13" fillId="0" borderId="0" xfId="0" applyNumberFormat="1" applyFont="1" applyAlignment="1">
      <alignment vertical="center"/>
    </xf>
    <xf numFmtId="164" fontId="9" fillId="0" borderId="2" xfId="0" applyNumberFormat="1" applyFont="1" applyBorder="1" applyAlignment="1">
      <alignment vertical="center"/>
    </xf>
    <xf numFmtId="164" fontId="7" fillId="0" borderId="3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73" fontId="6" fillId="0" borderId="0" xfId="0" applyNumberFormat="1" applyFont="1" applyAlignment="1">
      <alignment vertical="center"/>
    </xf>
    <xf numFmtId="49" fontId="27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49" fontId="12" fillId="3" borderId="1" xfId="0" applyNumberFormat="1" applyFont="1" applyFill="1" applyBorder="1" applyAlignment="1">
      <alignment vertical="center"/>
    </xf>
    <xf numFmtId="171" fontId="7" fillId="0" borderId="2" xfId="0" applyNumberFormat="1" applyFont="1" applyBorder="1" applyAlignment="1">
      <alignment vertical="center"/>
    </xf>
    <xf numFmtId="171" fontId="22" fillId="0" borderId="0" xfId="0" applyNumberFormat="1" applyFont="1" applyAlignment="1">
      <alignment vertical="center"/>
    </xf>
    <xf numFmtId="171" fontId="7" fillId="0" borderId="3" xfId="0" applyNumberFormat="1" applyFont="1" applyBorder="1" applyAlignment="1">
      <alignment vertical="center"/>
    </xf>
    <xf numFmtId="174" fontId="7" fillId="0" borderId="0" xfId="0" applyNumberFormat="1" applyFont="1" applyAlignment="1">
      <alignment vertical="center"/>
    </xf>
    <xf numFmtId="164" fontId="29" fillId="0" borderId="0" xfId="0" applyNumberFormat="1" applyFont="1" applyAlignment="1">
      <alignment vertical="center"/>
    </xf>
    <xf numFmtId="174" fontId="6" fillId="0" borderId="0" xfId="0" applyNumberFormat="1" applyFont="1" applyAlignment="1">
      <alignment vertical="center"/>
    </xf>
    <xf numFmtId="49" fontId="30" fillId="3" borderId="0" xfId="0" applyNumberFormat="1" applyFont="1" applyFill="1" applyAlignment="1">
      <alignment vertical="center"/>
    </xf>
    <xf numFmtId="165" fontId="31" fillId="5" borderId="0" xfId="0" applyNumberFormat="1" applyFont="1" applyFill="1" applyAlignment="1">
      <alignment vertical="center"/>
    </xf>
    <xf numFmtId="171" fontId="7" fillId="5" borderId="0" xfId="0" applyNumberFormat="1" applyFont="1" applyFill="1" applyAlignment="1">
      <alignment vertical="center"/>
    </xf>
    <xf numFmtId="174" fontId="7" fillId="5" borderId="0" xfId="0" applyNumberFormat="1" applyFont="1" applyFill="1" applyAlignment="1">
      <alignment vertical="center"/>
    </xf>
    <xf numFmtId="49" fontId="20" fillId="0" borderId="1" xfId="0" applyNumberFormat="1" applyFont="1" applyBorder="1" applyAlignment="1">
      <alignment horizontal="right" vertical="center"/>
    </xf>
    <xf numFmtId="165" fontId="31" fillId="0" borderId="0" xfId="0" applyNumberFormat="1" applyFont="1" applyAlignment="1">
      <alignment vertical="center"/>
    </xf>
    <xf numFmtId="49" fontId="10" fillId="6" borderId="0" xfId="0" applyNumberFormat="1" applyFont="1" applyFill="1" applyAlignment="1">
      <alignment horizontal="right" vertical="center"/>
    </xf>
    <xf numFmtId="165" fontId="31" fillId="6" borderId="4" xfId="0" applyNumberFormat="1" applyFont="1" applyFill="1" applyBorder="1" applyAlignment="1">
      <alignment horizontal="center" vertical="center"/>
    </xf>
    <xf numFmtId="165" fontId="8" fillId="6" borderId="4" xfId="0" applyNumberFormat="1" applyFont="1" applyFill="1" applyBorder="1" applyAlignment="1">
      <alignment horizontal="center" vertical="center"/>
    </xf>
    <xf numFmtId="174" fontId="6" fillId="0" borderId="4" xfId="0" applyNumberFormat="1" applyFont="1" applyBorder="1" applyAlignment="1">
      <alignment horizontal="center" vertical="center"/>
    </xf>
    <xf numFmtId="174" fontId="32" fillId="5" borderId="4" xfId="0" applyNumberFormat="1" applyFont="1" applyFill="1" applyBorder="1" applyAlignment="1">
      <alignment horizontal="center" vertical="center"/>
    </xf>
    <xf numFmtId="49" fontId="33" fillId="0" borderId="0" xfId="0" applyNumberFormat="1" applyFont="1" applyAlignment="1">
      <alignment horizontal="left" vertical="center"/>
    </xf>
    <xf numFmtId="10" fontId="7" fillId="0" borderId="0" xfId="0" applyNumberFormat="1" applyFont="1" applyAlignment="1">
      <alignment vertical="center"/>
    </xf>
    <xf numFmtId="175" fontId="9" fillId="0" borderId="0" xfId="0" applyNumberFormat="1" applyFont="1" applyAlignment="1">
      <alignment vertical="center"/>
    </xf>
    <xf numFmtId="175" fontId="13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right" vertical="center"/>
    </xf>
    <xf numFmtId="176" fontId="13" fillId="0" borderId="0" xfId="0" applyNumberFormat="1" applyFont="1" applyAlignment="1">
      <alignment vertical="center"/>
    </xf>
    <xf numFmtId="164" fontId="9" fillId="0" borderId="3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173" fontId="13" fillId="0" borderId="0" xfId="0" applyNumberFormat="1" applyFont="1" applyAlignment="1">
      <alignment vertical="center"/>
    </xf>
    <xf numFmtId="173" fontId="9" fillId="0" borderId="0" xfId="0" applyNumberFormat="1" applyFont="1" applyAlignment="1">
      <alignment vertical="center"/>
    </xf>
    <xf numFmtId="49" fontId="7" fillId="6" borderId="0" xfId="0" applyNumberFormat="1" applyFont="1" applyFill="1" applyAlignment="1">
      <alignment horizontal="left" vertical="center"/>
    </xf>
    <xf numFmtId="174" fontId="9" fillId="6" borderId="0" xfId="0" applyNumberFormat="1" applyFont="1" applyFill="1" applyAlignment="1">
      <alignment vertical="center"/>
    </xf>
    <xf numFmtId="49" fontId="7" fillId="6" borderId="0" xfId="0" applyNumberFormat="1" applyFont="1" applyFill="1" applyAlignment="1">
      <alignment vertical="center"/>
    </xf>
    <xf numFmtId="171" fontId="9" fillId="0" borderId="0" xfId="0" applyNumberFormat="1" applyFont="1" applyAlignment="1">
      <alignment vertical="center"/>
    </xf>
    <xf numFmtId="175" fontId="22" fillId="0" borderId="0" xfId="0" applyNumberFormat="1" applyFont="1" applyAlignment="1">
      <alignment vertical="center"/>
    </xf>
    <xf numFmtId="49" fontId="34" fillId="2" borderId="0" xfId="0" applyNumberFormat="1" applyFont="1" applyFill="1" applyAlignment="1">
      <alignment vertical="center"/>
    </xf>
    <xf numFmtId="49" fontId="35" fillId="5" borderId="0" xfId="0" applyNumberFormat="1" applyFont="1" applyFill="1" applyAlignment="1">
      <alignment vertical="center"/>
    </xf>
    <xf numFmtId="0" fontId="0" fillId="5" borderId="0" xfId="0" applyFill="1"/>
    <xf numFmtId="49" fontId="20" fillId="0" borderId="0" xfId="0" applyNumberFormat="1" applyFont="1" applyAlignment="1">
      <alignment horizontal="center" vertical="center"/>
    </xf>
    <xf numFmtId="174" fontId="36" fillId="0" borderId="0" xfId="0" applyNumberFormat="1" applyFont="1" applyAlignment="1">
      <alignment vertical="center"/>
    </xf>
    <xf numFmtId="165" fontId="36" fillId="0" borderId="0" xfId="0" applyNumberFormat="1" applyFont="1" applyAlignment="1">
      <alignment vertical="center"/>
    </xf>
    <xf numFmtId="164" fontId="36" fillId="0" borderId="0" xfId="0" applyNumberFormat="1" applyFont="1" applyAlignment="1">
      <alignment vertical="center"/>
    </xf>
    <xf numFmtId="171" fontId="33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33" fillId="6" borderId="5" xfId="0" applyFont="1" applyFill="1" applyBorder="1" applyAlignment="1">
      <alignment horizontal="left" vertical="top" wrapText="1"/>
    </xf>
    <xf numFmtId="49" fontId="10" fillId="0" borderId="0" xfId="0" applyNumberFormat="1" applyFont="1" applyAlignment="1">
      <alignment vertical="center" wrapText="1"/>
    </xf>
    <xf numFmtId="49" fontId="3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808080"/>
      <rgbColor rgb="FF8EAADB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3B3B3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7F7F7F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Chart 1 · GAAP Accretion / (Dilution)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60763518848509"/>
          <c:y val="0.34377461669793941"/>
          <c:w val="0.87099439528150879"/>
          <c:h val="0.596637337931267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OUTPUT!$C$90:$G$90</c:f>
              <c:strCache>
                <c:ptCount val="5"/>
                <c:pt idx="0">
                  <c:v>FY2019E</c:v>
                </c:pt>
                <c:pt idx="1">
                  <c:v>FY2020E</c:v>
                </c:pt>
                <c:pt idx="2">
                  <c:v>FY2021E</c:v>
                </c:pt>
                <c:pt idx="3">
                  <c:v>FY2022E</c:v>
                </c:pt>
                <c:pt idx="4">
                  <c:v>FY2023E</c:v>
                </c:pt>
              </c:strCache>
            </c:strRef>
          </c:cat>
          <c:val>
            <c:numRef>
              <c:f>OUTPUT!$C$91:$G$91</c:f>
              <c:numCache>
                <c:formatCode>0.0%;\(0.0%\);\-</c:formatCode>
                <c:ptCount val="5"/>
                <c:pt idx="0">
                  <c:v>-0.36191170600516598</c:v>
                </c:pt>
                <c:pt idx="1">
                  <c:v>-0.25574970452221046</c:v>
                </c:pt>
                <c:pt idx="2">
                  <c:v>-0.15286451996180059</c:v>
                </c:pt>
                <c:pt idx="3">
                  <c:v>-8.6175993571861287E-2</c:v>
                </c:pt>
                <c:pt idx="4">
                  <c:v>-6.0929832629859682E-2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4-DD46-AC85-F10264901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77558"/>
        <c:axId val="57270034"/>
      </c:barChart>
      <c:catAx>
        <c:axId val="70775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270034"/>
        <c:crosses val="autoZero"/>
        <c:auto val="1"/>
        <c:lblAlgn val="ctr"/>
        <c:lblOffset val="100"/>
        <c:noMultiLvlLbl val="0"/>
      </c:catAx>
      <c:valAx>
        <c:axId val="572700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775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Chart 2 · Cash Accretion / (Dilution)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OUTPUT!$C$90:$G$90</c:f>
              <c:strCache>
                <c:ptCount val="5"/>
                <c:pt idx="0">
                  <c:v>FY2019E</c:v>
                </c:pt>
                <c:pt idx="1">
                  <c:v>FY2020E</c:v>
                </c:pt>
                <c:pt idx="2">
                  <c:v>FY2021E</c:v>
                </c:pt>
                <c:pt idx="3">
                  <c:v>FY2022E</c:v>
                </c:pt>
                <c:pt idx="4">
                  <c:v>FY2023E</c:v>
                </c:pt>
              </c:strCache>
            </c:strRef>
          </c:cat>
          <c:val>
            <c:numRef>
              <c:f>OUTPUT!$C$92:$G$92</c:f>
              <c:numCache>
                <c:formatCode>0.0%;\(0.0%\);\-</c:formatCode>
                <c:ptCount val="5"/>
                <c:pt idx="0">
                  <c:v>-0.10476966367477326</c:v>
                </c:pt>
                <c:pt idx="1">
                  <c:v>-1.619745921912762E-2</c:v>
                </c:pt>
                <c:pt idx="2">
                  <c:v>6.9935431212356527E-2</c:v>
                </c:pt>
                <c:pt idx="3">
                  <c:v>0.12068785870331615</c:v>
                </c:pt>
                <c:pt idx="4">
                  <c:v>0.1307918100904045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5-8746-9A4E-5B3F8C853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0344"/>
        <c:axId val="64591431"/>
      </c:barChart>
      <c:catAx>
        <c:axId val="2892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591431"/>
        <c:crosses val="autoZero"/>
        <c:auto val="1"/>
        <c:lblAlgn val="ctr"/>
        <c:lblOffset val="100"/>
        <c:noMultiLvlLbl val="0"/>
      </c:catAx>
      <c:valAx>
        <c:axId val="645914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203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Chart 3 · Debt Paydown Curve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OUTPUT!$B$95:$G$95</c:f>
              <c:strCache>
                <c:ptCount val="6"/>
                <c:pt idx="0">
                  <c:v>At close</c:v>
                </c:pt>
                <c:pt idx="1">
                  <c:v>FY2019E</c:v>
                </c:pt>
                <c:pt idx="2">
                  <c:v>FY2020E</c:v>
                </c:pt>
                <c:pt idx="3">
                  <c:v>FY2021E</c:v>
                </c:pt>
                <c:pt idx="4">
                  <c:v>FY2022E</c:v>
                </c:pt>
                <c:pt idx="5">
                  <c:v>FY2023E</c:v>
                </c:pt>
              </c:strCache>
            </c:strRef>
          </c:cat>
          <c:val>
            <c:numRef>
              <c:f>OUTPUT!$B$96:$G$96</c:f>
              <c:numCache>
                <c:formatCode>#,##0;\(#,##0\);\-</c:formatCode>
                <c:ptCount val="6"/>
                <c:pt idx="0">
                  <c:v>38811</c:v>
                </c:pt>
                <c:pt idx="1">
                  <c:v>19396.485393825518</c:v>
                </c:pt>
                <c:pt idx="2">
                  <c:v>12164.073853401151</c:v>
                </c:pt>
                <c:pt idx="3">
                  <c:v>4112.4839329901997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0-6A45-B5C6-97343E38F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093978"/>
        <c:axId val="992279"/>
      </c:lineChart>
      <c:catAx>
        <c:axId val="260939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279"/>
        <c:crosses val="autoZero"/>
        <c:auto val="1"/>
        <c:lblAlgn val="ctr"/>
        <c:lblOffset val="100"/>
        <c:noMultiLvlLbl val="0"/>
      </c:catAx>
      <c:valAx>
        <c:axId val="9922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939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Chart 4 · Synergy Realization Ramp (% of run-rate)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0549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OUTPUT!$C$90:$G$90</c:f>
              <c:strCache>
                <c:ptCount val="5"/>
                <c:pt idx="0">
                  <c:v>FY2019E</c:v>
                </c:pt>
                <c:pt idx="1">
                  <c:v>FY2020E</c:v>
                </c:pt>
                <c:pt idx="2">
                  <c:v>FY2021E</c:v>
                </c:pt>
                <c:pt idx="3">
                  <c:v>FY2022E</c:v>
                </c:pt>
                <c:pt idx="4">
                  <c:v>FY2023E</c:v>
                </c:pt>
              </c:strCache>
            </c:strRef>
          </c:cat>
          <c:val>
            <c:numRef>
              <c:f>OUTPUT!$C$93:$G$93</c:f>
              <c:numCache>
                <c:formatCode>0.0%</c:formatCode>
                <c:ptCount val="5"/>
                <c:pt idx="0">
                  <c:v>0.1</c:v>
                </c:pt>
                <c:pt idx="1">
                  <c:v>0.5</c:v>
                </c:pt>
                <c:pt idx="2">
                  <c:v>0.9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D-D248-AA55-0162DC874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70522"/>
        <c:axId val="49969296"/>
      </c:barChart>
      <c:catAx>
        <c:axId val="870705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969296"/>
        <c:crosses val="autoZero"/>
        <c:auto val="1"/>
        <c:lblAlgn val="ctr"/>
        <c:lblOffset val="100"/>
        <c:noMultiLvlLbl val="0"/>
      </c:catAx>
      <c:valAx>
        <c:axId val="499692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0705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Chart 5 · EPS Bridge: Disney Standalone -&gt; Pro Forma (FY2023E, $/sh)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OUTPUT!$A$99:$A$106</c:f>
              <c:strCache>
                <c:ptCount val="8"/>
                <c:pt idx="0">
                  <c:v>Disney Standalone EPS</c:v>
                </c:pt>
                <c:pt idx="1">
                  <c:v>(−) Share issuance dilution</c:v>
                </c:pt>
                <c:pt idx="2">
                  <c:v>(+) Fox earnings contribution</c:v>
                </c:pt>
                <c:pt idx="3">
                  <c:v>(+) Synergies</c:v>
                </c:pt>
                <c:pt idx="4">
                  <c:v>(−) Integration costs</c:v>
                </c:pt>
                <c:pt idx="5">
                  <c:v>(−) PPA amortization</c:v>
                </c:pt>
                <c:pt idx="6">
                  <c:v>(+/−) Financing costs</c:v>
                </c:pt>
                <c:pt idx="7">
                  <c:v>Pro Forma EPS</c:v>
                </c:pt>
              </c:strCache>
            </c:strRef>
          </c:cat>
          <c:val>
            <c:numRef>
              <c:f>OUTPUT!$C$99:$C$106</c:f>
              <c:numCache>
                <c:formatCode>\$0.00;"($"0.00\);\-</c:formatCode>
                <c:ptCount val="8"/>
                <c:pt idx="0">
                  <c:v>0</c:v>
                </c:pt>
                <c:pt idx="1">
                  <c:v>6.8319689878961203</c:v>
                </c:pt>
                <c:pt idx="2">
                  <c:v>6.8319689878961203</c:v>
                </c:pt>
                <c:pt idx="3">
                  <c:v>7.8978938536188323</c:v>
                </c:pt>
                <c:pt idx="4">
                  <c:v>8.7446905110004476</c:v>
                </c:pt>
                <c:pt idx="5">
                  <c:v>7.2514090839162346</c:v>
                </c:pt>
                <c:pt idx="6">
                  <c:v>7.2514090839162346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5-8545-9AE4-81F6A05D98B3}"/>
            </c:ext>
          </c:extLst>
        </c:ser>
        <c:ser>
          <c:idx val="1"/>
          <c:order val="1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OUTPUT!$A$99:$A$106</c:f>
              <c:strCache>
                <c:ptCount val="8"/>
                <c:pt idx="0">
                  <c:v>Disney Standalone EPS</c:v>
                </c:pt>
                <c:pt idx="1">
                  <c:v>(−) Share issuance dilution</c:v>
                </c:pt>
                <c:pt idx="2">
                  <c:v>(+) Fox earnings contribution</c:v>
                </c:pt>
                <c:pt idx="3">
                  <c:v>(+) Synergies</c:v>
                </c:pt>
                <c:pt idx="4">
                  <c:v>(−) Integration costs</c:v>
                </c:pt>
                <c:pt idx="5">
                  <c:v>(−) PPA amortization</c:v>
                </c:pt>
                <c:pt idx="6">
                  <c:v>(+/−) Financing costs</c:v>
                </c:pt>
                <c:pt idx="7">
                  <c:v>Pro Forma EPS</c:v>
                </c:pt>
              </c:strCache>
            </c:strRef>
          </c:cat>
          <c:val>
            <c:numRef>
              <c:f>OUTPUT!$D$99:$D$106</c:f>
              <c:numCache>
                <c:formatCode>\$0.00;"($"0.00\);\-</c:formatCode>
                <c:ptCount val="8"/>
                <c:pt idx="0">
                  <c:v>0</c:v>
                </c:pt>
                <c:pt idx="1">
                  <c:v>1.4095527414543749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1.4932814270842127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65-8545-9AE4-81F6A05D98B3}"/>
            </c:ext>
          </c:extLst>
        </c:ser>
        <c:ser>
          <c:idx val="2"/>
          <c:order val="2"/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OUTPUT!$A$99:$A$106</c:f>
              <c:strCache>
                <c:ptCount val="8"/>
                <c:pt idx="0">
                  <c:v>Disney Standalone EPS</c:v>
                </c:pt>
                <c:pt idx="1">
                  <c:v>(−) Share issuance dilution</c:v>
                </c:pt>
                <c:pt idx="2">
                  <c:v>(+) Fox earnings contribution</c:v>
                </c:pt>
                <c:pt idx="3">
                  <c:v>(+) Synergies</c:v>
                </c:pt>
                <c:pt idx="4">
                  <c:v>(−) Integration costs</c:v>
                </c:pt>
                <c:pt idx="5">
                  <c:v>(−) PPA amortization</c:v>
                </c:pt>
                <c:pt idx="6">
                  <c:v>(+/−) Financing costs</c:v>
                </c:pt>
                <c:pt idx="7">
                  <c:v>Pro Forma EPS</c:v>
                </c:pt>
              </c:strCache>
            </c:strRef>
          </c:cat>
          <c:val>
            <c:numRef>
              <c:f>OUTPUT!$E$99:$E$106</c:f>
              <c:numCache>
                <c:formatCode>\$0.00;"($"0.00\);\-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1.0659248657227121</c:v>
                </c:pt>
                <c:pt idx="3">
                  <c:v>0.84679665738161558</c:v>
                </c:pt>
                <c:pt idx="4">
                  <c:v>0</c:v>
                </c:pt>
                <c:pt idx="5">
                  <c:v>0</c:v>
                </c:pt>
                <c:pt idx="6">
                  <c:v>0.48795810584958221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65-8545-9AE4-81F6A05D98B3}"/>
            </c:ext>
          </c:extLst>
        </c:ser>
        <c:ser>
          <c:idx val="3"/>
          <c:order val="3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OUTPUT!$A$99:$A$106</c:f>
              <c:strCache>
                <c:ptCount val="8"/>
                <c:pt idx="0">
                  <c:v>Disney Standalone EPS</c:v>
                </c:pt>
                <c:pt idx="1">
                  <c:v>(−) Share issuance dilution</c:v>
                </c:pt>
                <c:pt idx="2">
                  <c:v>(+) Fox earnings contribution</c:v>
                </c:pt>
                <c:pt idx="3">
                  <c:v>(+) Synergies</c:v>
                </c:pt>
                <c:pt idx="4">
                  <c:v>(−) Integration costs</c:v>
                </c:pt>
                <c:pt idx="5">
                  <c:v>(−) PPA amortization</c:v>
                </c:pt>
                <c:pt idx="6">
                  <c:v>(+/−) Financing costs</c:v>
                </c:pt>
                <c:pt idx="7">
                  <c:v>Pro Forma EPS</c:v>
                </c:pt>
              </c:strCache>
            </c:strRef>
          </c:cat>
          <c:val>
            <c:numRef>
              <c:f>OUTPUT!$F$99:$F$106</c:f>
              <c:numCache>
                <c:formatCode>\$0.00;"($"0.00\);\-</c:formatCode>
                <c:ptCount val="8"/>
                <c:pt idx="0">
                  <c:v>8.2415217293504952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7.7393671897658169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65-8545-9AE4-81F6A05D9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9029989"/>
        <c:axId val="79512337"/>
      </c:barChart>
      <c:catAx>
        <c:axId val="490299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512337"/>
        <c:crosses val="autoZero"/>
        <c:auto val="1"/>
        <c:lblAlgn val="ctr"/>
        <c:lblOffset val="100"/>
        <c:noMultiLvlLbl val="0"/>
      </c:catAx>
      <c:valAx>
        <c:axId val="795123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299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15</xdr:col>
      <xdr:colOff>152400</xdr:colOff>
      <xdr:row>13</xdr:row>
      <xdr:rowOff>80280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15</xdr:row>
      <xdr:rowOff>25400</xdr:rowOff>
    </xdr:from>
    <xdr:to>
      <xdr:col>15</xdr:col>
      <xdr:colOff>114300</xdr:colOff>
      <xdr:row>27</xdr:row>
      <xdr:rowOff>115040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914400</xdr:colOff>
      <xdr:row>29</xdr:row>
      <xdr:rowOff>114300</xdr:rowOff>
    </xdr:from>
    <xdr:to>
      <xdr:col>15</xdr:col>
      <xdr:colOff>76200</xdr:colOff>
      <xdr:row>42</xdr:row>
      <xdr:rowOff>13440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44</xdr:row>
      <xdr:rowOff>38100</xdr:rowOff>
    </xdr:from>
    <xdr:to>
      <xdr:col>15</xdr:col>
      <xdr:colOff>88900</xdr:colOff>
      <xdr:row>57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927100</xdr:colOff>
      <xdr:row>59</xdr:row>
      <xdr:rowOff>127000</xdr:rowOff>
    </xdr:from>
    <xdr:to>
      <xdr:col>17</xdr:col>
      <xdr:colOff>320920</xdr:colOff>
      <xdr:row>67</xdr:row>
      <xdr:rowOff>397060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"/>
  <sheetViews>
    <sheetView showGridLines="0" zoomScaleNormal="100" workbookViewId="0">
      <selection activeCell="H12" sqref="H12"/>
    </sheetView>
  </sheetViews>
  <sheetFormatPr baseColWidth="10" defaultColWidth="8.6640625" defaultRowHeight="15" x14ac:dyDescent="0.2"/>
  <cols>
    <col min="1" max="1" width="46" customWidth="1"/>
    <col min="2" max="4" width="14" customWidth="1"/>
    <col min="5" max="5" width="12" customWidth="1"/>
    <col min="6" max="6" width="52" customWidth="1"/>
    <col min="7" max="9" width="13" customWidth="1"/>
  </cols>
  <sheetData>
    <row r="2" spans="1:6" ht="19.5" customHeight="1" x14ac:dyDescent="0.2">
      <c r="A2" s="1" t="s">
        <v>861</v>
      </c>
      <c r="B2" s="2"/>
      <c r="C2" s="2"/>
      <c r="D2" s="2"/>
      <c r="E2" s="2"/>
      <c r="F2" s="2"/>
    </row>
    <row r="4" spans="1:6" ht="24" customHeight="1" x14ac:dyDescent="0.2">
      <c r="A4" s="3" t="s">
        <v>0</v>
      </c>
    </row>
    <row r="5" spans="1:6" ht="17.25" customHeight="1" x14ac:dyDescent="0.2">
      <c r="A5" s="4" t="s">
        <v>1</v>
      </c>
    </row>
    <row r="7" spans="1:6" ht="15" customHeight="1" x14ac:dyDescent="0.2">
      <c r="A7" s="5" t="s">
        <v>2</v>
      </c>
    </row>
    <row r="9" spans="1:6" ht="15" customHeight="1" x14ac:dyDescent="0.2">
      <c r="A9" s="6" t="s">
        <v>3</v>
      </c>
    </row>
    <row r="11" spans="1:6" ht="15" customHeight="1" x14ac:dyDescent="0.2">
      <c r="A11" s="7" t="s">
        <v>4</v>
      </c>
      <c r="B11" s="8" t="s">
        <v>5</v>
      </c>
    </row>
    <row r="12" spans="1:6" ht="15" customHeight="1" x14ac:dyDescent="0.2">
      <c r="A12" s="7" t="s">
        <v>6</v>
      </c>
      <c r="B12" s="8" t="s">
        <v>862</v>
      </c>
    </row>
    <row r="13" spans="1:6" ht="15" customHeight="1" x14ac:dyDescent="0.2">
      <c r="A13" s="7" t="s">
        <v>7</v>
      </c>
      <c r="B13" s="9" t="str">
        <f>CONTROL!B23</f>
        <v>MODEL OK</v>
      </c>
    </row>
    <row r="15" spans="1:6" ht="15" customHeight="1" x14ac:dyDescent="0.2">
      <c r="A15" s="10" t="s">
        <v>8</v>
      </c>
    </row>
    <row r="16" spans="1:6" ht="15" customHeight="1" x14ac:dyDescent="0.2">
      <c r="A16" s="10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zoomScaleNormal="100" workbookViewId="0">
      <selection activeCell="I14" sqref="I14"/>
    </sheetView>
  </sheetViews>
  <sheetFormatPr baseColWidth="10" defaultColWidth="8.6640625" defaultRowHeight="15" x14ac:dyDescent="0.2"/>
  <cols>
    <col min="1" max="1" width="46" customWidth="1"/>
    <col min="2" max="4" width="14" customWidth="1"/>
    <col min="5" max="5" width="12" customWidth="1"/>
    <col min="6" max="6" width="52" customWidth="1"/>
    <col min="7" max="9" width="13" customWidth="1"/>
  </cols>
  <sheetData>
    <row r="1" spans="1:6" ht="17.25" customHeight="1" x14ac:dyDescent="0.2">
      <c r="A1" s="11" t="s">
        <v>863</v>
      </c>
      <c r="B1" s="2"/>
      <c r="C1" s="2"/>
      <c r="D1" s="2"/>
      <c r="E1" s="2"/>
      <c r="F1" s="2"/>
    </row>
    <row r="2" spans="1:6" ht="15" customHeight="1" x14ac:dyDescent="0.2">
      <c r="A2" s="10"/>
    </row>
    <row r="4" spans="1:6" ht="15" customHeight="1" x14ac:dyDescent="0.2">
      <c r="A4" s="12" t="s">
        <v>10</v>
      </c>
      <c r="B4" s="12"/>
      <c r="C4" s="12"/>
      <c r="D4" s="12"/>
      <c r="E4" s="12"/>
      <c r="F4" s="12"/>
    </row>
    <row r="5" spans="1:6" ht="15" customHeight="1" x14ac:dyDescent="0.2">
      <c r="A5" s="13" t="s">
        <v>11</v>
      </c>
      <c r="B5" s="14" t="s">
        <v>864</v>
      </c>
    </row>
    <row r="6" spans="1:6" ht="15" customHeight="1" x14ac:dyDescent="0.2">
      <c r="A6" s="13" t="s">
        <v>12</v>
      </c>
      <c r="B6" s="14" t="s">
        <v>865</v>
      </c>
    </row>
    <row r="7" spans="1:6" ht="15" customHeight="1" x14ac:dyDescent="0.2">
      <c r="A7" s="13" t="s">
        <v>13</v>
      </c>
      <c r="B7" s="14" t="s">
        <v>866</v>
      </c>
    </row>
    <row r="8" spans="1:6" ht="15" customHeight="1" x14ac:dyDescent="0.2">
      <c r="A8" s="13" t="s">
        <v>14</v>
      </c>
      <c r="B8" s="14" t="s">
        <v>867</v>
      </c>
    </row>
    <row r="9" spans="1:6" ht="15" customHeight="1" x14ac:dyDescent="0.2">
      <c r="A9" s="13" t="s">
        <v>15</v>
      </c>
      <c r="B9" s="14" t="s">
        <v>868</v>
      </c>
    </row>
    <row r="10" spans="1:6" ht="15" customHeight="1" x14ac:dyDescent="0.2">
      <c r="A10" s="13" t="s">
        <v>16</v>
      </c>
      <c r="B10" s="14" t="s">
        <v>869</v>
      </c>
    </row>
    <row r="11" spans="1:6" ht="15" customHeight="1" x14ac:dyDescent="0.2">
      <c r="A11" s="13" t="s">
        <v>17</v>
      </c>
      <c r="B11" s="14" t="s">
        <v>870</v>
      </c>
    </row>
    <row r="13" spans="1:6" ht="15" customHeight="1" x14ac:dyDescent="0.2">
      <c r="A13" s="12" t="s">
        <v>18</v>
      </c>
      <c r="B13" s="12"/>
      <c r="C13" s="12"/>
      <c r="D13" s="12"/>
      <c r="E13" s="12"/>
      <c r="F13" s="12"/>
    </row>
    <row r="14" spans="1:6" ht="15" customHeight="1" x14ac:dyDescent="0.2">
      <c r="A14" s="15" t="s">
        <v>19</v>
      </c>
    </row>
    <row r="15" spans="1:6" ht="15" customHeight="1" x14ac:dyDescent="0.2">
      <c r="A15" s="14" t="s">
        <v>20</v>
      </c>
    </row>
    <row r="16" spans="1:6" ht="15" customHeight="1" x14ac:dyDescent="0.2">
      <c r="A16" s="16" t="s">
        <v>21</v>
      </c>
    </row>
    <row r="17" spans="1:6" ht="15" customHeight="1" x14ac:dyDescent="0.2">
      <c r="A17" s="17" t="s">
        <v>22</v>
      </c>
    </row>
    <row r="19" spans="1:6" ht="15" customHeight="1" x14ac:dyDescent="0.2">
      <c r="A19" s="12" t="s">
        <v>23</v>
      </c>
      <c r="B19" s="12"/>
      <c r="C19" s="12"/>
      <c r="D19" s="12"/>
      <c r="E19" s="12"/>
      <c r="F19" s="12"/>
    </row>
    <row r="20" spans="1:6" ht="15" customHeight="1" x14ac:dyDescent="0.2">
      <c r="A20" s="14" t="s">
        <v>9</v>
      </c>
    </row>
    <row r="21" spans="1:6" ht="15" customHeight="1" x14ac:dyDescent="0.2">
      <c r="A21" s="14" t="s">
        <v>24</v>
      </c>
    </row>
    <row r="22" spans="1:6" ht="15" customHeight="1" x14ac:dyDescent="0.2">
      <c r="A22" s="14" t="s">
        <v>25</v>
      </c>
    </row>
    <row r="23" spans="1:6" ht="15" customHeight="1" x14ac:dyDescent="0.2">
      <c r="A23" s="14" t="s">
        <v>26</v>
      </c>
    </row>
    <row r="24" spans="1:6" ht="15" customHeight="1" x14ac:dyDescent="0.2">
      <c r="A24" s="14" t="s">
        <v>27</v>
      </c>
    </row>
    <row r="25" spans="1:6" ht="15" customHeight="1" x14ac:dyDescent="0.2">
      <c r="A25" s="14" t="s">
        <v>871</v>
      </c>
    </row>
    <row r="26" spans="1:6" ht="15" customHeight="1" x14ac:dyDescent="0.2">
      <c r="A26" s="14" t="s">
        <v>28</v>
      </c>
    </row>
    <row r="28" spans="1:6" ht="15" customHeight="1" x14ac:dyDescent="0.2">
      <c r="A28" s="12" t="s">
        <v>29</v>
      </c>
      <c r="B28" s="12"/>
      <c r="C28" s="12"/>
      <c r="D28" s="12"/>
      <c r="E28" s="12"/>
      <c r="F28" s="12"/>
    </row>
    <row r="29" spans="1:6" ht="15" customHeight="1" x14ac:dyDescent="0.2">
      <c r="A29" s="13" t="s">
        <v>5</v>
      </c>
      <c r="B29" s="14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showGridLines="0" zoomScaleNormal="100" workbookViewId="0">
      <selection activeCell="I13" sqref="I13"/>
    </sheetView>
  </sheetViews>
  <sheetFormatPr baseColWidth="10" defaultColWidth="8.6640625" defaultRowHeight="15" x14ac:dyDescent="0.2"/>
  <cols>
    <col min="1" max="1" width="46" customWidth="1"/>
    <col min="2" max="4" width="14" customWidth="1"/>
    <col min="5" max="5" width="12" customWidth="1"/>
    <col min="6" max="6" width="52" customWidth="1"/>
    <col min="7" max="9" width="13" customWidth="1"/>
  </cols>
  <sheetData>
    <row r="1" spans="1:6" ht="17.25" customHeight="1" x14ac:dyDescent="0.2">
      <c r="A1" s="11" t="s">
        <v>872</v>
      </c>
      <c r="B1" s="2"/>
      <c r="C1" s="2"/>
      <c r="D1" s="2"/>
      <c r="E1" s="2"/>
      <c r="F1" s="2"/>
    </row>
    <row r="2" spans="1:6" ht="15" customHeight="1" x14ac:dyDescent="0.2">
      <c r="A2" s="10" t="s">
        <v>31</v>
      </c>
    </row>
    <row r="4" spans="1:6" ht="15" customHeight="1" x14ac:dyDescent="0.2">
      <c r="A4" s="12" t="s">
        <v>32</v>
      </c>
      <c r="B4" s="12"/>
      <c r="C4" s="12"/>
      <c r="D4" s="12"/>
      <c r="E4" s="12"/>
      <c r="F4" s="12"/>
    </row>
    <row r="5" spans="1:6" ht="15" customHeight="1" x14ac:dyDescent="0.2">
      <c r="A5" s="14" t="s">
        <v>33</v>
      </c>
      <c r="B5" s="8" t="s">
        <v>34</v>
      </c>
    </row>
    <row r="6" spans="1:6" ht="15" customHeight="1" x14ac:dyDescent="0.2">
      <c r="A6" s="14" t="s">
        <v>35</v>
      </c>
      <c r="B6" s="8" t="s">
        <v>36</v>
      </c>
    </row>
    <row r="8" spans="1:6" ht="15" customHeight="1" x14ac:dyDescent="0.2">
      <c r="A8" s="12" t="s">
        <v>37</v>
      </c>
      <c r="B8" s="12"/>
      <c r="C8" s="12"/>
      <c r="D8" s="12"/>
      <c r="E8" s="12"/>
      <c r="F8" s="12"/>
    </row>
    <row r="9" spans="1:6" ht="15" customHeight="1" x14ac:dyDescent="0.2">
      <c r="A9" s="14" t="s">
        <v>38</v>
      </c>
      <c r="B9" s="18">
        <f>'S&amp;U'!B12</f>
        <v>69456</v>
      </c>
    </row>
    <row r="10" spans="1:6" ht="15" customHeight="1" x14ac:dyDescent="0.2">
      <c r="A10" s="14" t="s">
        <v>39</v>
      </c>
      <c r="B10" s="18">
        <f>'S&amp;U'!B18</f>
        <v>19603</v>
      </c>
    </row>
    <row r="11" spans="1:6" ht="15" customHeight="1" x14ac:dyDescent="0.2">
      <c r="A11" s="14" t="s">
        <v>40</v>
      </c>
      <c r="B11" s="18">
        <f>ASSUMPTIONS!B15</f>
        <v>19208</v>
      </c>
    </row>
    <row r="12" spans="1:6" ht="15" customHeight="1" x14ac:dyDescent="0.2">
      <c r="A12" s="14" t="s">
        <v>41</v>
      </c>
      <c r="B12" s="19">
        <f>'S&amp;U'!B31/'S&amp;U'!B32</f>
        <v>0.1699889258028793</v>
      </c>
    </row>
    <row r="13" spans="1:6" ht="15" customHeight="1" x14ac:dyDescent="0.2">
      <c r="A13" s="14" t="s">
        <v>873</v>
      </c>
      <c r="B13" s="18">
        <f>PPA!B22</f>
        <v>34897</v>
      </c>
    </row>
    <row r="14" spans="1:6" ht="15" customHeight="1" x14ac:dyDescent="0.2">
      <c r="A14" s="14" t="s">
        <v>874</v>
      </c>
      <c r="B14" s="18">
        <f>PPA!B33</f>
        <v>12774</v>
      </c>
    </row>
    <row r="15" spans="1:6" ht="15" customHeight="1" x14ac:dyDescent="0.2">
      <c r="A15" s="14" t="s">
        <v>42</v>
      </c>
      <c r="B15" s="18">
        <f>PPA!B36</f>
        <v>47671</v>
      </c>
    </row>
    <row r="17" spans="1:8" ht="15" customHeight="1" x14ac:dyDescent="0.2">
      <c r="A17" s="12" t="s">
        <v>43</v>
      </c>
      <c r="B17" s="12"/>
      <c r="C17" s="12"/>
      <c r="D17" s="12"/>
      <c r="E17" s="12"/>
      <c r="F17" s="12"/>
    </row>
    <row r="18" spans="1:8" ht="15" customHeight="1" x14ac:dyDescent="0.2">
      <c r="A18" s="14" t="s">
        <v>44</v>
      </c>
      <c r="B18" s="20" t="str">
        <f>DIS_HIST!B123</f>
        <v>OK</v>
      </c>
    </row>
    <row r="19" spans="1:8" ht="15" customHeight="1" x14ac:dyDescent="0.2">
      <c r="A19" s="14" t="s">
        <v>45</v>
      </c>
      <c r="B19" s="20" t="str">
        <f>FOX_HIST!B61</f>
        <v>OK</v>
      </c>
    </row>
    <row r="20" spans="1:8" ht="15" customHeight="1" x14ac:dyDescent="0.2">
      <c r="A20" s="14" t="s">
        <v>46</v>
      </c>
      <c r="B20" s="20" t="str">
        <f>'S&amp;U'!B37</f>
        <v>OK</v>
      </c>
    </row>
    <row r="21" spans="1:8" ht="15" customHeight="1" x14ac:dyDescent="0.2">
      <c r="A21" s="14" t="s">
        <v>47</v>
      </c>
      <c r="B21" s="20" t="str">
        <f>PPA!B38</f>
        <v>OK</v>
      </c>
    </row>
    <row r="23" spans="1:8" ht="15" customHeight="1" x14ac:dyDescent="0.2">
      <c r="A23" s="21" t="s">
        <v>48</v>
      </c>
      <c r="B23" s="22" t="str">
        <f>IF(AND(B18="OK",B19="OK",B20="OK",B21="OK"),"MODEL OK","CHECK ERRORS")</f>
        <v>MODEL OK</v>
      </c>
    </row>
    <row r="25" spans="1:8" ht="15" customHeight="1" x14ac:dyDescent="0.2">
      <c r="A25" s="12" t="s">
        <v>49</v>
      </c>
      <c r="B25" s="12"/>
      <c r="C25" s="12"/>
      <c r="D25" s="12"/>
      <c r="E25" s="12"/>
      <c r="F25" s="12"/>
      <c r="G25" s="12"/>
      <c r="H25" s="12"/>
    </row>
    <row r="26" spans="1:8" ht="15" customHeight="1" x14ac:dyDescent="0.2">
      <c r="A26" s="14" t="s">
        <v>50</v>
      </c>
      <c r="B26" s="23" t="s">
        <v>51</v>
      </c>
    </row>
    <row r="27" spans="1:8" ht="15" customHeight="1" x14ac:dyDescent="0.2">
      <c r="A27" s="14" t="s">
        <v>52</v>
      </c>
      <c r="B27" s="23" t="s">
        <v>51</v>
      </c>
    </row>
    <row r="28" spans="1:8" ht="15" customHeight="1" x14ac:dyDescent="0.2">
      <c r="A28" s="14" t="s">
        <v>53</v>
      </c>
      <c r="B28" s="23" t="s">
        <v>51</v>
      </c>
    </row>
    <row r="29" spans="1:8" ht="15" customHeight="1" x14ac:dyDescent="0.2">
      <c r="A29" s="14" t="s">
        <v>54</v>
      </c>
      <c r="B29" s="23" t="s">
        <v>51</v>
      </c>
    </row>
    <row r="30" spans="1:8" ht="15" customHeight="1" x14ac:dyDescent="0.2">
      <c r="A30" s="14" t="s">
        <v>55</v>
      </c>
      <c r="B30" s="23" t="s">
        <v>56</v>
      </c>
    </row>
    <row r="31" spans="1:8" ht="15" customHeight="1" x14ac:dyDescent="0.2">
      <c r="A31" s="14" t="s">
        <v>57</v>
      </c>
      <c r="B31" s="23" t="s">
        <v>51</v>
      </c>
    </row>
    <row r="32" spans="1:8" ht="15" customHeight="1" x14ac:dyDescent="0.2">
      <c r="A32" s="14" t="s">
        <v>58</v>
      </c>
      <c r="B32" s="23" t="s">
        <v>56</v>
      </c>
    </row>
    <row r="33" spans="1:2" ht="15" customHeight="1" x14ac:dyDescent="0.2">
      <c r="A33" s="14" t="s">
        <v>59</v>
      </c>
      <c r="B33" s="23" t="s">
        <v>51</v>
      </c>
    </row>
    <row r="34" spans="1:2" ht="15" customHeight="1" x14ac:dyDescent="0.2">
      <c r="A34" s="14" t="s">
        <v>60</v>
      </c>
      <c r="B34" s="23" t="s">
        <v>51</v>
      </c>
    </row>
    <row r="35" spans="1:2" ht="15" customHeight="1" x14ac:dyDescent="0.2">
      <c r="A35" s="14" t="s">
        <v>61</v>
      </c>
      <c r="B35" s="23" t="s">
        <v>51</v>
      </c>
    </row>
    <row r="36" spans="1:2" ht="15" customHeight="1" x14ac:dyDescent="0.2">
      <c r="A36" s="14" t="s">
        <v>62</v>
      </c>
      <c r="B36" s="23" t="s">
        <v>51</v>
      </c>
    </row>
    <row r="37" spans="1:2" ht="15" customHeight="1" x14ac:dyDescent="0.2">
      <c r="A37" s="14" t="s">
        <v>63</v>
      </c>
      <c r="B37" s="23" t="s">
        <v>51</v>
      </c>
    </row>
    <row r="38" spans="1:2" ht="15" customHeight="1" x14ac:dyDescent="0.2">
      <c r="A38" s="14" t="s">
        <v>64</v>
      </c>
      <c r="B38" s="23" t="s">
        <v>51</v>
      </c>
    </row>
    <row r="39" spans="1:2" ht="15" customHeight="1" x14ac:dyDescent="0.2">
      <c r="A39" s="14" t="s">
        <v>65</v>
      </c>
      <c r="B39" s="24" t="s">
        <v>66</v>
      </c>
    </row>
    <row r="40" spans="1:2" ht="15" customHeight="1" x14ac:dyDescent="0.2">
      <c r="A40" s="14" t="s">
        <v>67</v>
      </c>
      <c r="B40" s="24" t="s">
        <v>66</v>
      </c>
    </row>
    <row r="41" spans="1:2" ht="15" customHeight="1" x14ac:dyDescent="0.2">
      <c r="A41" s="14" t="s">
        <v>68</v>
      </c>
      <c r="B41" s="23" t="s">
        <v>51</v>
      </c>
    </row>
    <row r="42" spans="1:2" ht="15" customHeight="1" x14ac:dyDescent="0.2">
      <c r="A42" s="14" t="s">
        <v>69</v>
      </c>
      <c r="B42" s="24" t="s">
        <v>66</v>
      </c>
    </row>
    <row r="43" spans="1:2" ht="15" customHeight="1" x14ac:dyDescent="0.2">
      <c r="A43" s="14" t="s">
        <v>70</v>
      </c>
      <c r="B43" s="24" t="s">
        <v>66</v>
      </c>
    </row>
    <row r="44" spans="1:2" ht="15" customHeight="1" x14ac:dyDescent="0.2">
      <c r="A44" s="14" t="s">
        <v>71</v>
      </c>
      <c r="B44" s="23" t="s">
        <v>51</v>
      </c>
    </row>
    <row r="45" spans="1:2" ht="15" customHeight="1" x14ac:dyDescent="0.2">
      <c r="A45" s="14" t="s">
        <v>72</v>
      </c>
      <c r="B45" s="23" t="s">
        <v>51</v>
      </c>
    </row>
    <row r="46" spans="1:2" ht="15" customHeight="1" x14ac:dyDescent="0.2">
      <c r="A46" s="14" t="s">
        <v>73</v>
      </c>
      <c r="B46" s="23" t="s">
        <v>51</v>
      </c>
    </row>
    <row r="48" spans="1:2" ht="15" customHeight="1" x14ac:dyDescent="0.2">
      <c r="A48" s="25" t="s">
        <v>74</v>
      </c>
      <c r="B48" s="25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7"/>
  <sheetViews>
    <sheetView showGridLines="0" zoomScaleNormal="100" workbookViewId="0">
      <selection activeCell="H6" sqref="H6"/>
    </sheetView>
  </sheetViews>
  <sheetFormatPr baseColWidth="10" defaultColWidth="8.6640625" defaultRowHeight="15" x14ac:dyDescent="0.2"/>
  <cols>
    <col min="1" max="1" width="50" customWidth="1"/>
    <col min="2" max="4" width="12" customWidth="1"/>
    <col min="5" max="5" width="11" customWidth="1"/>
    <col min="6" max="6" width="12" customWidth="1"/>
    <col min="7" max="9" width="2" customWidth="1"/>
  </cols>
  <sheetData>
    <row r="1" spans="1:10" ht="17.25" customHeight="1" x14ac:dyDescent="0.2">
      <c r="A1" s="26" t="s">
        <v>875</v>
      </c>
      <c r="B1" s="2"/>
      <c r="C1" s="2"/>
      <c r="D1" s="2"/>
      <c r="E1" s="2"/>
      <c r="F1" s="2"/>
      <c r="G1" s="2"/>
      <c r="H1" s="2"/>
      <c r="I1" s="27"/>
      <c r="J1" s="27"/>
    </row>
    <row r="2" spans="1:10" ht="15" customHeight="1" x14ac:dyDescent="0.2">
      <c r="A2" s="10" t="s">
        <v>76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ht="15" customHeight="1" x14ac:dyDescent="0.2">
      <c r="A4" s="12" t="s">
        <v>879</v>
      </c>
      <c r="B4" s="12"/>
      <c r="C4" s="12"/>
      <c r="D4" s="12"/>
      <c r="E4" s="12"/>
      <c r="F4" s="12"/>
      <c r="G4" s="12"/>
      <c r="H4" s="12"/>
      <c r="I4" s="27"/>
      <c r="J4" s="27"/>
    </row>
    <row r="5" spans="1:10" ht="15" customHeight="1" x14ac:dyDescent="0.2">
      <c r="A5" s="14" t="s">
        <v>77</v>
      </c>
      <c r="B5" s="28">
        <v>35703</v>
      </c>
      <c r="C5" s="27"/>
      <c r="D5" s="27"/>
      <c r="E5" s="27"/>
      <c r="F5" s="27"/>
      <c r="G5" s="27"/>
      <c r="H5" s="29" t="s">
        <v>880</v>
      </c>
      <c r="I5" s="27"/>
      <c r="J5" s="27"/>
    </row>
    <row r="6" spans="1:10" ht="15" customHeight="1" x14ac:dyDescent="0.2">
      <c r="A6" s="14" t="s">
        <v>78</v>
      </c>
      <c r="B6" s="28">
        <v>33753</v>
      </c>
      <c r="C6" s="27"/>
      <c r="D6" s="27"/>
      <c r="E6" s="27"/>
      <c r="F6" s="27"/>
      <c r="G6" s="27"/>
      <c r="H6" s="27"/>
      <c r="I6" s="27"/>
      <c r="J6" s="27"/>
    </row>
    <row r="7" spans="1:10" ht="15" customHeight="1" x14ac:dyDescent="0.2">
      <c r="A7" s="13" t="s">
        <v>38</v>
      </c>
      <c r="B7" s="30">
        <f>B5+B6</f>
        <v>69456</v>
      </c>
      <c r="C7" s="27"/>
      <c r="D7" s="27"/>
      <c r="E7" s="27"/>
      <c r="F7" s="27"/>
      <c r="G7" s="27"/>
      <c r="H7" s="27"/>
      <c r="I7" s="27"/>
      <c r="J7" s="27"/>
    </row>
    <row r="8" spans="1:10" ht="15" customHeight="1" x14ac:dyDescent="0.2">
      <c r="A8" s="14" t="s">
        <v>79</v>
      </c>
      <c r="B8" s="28">
        <v>307</v>
      </c>
      <c r="C8" s="27"/>
      <c r="D8" s="27"/>
      <c r="E8" s="27"/>
      <c r="F8" s="27"/>
      <c r="G8" s="27"/>
      <c r="H8" s="27"/>
      <c r="I8" s="27"/>
      <c r="J8" s="27"/>
    </row>
    <row r="9" spans="1:10" ht="15" customHeight="1" x14ac:dyDescent="0.2">
      <c r="A9" s="14" t="s">
        <v>80</v>
      </c>
      <c r="B9" s="31">
        <v>110</v>
      </c>
      <c r="C9" s="27"/>
      <c r="D9" s="27"/>
      <c r="E9" s="27"/>
      <c r="F9" s="27"/>
      <c r="G9" s="27"/>
      <c r="H9" s="27"/>
      <c r="I9" s="27"/>
      <c r="J9" s="27"/>
    </row>
    <row r="10" spans="1:10" ht="15" customHeight="1" x14ac:dyDescent="0.2">
      <c r="A10" s="14" t="s">
        <v>81</v>
      </c>
      <c r="B10" s="32">
        <v>114.1801</v>
      </c>
      <c r="C10" s="27"/>
      <c r="D10" s="27"/>
      <c r="E10" s="27"/>
      <c r="F10" s="27"/>
      <c r="G10" s="27"/>
      <c r="H10" s="27"/>
      <c r="I10" s="27"/>
      <c r="J10" s="27"/>
    </row>
    <row r="11" spans="1:10" ht="15" customHeight="1" x14ac:dyDescent="0.2">
      <c r="A11" s="14" t="s">
        <v>82</v>
      </c>
      <c r="B11" s="33">
        <v>0.33279999999999998</v>
      </c>
      <c r="C11" s="27"/>
      <c r="D11" s="27"/>
      <c r="E11" s="27"/>
      <c r="F11" s="27"/>
      <c r="G11" s="27"/>
      <c r="H11" s="27"/>
      <c r="I11" s="27"/>
      <c r="J11" s="27"/>
    </row>
    <row r="12" spans="1:10" ht="15" customHeight="1" x14ac:dyDescent="0.2">
      <c r="A12" s="14" t="s">
        <v>83</v>
      </c>
      <c r="B12" s="34">
        <v>51.572626</v>
      </c>
      <c r="C12" s="27"/>
      <c r="D12" s="27"/>
      <c r="E12" s="27"/>
      <c r="F12" s="27"/>
      <c r="G12" s="27"/>
      <c r="H12" s="27"/>
      <c r="I12" s="27"/>
      <c r="J12" s="27"/>
    </row>
    <row r="13" spans="1:10" ht="15" customHeight="1" x14ac:dyDescent="0.2">
      <c r="A13" s="14" t="s">
        <v>84</v>
      </c>
      <c r="B13" s="28">
        <v>35703</v>
      </c>
      <c r="C13" s="27"/>
      <c r="D13" s="27"/>
      <c r="E13" s="27"/>
      <c r="F13" s="27"/>
      <c r="G13" s="27"/>
      <c r="H13" s="27"/>
      <c r="I13" s="27"/>
      <c r="J13" s="27"/>
    </row>
    <row r="14" spans="1:10" ht="15" customHeight="1" x14ac:dyDescent="0.2">
      <c r="A14" s="14" t="s">
        <v>85</v>
      </c>
      <c r="B14" s="28">
        <v>16100</v>
      </c>
      <c r="C14" s="27"/>
      <c r="D14" s="27"/>
      <c r="E14" s="27"/>
      <c r="F14" s="27"/>
      <c r="G14" s="27"/>
      <c r="H14" s="27"/>
      <c r="I14" s="27"/>
      <c r="J14" s="27"/>
    </row>
    <row r="15" spans="1:10" ht="15" customHeight="1" x14ac:dyDescent="0.2">
      <c r="A15" s="14" t="s">
        <v>40</v>
      </c>
      <c r="B15" s="28">
        <v>19208</v>
      </c>
      <c r="C15" s="27"/>
      <c r="D15" s="27"/>
      <c r="E15" s="27"/>
      <c r="F15" s="27"/>
      <c r="G15" s="27"/>
      <c r="H15" s="27"/>
      <c r="I15" s="27"/>
      <c r="J15" s="27"/>
    </row>
    <row r="16" spans="1:10" ht="15" customHeight="1" x14ac:dyDescent="0.2">
      <c r="A16" s="14" t="s">
        <v>86</v>
      </c>
      <c r="B16" s="28">
        <v>22800</v>
      </c>
      <c r="C16" s="27"/>
      <c r="D16" s="27"/>
      <c r="E16" s="27"/>
      <c r="F16" s="27"/>
      <c r="G16" s="27"/>
      <c r="H16" s="27"/>
      <c r="I16" s="27"/>
      <c r="J16" s="27"/>
    </row>
    <row r="17" spans="1:10" ht="15" customHeight="1" x14ac:dyDescent="0.2">
      <c r="A17" s="14" t="s">
        <v>87</v>
      </c>
      <c r="B17" s="28">
        <v>26337</v>
      </c>
      <c r="C17" s="27"/>
      <c r="D17" s="27"/>
      <c r="E17" s="27"/>
      <c r="F17" s="27"/>
      <c r="G17" s="27"/>
      <c r="H17" s="27"/>
      <c r="I17" s="27"/>
      <c r="J17" s="27"/>
    </row>
    <row r="18" spans="1:10" ht="15" customHeight="1" x14ac:dyDescent="0.2">
      <c r="A18" s="14" t="s">
        <v>88</v>
      </c>
      <c r="B18" s="28">
        <v>2000</v>
      </c>
      <c r="C18" s="27"/>
      <c r="D18" s="27"/>
      <c r="E18" s="27"/>
      <c r="F18" s="27"/>
      <c r="G18" s="27"/>
      <c r="H18" s="27"/>
      <c r="I18" s="27"/>
      <c r="J18" s="27"/>
    </row>
    <row r="19" spans="1:10" ht="15" customHeight="1" x14ac:dyDescent="0.2">
      <c r="A19" s="14" t="s">
        <v>89</v>
      </c>
      <c r="B19" s="28">
        <v>150</v>
      </c>
      <c r="C19" s="27"/>
      <c r="D19" s="27"/>
      <c r="E19" s="27"/>
      <c r="F19" s="27"/>
      <c r="G19" s="27"/>
      <c r="H19" s="27"/>
      <c r="I19" s="27"/>
      <c r="J19" s="27"/>
    </row>
    <row r="20" spans="1:10" ht="15" customHeight="1" x14ac:dyDescent="0.2">
      <c r="A20" s="14" t="s">
        <v>90</v>
      </c>
      <c r="B20" s="28">
        <v>1499</v>
      </c>
      <c r="C20" s="27"/>
      <c r="D20" s="27"/>
      <c r="E20" s="27"/>
      <c r="F20" s="27"/>
      <c r="G20" s="27"/>
      <c r="H20" s="27"/>
      <c r="I20" s="27"/>
      <c r="J20" s="27"/>
    </row>
    <row r="21" spans="1:10" ht="15" customHeight="1" x14ac:dyDescent="0.2">
      <c r="A21" s="14" t="s">
        <v>91</v>
      </c>
      <c r="B21" s="28">
        <v>52400</v>
      </c>
      <c r="C21" s="27"/>
      <c r="D21" s="27"/>
      <c r="E21" s="27"/>
      <c r="F21" s="27"/>
      <c r="G21" s="27"/>
      <c r="H21" s="27"/>
      <c r="I21" s="27"/>
      <c r="J21" s="27"/>
    </row>
    <row r="22" spans="1:10" ht="15" customHeight="1" x14ac:dyDescent="0.2">
      <c r="A22" s="14" t="s">
        <v>92</v>
      </c>
      <c r="B22" s="28">
        <v>71300</v>
      </c>
      <c r="C22" s="27"/>
      <c r="D22" s="27"/>
      <c r="E22" s="27"/>
      <c r="F22" s="27"/>
      <c r="G22" s="27"/>
      <c r="H22" s="27"/>
      <c r="I22" s="27"/>
      <c r="J22" s="27"/>
    </row>
    <row r="23" spans="1:10" ht="15" customHeight="1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spans="1:10" ht="15" customHeight="1" x14ac:dyDescent="0.2">
      <c r="A24" s="12" t="s">
        <v>93</v>
      </c>
      <c r="B24" s="12"/>
      <c r="C24" s="12"/>
      <c r="D24" s="12"/>
      <c r="E24" s="12"/>
      <c r="F24" s="12"/>
      <c r="G24" s="12"/>
      <c r="H24" s="12"/>
      <c r="I24" s="27"/>
      <c r="J24" s="27"/>
    </row>
    <row r="25" spans="1:10" ht="15" customHeight="1" x14ac:dyDescent="0.2">
      <c r="A25" s="14" t="s">
        <v>94</v>
      </c>
      <c r="B25" s="35">
        <v>0.21</v>
      </c>
      <c r="C25" s="27"/>
      <c r="D25" s="27"/>
      <c r="E25" s="27"/>
      <c r="F25" s="27"/>
      <c r="G25" s="27"/>
      <c r="H25" s="29" t="s">
        <v>95</v>
      </c>
      <c r="I25" s="27"/>
      <c r="J25" s="27"/>
    </row>
    <row r="26" spans="1:10" ht="15" customHeight="1" x14ac:dyDescent="0.2">
      <c r="A26" s="29" t="s">
        <v>96</v>
      </c>
      <c r="B26" s="27"/>
      <c r="C26" s="27"/>
      <c r="D26" s="27"/>
      <c r="E26" s="27"/>
      <c r="F26" s="27"/>
      <c r="G26" s="27"/>
      <c r="H26" s="27"/>
      <c r="I26" s="27"/>
      <c r="J26" s="27"/>
    </row>
    <row r="27" spans="1:10" ht="15" customHeight="1" x14ac:dyDescent="0.2">
      <c r="A27" s="29" t="s">
        <v>97</v>
      </c>
      <c r="B27" s="27"/>
      <c r="C27" s="27"/>
      <c r="D27" s="27"/>
      <c r="E27" s="27"/>
      <c r="F27" s="27"/>
      <c r="G27" s="27"/>
      <c r="H27" s="27"/>
      <c r="I27" s="27"/>
      <c r="J27" s="27"/>
    </row>
    <row r="28" spans="1:10" ht="15" customHeight="1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</row>
    <row r="29" spans="1:10" ht="15" customHeight="1" x14ac:dyDescent="0.2">
      <c r="A29" s="12" t="s">
        <v>98</v>
      </c>
      <c r="B29" s="12"/>
      <c r="C29" s="12"/>
      <c r="D29" s="12"/>
      <c r="E29" s="12"/>
      <c r="F29" s="12"/>
      <c r="G29" s="12"/>
      <c r="H29" s="12"/>
      <c r="I29" s="27"/>
      <c r="J29" s="27"/>
    </row>
    <row r="30" spans="1:10" ht="15" customHeight="1" x14ac:dyDescent="0.2">
      <c r="A30" s="14" t="s">
        <v>99</v>
      </c>
      <c r="B30" s="20" t="str">
        <f>CONTROL!B5</f>
        <v>Base</v>
      </c>
      <c r="C30" s="27"/>
      <c r="D30" s="27"/>
      <c r="E30" s="27"/>
      <c r="F30" s="27"/>
      <c r="G30" s="27"/>
      <c r="H30" s="27"/>
      <c r="I30" s="27"/>
      <c r="J30" s="27"/>
    </row>
    <row r="31" spans="1:10" ht="15" customHeight="1" x14ac:dyDescent="0.2">
      <c r="A31" s="14" t="s">
        <v>100</v>
      </c>
      <c r="B31" s="36">
        <f>IF(CONTROL!B5="Upside",2,IF(CONTROL!B5="Downside",3,1))</f>
        <v>1</v>
      </c>
      <c r="C31" s="27"/>
      <c r="D31" s="27"/>
      <c r="E31" s="27"/>
      <c r="F31" s="27"/>
      <c r="G31" s="27"/>
      <c r="H31" s="27"/>
      <c r="I31" s="27"/>
      <c r="J31" s="27"/>
    </row>
    <row r="32" spans="1:10" ht="15" customHeight="1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7"/>
    </row>
    <row r="33" spans="1:10" ht="15" customHeight="1" x14ac:dyDescent="0.2">
      <c r="A33" s="37" t="s">
        <v>101</v>
      </c>
      <c r="B33" s="38" t="s">
        <v>102</v>
      </c>
      <c r="C33" s="38" t="s">
        <v>34</v>
      </c>
      <c r="D33" s="38" t="s">
        <v>103</v>
      </c>
      <c r="E33" s="38" t="s">
        <v>104</v>
      </c>
      <c r="F33" s="38" t="s">
        <v>105</v>
      </c>
      <c r="G33" s="27"/>
      <c r="H33" s="37" t="s">
        <v>106</v>
      </c>
      <c r="I33" s="27"/>
      <c r="J33" s="27"/>
    </row>
    <row r="34" spans="1:10" ht="15" customHeight="1" x14ac:dyDescent="0.2">
      <c r="A34" s="12" t="s">
        <v>876</v>
      </c>
      <c r="B34" s="12"/>
      <c r="C34" s="12"/>
      <c r="D34" s="12"/>
      <c r="E34" s="12"/>
      <c r="F34" s="12"/>
      <c r="G34" s="12"/>
      <c r="H34" s="12"/>
      <c r="I34" s="27"/>
      <c r="J34" s="27"/>
    </row>
    <row r="35" spans="1:10" ht="15" customHeight="1" x14ac:dyDescent="0.2">
      <c r="A35" s="14" t="s">
        <v>877</v>
      </c>
      <c r="B35" s="35">
        <v>1.7000000000000001E-2</v>
      </c>
      <c r="C35" s="35">
        <v>0.03</v>
      </c>
      <c r="D35" s="35">
        <v>4.4999999999999998E-2</v>
      </c>
      <c r="E35" s="35">
        <v>0.01</v>
      </c>
      <c r="F35" s="39">
        <f t="shared" ref="F35:F50" si="0">CHOOSE($B$31,C35,D35,E35)</f>
        <v>0.03</v>
      </c>
      <c r="G35" s="27"/>
      <c r="H35" s="29" t="s">
        <v>107</v>
      </c>
      <c r="I35" s="27"/>
      <c r="J35" s="27"/>
    </row>
    <row r="36" spans="1:10" ht="220.5" customHeight="1" x14ac:dyDescent="0.2">
      <c r="A36" s="14" t="s">
        <v>878</v>
      </c>
      <c r="B36" s="35">
        <v>9.35E-2</v>
      </c>
      <c r="C36" s="35">
        <v>0.06</v>
      </c>
      <c r="D36" s="35">
        <v>0.08</v>
      </c>
      <c r="E36" s="35">
        <v>0.02</v>
      </c>
      <c r="F36" s="39">
        <f t="shared" si="0"/>
        <v>0.06</v>
      </c>
      <c r="G36" s="27"/>
      <c r="H36" s="29" t="s">
        <v>108</v>
      </c>
      <c r="I36" s="27"/>
      <c r="J36" s="27"/>
    </row>
    <row r="37" spans="1:10" ht="168" customHeight="1" x14ac:dyDescent="0.2">
      <c r="A37" s="14" t="s">
        <v>109</v>
      </c>
      <c r="B37" s="35">
        <v>2.8500000000000001E-2</v>
      </c>
      <c r="C37" s="35">
        <v>0.04</v>
      </c>
      <c r="D37" s="35">
        <v>0.08</v>
      </c>
      <c r="E37" s="35">
        <v>-0.02</v>
      </c>
      <c r="F37" s="39">
        <f t="shared" si="0"/>
        <v>0.04</v>
      </c>
      <c r="G37" s="27"/>
      <c r="H37" s="29" t="s">
        <v>110</v>
      </c>
      <c r="I37" s="27"/>
      <c r="J37" s="27"/>
    </row>
    <row r="38" spans="1:10" ht="252" customHeight="1" x14ac:dyDescent="0.2">
      <c r="A38" s="14" t="s">
        <v>111</v>
      </c>
      <c r="B38" s="35">
        <v>-8.2699999999999996E-2</v>
      </c>
      <c r="C38" s="35">
        <v>-0.02</v>
      </c>
      <c r="D38" s="35">
        <v>0.01</v>
      </c>
      <c r="E38" s="35">
        <v>-0.06</v>
      </c>
      <c r="F38" s="39">
        <f t="shared" si="0"/>
        <v>-0.02</v>
      </c>
      <c r="G38" s="27"/>
      <c r="H38" s="29" t="s">
        <v>112</v>
      </c>
      <c r="I38" s="27"/>
      <c r="J38" s="27"/>
    </row>
    <row r="39" spans="1:10" ht="324.75" customHeight="1" x14ac:dyDescent="0.2">
      <c r="A39" s="14" t="s">
        <v>113</v>
      </c>
      <c r="B39" s="35">
        <v>0.27039999999999997</v>
      </c>
      <c r="C39" s="35">
        <v>0.27</v>
      </c>
      <c r="D39" s="35">
        <v>0.28499999999999998</v>
      </c>
      <c r="E39" s="35">
        <v>0.25</v>
      </c>
      <c r="F39" s="39">
        <f t="shared" si="0"/>
        <v>0.27</v>
      </c>
      <c r="G39" s="27"/>
      <c r="H39" s="29" t="s">
        <v>114</v>
      </c>
      <c r="I39" s="27"/>
      <c r="J39" s="27"/>
    </row>
    <row r="40" spans="1:10" ht="15" customHeight="1" x14ac:dyDescent="0.2">
      <c r="A40" s="14" t="s">
        <v>115</v>
      </c>
      <c r="B40" s="35">
        <v>0.22020000000000001</v>
      </c>
      <c r="C40" s="35">
        <v>0.22</v>
      </c>
      <c r="D40" s="35">
        <v>0.23499999999999999</v>
      </c>
      <c r="E40" s="35">
        <v>0.19</v>
      </c>
      <c r="F40" s="39">
        <f t="shared" si="0"/>
        <v>0.22</v>
      </c>
      <c r="G40" s="27"/>
      <c r="H40" s="29" t="s">
        <v>116</v>
      </c>
      <c r="I40" s="27"/>
      <c r="J40" s="27"/>
    </row>
    <row r="41" spans="1:10" ht="409.5" customHeight="1" x14ac:dyDescent="0.2">
      <c r="A41" s="14" t="s">
        <v>117</v>
      </c>
      <c r="B41" s="35">
        <v>0.2984</v>
      </c>
      <c r="C41" s="35">
        <v>0.28000000000000003</v>
      </c>
      <c r="D41" s="35">
        <v>0.31</v>
      </c>
      <c r="E41" s="35">
        <v>0.24</v>
      </c>
      <c r="F41" s="39">
        <f t="shared" si="0"/>
        <v>0.28000000000000003</v>
      </c>
      <c r="G41" s="27"/>
      <c r="H41" s="29" t="s">
        <v>118</v>
      </c>
      <c r="I41" s="27"/>
      <c r="J41" s="27"/>
    </row>
    <row r="42" spans="1:10" ht="397.5" customHeight="1" x14ac:dyDescent="0.2">
      <c r="A42" s="14" t="s">
        <v>119</v>
      </c>
      <c r="B42" s="35">
        <v>0.35089999999999999</v>
      </c>
      <c r="C42" s="35">
        <v>0.35</v>
      </c>
      <c r="D42" s="35">
        <v>0.36499999999999999</v>
      </c>
      <c r="E42" s="35">
        <v>0.32</v>
      </c>
      <c r="F42" s="39">
        <f t="shared" si="0"/>
        <v>0.35</v>
      </c>
      <c r="G42" s="27"/>
      <c r="H42" s="29" t="s">
        <v>120</v>
      </c>
      <c r="I42" s="27"/>
      <c r="J42" s="27"/>
    </row>
    <row r="43" spans="1:10" ht="241.5" customHeight="1" x14ac:dyDescent="0.2">
      <c r="A43" s="14" t="s">
        <v>121</v>
      </c>
      <c r="B43" s="35">
        <v>5.0700000000000002E-2</v>
      </c>
      <c r="C43" s="35">
        <v>0.05</v>
      </c>
      <c r="D43" s="35">
        <v>0.05</v>
      </c>
      <c r="E43" s="35">
        <v>0.05</v>
      </c>
      <c r="F43" s="39">
        <f t="shared" si="0"/>
        <v>0.05</v>
      </c>
      <c r="G43" s="27"/>
      <c r="H43" s="29" t="s">
        <v>122</v>
      </c>
      <c r="I43" s="27"/>
      <c r="J43" s="27"/>
    </row>
    <row r="44" spans="1:10" ht="397.5" customHeight="1" x14ac:dyDescent="0.2">
      <c r="A44" s="14" t="s">
        <v>123</v>
      </c>
      <c r="B44" s="35">
        <v>7.51E-2</v>
      </c>
      <c r="C44" s="35">
        <v>7.0000000000000007E-2</v>
      </c>
      <c r="D44" s="35">
        <v>0.06</v>
      </c>
      <c r="E44" s="35">
        <v>8.5000000000000006E-2</v>
      </c>
      <c r="F44" s="39">
        <f t="shared" si="0"/>
        <v>7.0000000000000007E-2</v>
      </c>
      <c r="G44" s="27"/>
      <c r="H44" s="29" t="s">
        <v>124</v>
      </c>
      <c r="I44" s="27"/>
      <c r="J44" s="27"/>
    </row>
    <row r="45" spans="1:10" ht="408" customHeight="1" x14ac:dyDescent="0.2">
      <c r="A45" s="14" t="s">
        <v>125</v>
      </c>
      <c r="B45" s="35">
        <v>0</v>
      </c>
      <c r="C45" s="35">
        <v>0</v>
      </c>
      <c r="D45" s="35">
        <v>0</v>
      </c>
      <c r="E45" s="35">
        <v>0</v>
      </c>
      <c r="F45" s="39">
        <f t="shared" si="0"/>
        <v>0</v>
      </c>
      <c r="G45" s="27"/>
      <c r="H45" s="29" t="s">
        <v>126</v>
      </c>
      <c r="I45" s="27"/>
      <c r="J45" s="27"/>
    </row>
    <row r="46" spans="1:10" ht="199.5" customHeight="1" x14ac:dyDescent="0.2">
      <c r="A46" s="14" t="s">
        <v>127</v>
      </c>
      <c r="B46" s="35">
        <v>0.24</v>
      </c>
      <c r="C46" s="35">
        <v>0.24</v>
      </c>
      <c r="D46" s="35">
        <v>0.22</v>
      </c>
      <c r="E46" s="35">
        <v>0.26</v>
      </c>
      <c r="F46" s="39">
        <f t="shared" si="0"/>
        <v>0.24</v>
      </c>
      <c r="G46" s="27"/>
      <c r="H46" s="29" t="s">
        <v>128</v>
      </c>
      <c r="I46" s="27"/>
      <c r="J46" s="27"/>
    </row>
    <row r="47" spans="1:10" ht="294" customHeight="1" x14ac:dyDescent="0.2">
      <c r="A47" s="14" t="s">
        <v>129</v>
      </c>
      <c r="B47" s="35">
        <v>3.5000000000000003E-2</v>
      </c>
      <c r="C47" s="35">
        <v>3.5000000000000003E-2</v>
      </c>
      <c r="D47" s="35">
        <v>3.5000000000000003E-2</v>
      </c>
      <c r="E47" s="35">
        <v>3.5000000000000003E-2</v>
      </c>
      <c r="F47" s="39">
        <f t="shared" si="0"/>
        <v>3.5000000000000003E-2</v>
      </c>
      <c r="G47" s="27"/>
      <c r="H47" s="29" t="s">
        <v>130</v>
      </c>
      <c r="I47" s="27"/>
      <c r="J47" s="27"/>
    </row>
    <row r="48" spans="1:10" ht="409.5" customHeight="1" x14ac:dyDescent="0.2">
      <c r="A48" s="14" t="s">
        <v>131</v>
      </c>
      <c r="B48" s="31">
        <v>1.68</v>
      </c>
      <c r="C48" s="31">
        <v>1.76</v>
      </c>
      <c r="D48" s="31">
        <v>1.76</v>
      </c>
      <c r="E48" s="31">
        <v>1.76</v>
      </c>
      <c r="F48" s="40">
        <f t="shared" si="0"/>
        <v>1.76</v>
      </c>
      <c r="G48" s="27"/>
      <c r="H48" s="29" t="s">
        <v>132</v>
      </c>
      <c r="I48" s="27"/>
      <c r="J48" s="27"/>
    </row>
    <row r="49" spans="1:10" ht="15" customHeight="1" x14ac:dyDescent="0.2">
      <c r="A49" s="14" t="s">
        <v>133</v>
      </c>
      <c r="B49" s="28">
        <v>3577</v>
      </c>
      <c r="C49" s="28">
        <v>0</v>
      </c>
      <c r="D49" s="28">
        <v>0</v>
      </c>
      <c r="E49" s="28">
        <v>0</v>
      </c>
      <c r="F49" s="30">
        <f t="shared" si="0"/>
        <v>0</v>
      </c>
      <c r="G49" s="27"/>
      <c r="H49" s="29" t="s">
        <v>134</v>
      </c>
      <c r="I49" s="27"/>
      <c r="J49" s="27"/>
    </row>
    <row r="50" spans="1:10" ht="15" customHeight="1" x14ac:dyDescent="0.2">
      <c r="A50" s="14" t="s">
        <v>135</v>
      </c>
      <c r="B50" s="28">
        <v>1507</v>
      </c>
      <c r="C50" s="28">
        <v>1488</v>
      </c>
      <c r="D50" s="28">
        <v>1488</v>
      </c>
      <c r="E50" s="28">
        <v>1488</v>
      </c>
      <c r="F50" s="30">
        <f t="shared" si="0"/>
        <v>1488</v>
      </c>
      <c r="G50" s="27"/>
      <c r="H50" s="29" t="s">
        <v>136</v>
      </c>
      <c r="I50" s="27"/>
      <c r="J50" s="27"/>
    </row>
    <row r="51" spans="1:10" ht="15" customHeight="1" x14ac:dyDescent="0.2">
      <c r="A51" s="12" t="s">
        <v>137</v>
      </c>
      <c r="B51" s="12"/>
      <c r="C51" s="12"/>
      <c r="D51" s="12"/>
      <c r="E51" s="12"/>
      <c r="F51" s="12"/>
      <c r="G51" s="12"/>
      <c r="H51" s="12"/>
      <c r="I51" s="27"/>
      <c r="J51" s="27"/>
    </row>
    <row r="52" spans="1:10" ht="273" customHeight="1" x14ac:dyDescent="0.2">
      <c r="A52" s="14" t="s">
        <v>138</v>
      </c>
      <c r="B52" s="35">
        <v>9.2700000000000005E-2</v>
      </c>
      <c r="C52" s="35">
        <v>0.05</v>
      </c>
      <c r="D52" s="35">
        <v>7.0000000000000007E-2</v>
      </c>
      <c r="E52" s="35">
        <v>0.02</v>
      </c>
      <c r="F52" s="39">
        <f t="shared" ref="F52:F59" si="1">CHOOSE($B$31,C52,D52,E52)</f>
        <v>0.05</v>
      </c>
      <c r="G52" s="27"/>
      <c r="H52" s="29" t="s">
        <v>139</v>
      </c>
      <c r="I52" s="27"/>
      <c r="J52" s="27"/>
    </row>
    <row r="53" spans="1:10" ht="168" customHeight="1" x14ac:dyDescent="0.2">
      <c r="A53" s="14" t="s">
        <v>140</v>
      </c>
      <c r="B53" s="35">
        <v>1.41E-2</v>
      </c>
      <c r="C53" s="35">
        <v>0.03</v>
      </c>
      <c r="D53" s="35">
        <v>0.06</v>
      </c>
      <c r="E53" s="35">
        <v>-0.02</v>
      </c>
      <c r="F53" s="39">
        <f t="shared" si="1"/>
        <v>0.03</v>
      </c>
      <c r="G53" s="27"/>
      <c r="H53" s="29" t="s">
        <v>141</v>
      </c>
      <c r="I53" s="27"/>
      <c r="J53" s="27"/>
    </row>
    <row r="54" spans="1:10" ht="231" customHeight="1" x14ac:dyDescent="0.2">
      <c r="A54" s="14" t="s">
        <v>142</v>
      </c>
      <c r="B54" s="35">
        <v>0.2026</v>
      </c>
      <c r="C54" s="35">
        <v>0.20499999999999999</v>
      </c>
      <c r="D54" s="35">
        <v>0.22</v>
      </c>
      <c r="E54" s="35">
        <v>0.18</v>
      </c>
      <c r="F54" s="39">
        <f t="shared" si="1"/>
        <v>0.20499999999999999</v>
      </c>
      <c r="G54" s="27"/>
      <c r="H54" s="29" t="s">
        <v>143</v>
      </c>
      <c r="I54" s="27"/>
      <c r="J54" s="27"/>
    </row>
    <row r="55" spans="1:10" ht="210" customHeight="1" x14ac:dyDescent="0.2">
      <c r="A55" s="14" t="s">
        <v>121</v>
      </c>
      <c r="B55" s="35">
        <v>1.9800000000000002E-2</v>
      </c>
      <c r="C55" s="35">
        <v>0.02</v>
      </c>
      <c r="D55" s="35">
        <v>0.02</v>
      </c>
      <c r="E55" s="35">
        <v>0.02</v>
      </c>
      <c r="F55" s="39">
        <f t="shared" si="1"/>
        <v>0.02</v>
      </c>
      <c r="G55" s="27"/>
      <c r="H55" s="29" t="s">
        <v>144</v>
      </c>
      <c r="I55" s="27"/>
      <c r="J55" s="27"/>
    </row>
    <row r="56" spans="1:10" ht="15" customHeight="1" x14ac:dyDescent="0.2">
      <c r="A56" s="14" t="s">
        <v>123</v>
      </c>
      <c r="B56" s="27"/>
      <c r="C56" s="35">
        <v>0.02</v>
      </c>
      <c r="D56" s="35">
        <v>1.4999999999999999E-2</v>
      </c>
      <c r="E56" s="35">
        <v>0.03</v>
      </c>
      <c r="F56" s="39">
        <f t="shared" si="1"/>
        <v>0.02</v>
      </c>
      <c r="G56" s="27"/>
      <c r="H56" s="29" t="s">
        <v>145</v>
      </c>
      <c r="I56" s="27"/>
      <c r="J56" s="27"/>
    </row>
    <row r="57" spans="1:10" ht="409.5" customHeight="1" x14ac:dyDescent="0.2">
      <c r="A57" s="14" t="s">
        <v>146</v>
      </c>
      <c r="B57" s="28">
        <v>-445</v>
      </c>
      <c r="C57" s="28">
        <v>-600</v>
      </c>
      <c r="D57" s="28">
        <v>-450</v>
      </c>
      <c r="E57" s="28">
        <v>-750</v>
      </c>
      <c r="F57" s="30">
        <f t="shared" si="1"/>
        <v>-600</v>
      </c>
      <c r="G57" s="27"/>
      <c r="H57" s="29" t="s">
        <v>147</v>
      </c>
      <c r="I57" s="27"/>
      <c r="J57" s="27"/>
    </row>
    <row r="58" spans="1:10" ht="397.5" customHeight="1" x14ac:dyDescent="0.2">
      <c r="A58" s="14" t="s">
        <v>148</v>
      </c>
      <c r="B58" s="35">
        <v>6.2700000000000006E-2</v>
      </c>
      <c r="C58" s="35">
        <v>0.06</v>
      </c>
      <c r="D58" s="35">
        <v>0.06</v>
      </c>
      <c r="E58" s="35">
        <v>0.06</v>
      </c>
      <c r="F58" s="39">
        <f t="shared" si="1"/>
        <v>0.06</v>
      </c>
      <c r="G58" s="27"/>
      <c r="H58" s="29" t="s">
        <v>149</v>
      </c>
      <c r="I58" s="27"/>
      <c r="J58" s="27"/>
    </row>
    <row r="59" spans="1:10" ht="252" customHeight="1" x14ac:dyDescent="0.2">
      <c r="A59" s="14" t="s">
        <v>127</v>
      </c>
      <c r="B59" s="35">
        <v>0.24</v>
      </c>
      <c r="C59" s="35">
        <v>0.24</v>
      </c>
      <c r="D59" s="35">
        <v>0.22</v>
      </c>
      <c r="E59" s="35">
        <v>0.26</v>
      </c>
      <c r="F59" s="39">
        <f t="shared" si="1"/>
        <v>0.24</v>
      </c>
      <c r="G59" s="27"/>
      <c r="H59" s="29" t="s">
        <v>150</v>
      </c>
      <c r="I59" s="27"/>
      <c r="J59" s="27"/>
    </row>
    <row r="60" spans="1:10" ht="303.75" customHeight="1" x14ac:dyDescent="0.2">
      <c r="A60" s="12" t="s">
        <v>151</v>
      </c>
      <c r="B60" s="12"/>
      <c r="C60" s="12"/>
      <c r="D60" s="12"/>
      <c r="E60" s="12"/>
      <c r="F60" s="12"/>
      <c r="G60" s="12"/>
      <c r="H60" s="12"/>
      <c r="I60" s="27"/>
      <c r="J60" s="27"/>
    </row>
    <row r="61" spans="1:10" ht="409.5" customHeight="1" x14ac:dyDescent="0.2">
      <c r="A61" s="14" t="s">
        <v>152</v>
      </c>
      <c r="B61" s="27"/>
      <c r="C61" s="28">
        <v>2000</v>
      </c>
      <c r="D61" s="28">
        <v>2500</v>
      </c>
      <c r="E61" s="28">
        <v>1500</v>
      </c>
      <c r="F61" s="30">
        <f>CHOOSE($B$31,C61,D61,E61)</f>
        <v>2000</v>
      </c>
      <c r="G61" s="27"/>
      <c r="H61" s="29" t="s">
        <v>153</v>
      </c>
      <c r="I61" s="27"/>
      <c r="J61" s="27"/>
    </row>
    <row r="62" spans="1:10" ht="409.5" customHeight="1" x14ac:dyDescent="0.2">
      <c r="A62" s="14" t="s">
        <v>154</v>
      </c>
      <c r="B62" s="27"/>
      <c r="C62" s="28">
        <v>1400</v>
      </c>
      <c r="D62" s="28">
        <v>1000</v>
      </c>
      <c r="E62" s="28">
        <v>2000</v>
      </c>
      <c r="F62" s="30">
        <f>CHOOSE($B$31,C62,D62,E62)</f>
        <v>1400</v>
      </c>
      <c r="G62" s="27"/>
      <c r="H62" s="29" t="s">
        <v>155</v>
      </c>
      <c r="I62" s="27"/>
      <c r="J62" s="27"/>
    </row>
    <row r="63" spans="1:10" ht="15" customHeight="1" x14ac:dyDescent="0.2">
      <c r="A63" s="14" t="s">
        <v>156</v>
      </c>
      <c r="B63" s="27"/>
      <c r="C63" s="28">
        <v>0</v>
      </c>
      <c r="D63" s="28">
        <v>0</v>
      </c>
      <c r="E63" s="28">
        <v>0</v>
      </c>
      <c r="F63" s="30">
        <f>CHOOSE($B$31,C63,D63,E63)</f>
        <v>0</v>
      </c>
      <c r="G63" s="27"/>
      <c r="H63" s="29" t="s">
        <v>157</v>
      </c>
      <c r="I63" s="27"/>
      <c r="J63" s="27"/>
    </row>
    <row r="64" spans="1:10" ht="15" customHeight="1" x14ac:dyDescent="0.2">
      <c r="A64" s="41" t="s">
        <v>158</v>
      </c>
      <c r="B64" s="27"/>
      <c r="C64" s="42" t="s">
        <v>159</v>
      </c>
      <c r="D64" s="42" t="s">
        <v>160</v>
      </c>
      <c r="E64" s="42" t="s">
        <v>161</v>
      </c>
      <c r="F64" s="42" t="s">
        <v>162</v>
      </c>
      <c r="G64" s="42" t="s">
        <v>163</v>
      </c>
      <c r="H64" s="27"/>
      <c r="I64" s="27"/>
      <c r="J64" s="27"/>
    </row>
    <row r="65" spans="1:10" ht="409.5" customHeight="1" x14ac:dyDescent="0.2">
      <c r="A65" s="14" t="s">
        <v>164</v>
      </c>
      <c r="B65" s="27"/>
      <c r="C65" s="35">
        <v>0.1</v>
      </c>
      <c r="D65" s="35">
        <v>0.5</v>
      </c>
      <c r="E65" s="35">
        <v>0.9</v>
      </c>
      <c r="F65" s="35">
        <v>1</v>
      </c>
      <c r="G65" s="35">
        <v>1</v>
      </c>
      <c r="H65" s="29" t="s">
        <v>165</v>
      </c>
      <c r="I65" s="27"/>
      <c r="J65" s="27"/>
    </row>
    <row r="66" spans="1:10" ht="15" customHeight="1" x14ac:dyDescent="0.2">
      <c r="A66" s="14" t="s">
        <v>166</v>
      </c>
      <c r="B66" s="27"/>
      <c r="C66" s="35">
        <v>0.4</v>
      </c>
      <c r="D66" s="35">
        <v>0.4</v>
      </c>
      <c r="E66" s="35">
        <v>0.2</v>
      </c>
      <c r="F66" s="35">
        <v>0</v>
      </c>
      <c r="G66" s="35">
        <v>0</v>
      </c>
      <c r="H66" s="29" t="s">
        <v>167</v>
      </c>
      <c r="I66" s="27"/>
      <c r="J66" s="27"/>
    </row>
    <row r="67" spans="1:10" ht="15" customHeight="1" x14ac:dyDescent="0.2">
      <c r="A67" s="12" t="s">
        <v>168</v>
      </c>
      <c r="B67" s="12"/>
      <c r="C67" s="12"/>
      <c r="D67" s="12"/>
      <c r="E67" s="12"/>
      <c r="F67" s="12"/>
      <c r="G67" s="12"/>
      <c r="H67" s="12"/>
      <c r="I67" s="27"/>
      <c r="J67" s="27"/>
    </row>
    <row r="68" spans="1:10" ht="15" customHeight="1" x14ac:dyDescent="0.2">
      <c r="A68" s="14" t="s">
        <v>169</v>
      </c>
      <c r="B68" s="35">
        <v>3.3000000000000002E-2</v>
      </c>
      <c r="C68" s="35">
        <v>3.3000000000000002E-2</v>
      </c>
      <c r="D68" s="35">
        <v>0.03</v>
      </c>
      <c r="E68" s="35">
        <v>0.04</v>
      </c>
      <c r="F68" s="39">
        <f t="shared" ref="F68:F74" si="2">CHOOSE($B$31,C68,D68,E68)</f>
        <v>3.3000000000000002E-2</v>
      </c>
      <c r="G68" s="27"/>
      <c r="H68" s="29" t="s">
        <v>170</v>
      </c>
      <c r="I68" s="27"/>
      <c r="J68" s="27"/>
    </row>
    <row r="69" spans="1:10" ht="303.75" customHeight="1" x14ac:dyDescent="0.2">
      <c r="A69" s="14" t="s">
        <v>171</v>
      </c>
      <c r="B69" s="35">
        <v>6.2700000000000006E-2</v>
      </c>
      <c r="C69" s="35">
        <v>0.06</v>
      </c>
      <c r="D69" s="35">
        <v>0.06</v>
      </c>
      <c r="E69" s="35">
        <v>0.06</v>
      </c>
      <c r="F69" s="39">
        <f t="shared" si="2"/>
        <v>0.06</v>
      </c>
      <c r="G69" s="27"/>
      <c r="H69" s="29" t="s">
        <v>172</v>
      </c>
      <c r="I69" s="27"/>
      <c r="J69" s="27"/>
    </row>
    <row r="70" spans="1:10" ht="366" customHeight="1" x14ac:dyDescent="0.2">
      <c r="A70" s="14" t="s">
        <v>173</v>
      </c>
      <c r="B70" s="28">
        <v>205</v>
      </c>
      <c r="C70" s="28">
        <v>205</v>
      </c>
      <c r="D70" s="28">
        <v>205</v>
      </c>
      <c r="E70" s="28">
        <v>205</v>
      </c>
      <c r="F70" s="30">
        <f t="shared" si="2"/>
        <v>205</v>
      </c>
      <c r="G70" s="27"/>
      <c r="H70" s="29" t="s">
        <v>174</v>
      </c>
      <c r="I70" s="27"/>
      <c r="J70" s="27"/>
    </row>
    <row r="71" spans="1:10" ht="15" customHeight="1" x14ac:dyDescent="0.2">
      <c r="A71" s="14" t="s">
        <v>175</v>
      </c>
      <c r="B71" s="27"/>
      <c r="C71" s="28">
        <v>13070</v>
      </c>
      <c r="D71" s="28">
        <v>13070</v>
      </c>
      <c r="E71" s="28">
        <v>13070</v>
      </c>
      <c r="F71" s="30">
        <f t="shared" si="2"/>
        <v>13070</v>
      </c>
      <c r="G71" s="27"/>
      <c r="H71" s="29" t="s">
        <v>176</v>
      </c>
      <c r="I71" s="27"/>
      <c r="J71" s="27"/>
    </row>
    <row r="72" spans="1:10" ht="15" customHeight="1" x14ac:dyDescent="0.2">
      <c r="A72" s="14" t="s">
        <v>177</v>
      </c>
      <c r="B72" s="35">
        <v>1</v>
      </c>
      <c r="C72" s="35">
        <v>1</v>
      </c>
      <c r="D72" s="35">
        <v>1</v>
      </c>
      <c r="E72" s="35">
        <v>1</v>
      </c>
      <c r="F72" s="39">
        <f t="shared" si="2"/>
        <v>1</v>
      </c>
      <c r="G72" s="27"/>
      <c r="H72" s="29" t="s">
        <v>178</v>
      </c>
      <c r="I72" s="27"/>
      <c r="J72" s="27"/>
    </row>
    <row r="73" spans="1:10" ht="168" customHeight="1" x14ac:dyDescent="0.2">
      <c r="A73" s="14" t="s">
        <v>179</v>
      </c>
      <c r="B73" s="27"/>
      <c r="C73" s="28">
        <v>4000</v>
      </c>
      <c r="D73" s="28">
        <v>4000</v>
      </c>
      <c r="E73" s="28">
        <v>4000</v>
      </c>
      <c r="F73" s="30">
        <f t="shared" si="2"/>
        <v>4000</v>
      </c>
      <c r="G73" s="27"/>
      <c r="H73" s="29" t="s">
        <v>180</v>
      </c>
      <c r="I73" s="27"/>
      <c r="J73" s="27"/>
    </row>
    <row r="74" spans="1:10" ht="303.75" customHeight="1" x14ac:dyDescent="0.2">
      <c r="A74" s="14" t="s">
        <v>181</v>
      </c>
      <c r="B74" s="35">
        <v>0.5</v>
      </c>
      <c r="C74" s="35">
        <v>0.5</v>
      </c>
      <c r="D74" s="35">
        <v>0.75</v>
      </c>
      <c r="E74" s="35">
        <v>0.25</v>
      </c>
      <c r="F74" s="39">
        <f t="shared" si="2"/>
        <v>0.5</v>
      </c>
      <c r="G74" s="27"/>
      <c r="H74" s="29" t="s">
        <v>182</v>
      </c>
      <c r="I74" s="27"/>
      <c r="J74" s="27"/>
    </row>
    <row r="75" spans="1:10" ht="273" customHeight="1" x14ac:dyDescent="0.2">
      <c r="A75" s="12" t="s">
        <v>183</v>
      </c>
      <c r="B75" s="12"/>
      <c r="C75" s="12"/>
      <c r="D75" s="12"/>
      <c r="E75" s="12"/>
      <c r="F75" s="12"/>
      <c r="G75" s="12"/>
      <c r="H75" s="12"/>
      <c r="I75" s="27"/>
      <c r="J75" s="27"/>
    </row>
    <row r="76" spans="1:10" ht="168" customHeight="1" x14ac:dyDescent="0.2">
      <c r="A76" s="14" t="s">
        <v>184</v>
      </c>
      <c r="B76" s="43">
        <v>11</v>
      </c>
      <c r="C76" s="43">
        <v>11</v>
      </c>
      <c r="D76" s="43">
        <v>11</v>
      </c>
      <c r="E76" s="43">
        <v>11</v>
      </c>
      <c r="F76" s="44">
        <f t="shared" ref="F76:F81" si="3">CHOOSE($B$31,C76,D76,E76)</f>
        <v>11</v>
      </c>
      <c r="G76" s="27"/>
      <c r="H76" s="29" t="s">
        <v>185</v>
      </c>
      <c r="I76" s="27"/>
      <c r="J76" s="27"/>
    </row>
    <row r="77" spans="1:10" ht="168" customHeight="1" x14ac:dyDescent="0.2">
      <c r="A77" s="14" t="s">
        <v>186</v>
      </c>
      <c r="B77" s="43">
        <v>8</v>
      </c>
      <c r="C77" s="43">
        <v>8</v>
      </c>
      <c r="D77" s="43">
        <v>8</v>
      </c>
      <c r="E77" s="43">
        <v>8</v>
      </c>
      <c r="F77" s="44">
        <f t="shared" si="3"/>
        <v>8</v>
      </c>
      <c r="G77" s="27"/>
      <c r="H77" s="29" t="s">
        <v>187</v>
      </c>
      <c r="I77" s="27"/>
      <c r="J77" s="27"/>
    </row>
    <row r="78" spans="1:10" ht="262.5" customHeight="1" x14ac:dyDescent="0.2">
      <c r="A78" s="14" t="s">
        <v>188</v>
      </c>
      <c r="B78" s="43">
        <v>9</v>
      </c>
      <c r="C78" s="43">
        <v>9</v>
      </c>
      <c r="D78" s="43">
        <v>9</v>
      </c>
      <c r="E78" s="43">
        <v>9</v>
      </c>
      <c r="F78" s="44">
        <f t="shared" si="3"/>
        <v>9</v>
      </c>
      <c r="G78" s="27"/>
      <c r="H78" s="29" t="s">
        <v>187</v>
      </c>
      <c r="I78" s="27"/>
      <c r="J78" s="27"/>
    </row>
    <row r="79" spans="1:10" ht="262.5" customHeight="1" x14ac:dyDescent="0.2">
      <c r="A79" s="14" t="s">
        <v>189</v>
      </c>
      <c r="B79" s="43">
        <v>10</v>
      </c>
      <c r="C79" s="43">
        <v>10</v>
      </c>
      <c r="D79" s="43">
        <v>10</v>
      </c>
      <c r="E79" s="43">
        <v>10</v>
      </c>
      <c r="F79" s="44">
        <f t="shared" si="3"/>
        <v>10</v>
      </c>
      <c r="G79" s="27"/>
      <c r="H79" s="29" t="s">
        <v>187</v>
      </c>
      <c r="I79" s="27"/>
      <c r="J79" s="27"/>
    </row>
    <row r="80" spans="1:10" ht="366" customHeight="1" x14ac:dyDescent="0.2">
      <c r="A80" s="14" t="s">
        <v>190</v>
      </c>
      <c r="B80" s="35">
        <v>0.24</v>
      </c>
      <c r="C80" s="35">
        <v>0.24</v>
      </c>
      <c r="D80" s="35">
        <v>0.24</v>
      </c>
      <c r="E80" s="35">
        <v>0.24</v>
      </c>
      <c r="F80" s="39">
        <f t="shared" si="3"/>
        <v>0.24</v>
      </c>
      <c r="G80" s="27"/>
      <c r="H80" s="29" t="s">
        <v>191</v>
      </c>
      <c r="I80" s="27"/>
      <c r="J80" s="27"/>
    </row>
    <row r="81" spans="1:10" ht="147.75" customHeight="1" x14ac:dyDescent="0.2">
      <c r="A81" s="14" t="s">
        <v>192</v>
      </c>
      <c r="B81" s="27"/>
      <c r="C81" s="28">
        <v>0</v>
      </c>
      <c r="D81" s="28">
        <v>0</v>
      </c>
      <c r="E81" s="28">
        <v>0</v>
      </c>
      <c r="F81" s="30">
        <f t="shared" si="3"/>
        <v>0</v>
      </c>
      <c r="G81" s="27"/>
      <c r="H81" s="29" t="s">
        <v>193</v>
      </c>
      <c r="I81" s="27"/>
      <c r="J81" s="27"/>
    </row>
    <row r="82" spans="1:10" ht="199.5" customHeight="1" x14ac:dyDescent="0.2">
      <c r="A82" s="12" t="s">
        <v>194</v>
      </c>
      <c r="B82" s="12"/>
      <c r="C82" s="12"/>
      <c r="D82" s="12"/>
      <c r="E82" s="12"/>
      <c r="F82" s="12"/>
      <c r="G82" s="12"/>
      <c r="H82" s="12"/>
      <c r="I82" s="27"/>
      <c r="J82" s="27"/>
    </row>
    <row r="83" spans="1:10" ht="15" customHeight="1" x14ac:dyDescent="0.2">
      <c r="A83" s="14" t="s">
        <v>195</v>
      </c>
      <c r="B83" s="27"/>
      <c r="C83" s="28">
        <v>0</v>
      </c>
      <c r="D83" s="28">
        <v>0</v>
      </c>
      <c r="E83" s="28">
        <v>0</v>
      </c>
      <c r="F83" s="30">
        <f t="shared" ref="F83:F88" si="4">CHOOSE($B$31,C83,D83,E83)</f>
        <v>0</v>
      </c>
      <c r="G83" s="27"/>
      <c r="H83" s="29" t="s">
        <v>196</v>
      </c>
      <c r="I83" s="27"/>
      <c r="J83" s="27"/>
    </row>
    <row r="84" spans="1:10" ht="15" customHeight="1" x14ac:dyDescent="0.2">
      <c r="A84" s="14" t="s">
        <v>197</v>
      </c>
      <c r="B84" s="35">
        <v>0.24</v>
      </c>
      <c r="C84" s="35">
        <v>0.24</v>
      </c>
      <c r="D84" s="35">
        <v>0.22</v>
      </c>
      <c r="E84" s="35">
        <v>0.26</v>
      </c>
      <c r="F84" s="39">
        <f t="shared" si="4"/>
        <v>0.24</v>
      </c>
      <c r="G84" s="27"/>
      <c r="H84" s="29" t="s">
        <v>198</v>
      </c>
      <c r="I84" s="27"/>
      <c r="J84" s="27"/>
    </row>
    <row r="85" spans="1:10" ht="137.25" customHeight="1" x14ac:dyDescent="0.2">
      <c r="A85" s="14" t="s">
        <v>199</v>
      </c>
      <c r="B85" s="28">
        <v>2747</v>
      </c>
      <c r="C85" s="28">
        <v>2747</v>
      </c>
      <c r="D85" s="28">
        <v>2747</v>
      </c>
      <c r="E85" s="28">
        <v>2747</v>
      </c>
      <c r="F85" s="30">
        <f t="shared" si="4"/>
        <v>2747</v>
      </c>
      <c r="G85" s="27"/>
      <c r="H85" s="29" t="s">
        <v>200</v>
      </c>
      <c r="I85" s="27"/>
      <c r="J85" s="27"/>
    </row>
    <row r="86" spans="1:10" ht="231" customHeight="1" x14ac:dyDescent="0.2">
      <c r="A86" s="14" t="s">
        <v>201</v>
      </c>
      <c r="B86" s="28">
        <v>4500</v>
      </c>
      <c r="C86" s="28">
        <v>4500</v>
      </c>
      <c r="D86" s="28">
        <v>4500</v>
      </c>
      <c r="E86" s="28">
        <v>4500</v>
      </c>
      <c r="F86" s="30">
        <f t="shared" si="4"/>
        <v>4500</v>
      </c>
      <c r="G86" s="27"/>
      <c r="H86" s="29" t="s">
        <v>202</v>
      </c>
      <c r="I86" s="27"/>
      <c r="J86" s="27"/>
    </row>
    <row r="87" spans="1:10" ht="137.25" customHeight="1" x14ac:dyDescent="0.2">
      <c r="A87" s="14" t="s">
        <v>203</v>
      </c>
      <c r="B87" s="28">
        <v>1500</v>
      </c>
      <c r="C87" s="28">
        <v>1500</v>
      </c>
      <c r="D87" s="28">
        <v>1500</v>
      </c>
      <c r="E87" s="28">
        <v>1500</v>
      </c>
      <c r="F87" s="30">
        <f t="shared" si="4"/>
        <v>1500</v>
      </c>
      <c r="G87" s="27"/>
      <c r="H87" s="29" t="s">
        <v>202</v>
      </c>
      <c r="I87" s="27"/>
      <c r="J87" s="27"/>
    </row>
    <row r="88" spans="1:10" ht="137.25" customHeight="1" x14ac:dyDescent="0.2">
      <c r="A88" s="14" t="s">
        <v>204</v>
      </c>
      <c r="B88" s="28">
        <v>4669</v>
      </c>
      <c r="C88" s="28">
        <v>4669</v>
      </c>
      <c r="D88" s="28">
        <v>4669</v>
      </c>
      <c r="E88" s="28">
        <v>4669</v>
      </c>
      <c r="F88" s="30">
        <f t="shared" si="4"/>
        <v>4669</v>
      </c>
      <c r="G88" s="27"/>
      <c r="H88" s="29" t="s">
        <v>205</v>
      </c>
      <c r="I88" s="27"/>
      <c r="J88" s="27"/>
    </row>
    <row r="89" spans="1:10" ht="126.75" customHeight="1" x14ac:dyDescent="0.2">
      <c r="A89" s="12" t="s">
        <v>206</v>
      </c>
      <c r="B89" s="12"/>
      <c r="C89" s="12"/>
      <c r="D89" s="12"/>
      <c r="E89" s="12"/>
      <c r="F89" s="12"/>
      <c r="G89" s="12"/>
      <c r="H89" s="12"/>
      <c r="I89" s="27"/>
      <c r="J89" s="27"/>
    </row>
    <row r="90" spans="1:10" ht="137.25" customHeight="1" x14ac:dyDescent="0.2">
      <c r="A90" s="14" t="s">
        <v>207</v>
      </c>
      <c r="B90" s="15" t="s">
        <v>208</v>
      </c>
      <c r="C90" s="27"/>
      <c r="D90" s="27"/>
      <c r="E90" s="27"/>
      <c r="F90" s="27"/>
      <c r="G90" s="27"/>
      <c r="H90" s="27"/>
      <c r="I90" s="27"/>
      <c r="J90" s="27"/>
    </row>
    <row r="91" spans="1:10" ht="116.25" customHeight="1" x14ac:dyDescent="0.2">
      <c r="A91" s="14" t="s">
        <v>209</v>
      </c>
      <c r="B91" s="15" t="s">
        <v>210</v>
      </c>
      <c r="C91" s="27"/>
      <c r="D91" s="27"/>
      <c r="E91" s="27"/>
      <c r="F91" s="27"/>
      <c r="G91" s="27"/>
      <c r="H91" s="27"/>
      <c r="I91" s="27"/>
      <c r="J91" s="27"/>
    </row>
    <row r="92" spans="1:10" ht="324.75" customHeight="1" x14ac:dyDescent="0.2">
      <c r="A92" s="14" t="s">
        <v>211</v>
      </c>
      <c r="B92" s="15" t="s">
        <v>212</v>
      </c>
      <c r="C92" s="27"/>
      <c r="D92" s="27"/>
      <c r="E92" s="27"/>
      <c r="F92" s="27"/>
      <c r="G92" s="27"/>
      <c r="H92" s="27"/>
      <c r="I92" s="27"/>
      <c r="J92" s="27"/>
    </row>
    <row r="93" spans="1:10" ht="283.5" customHeight="1" x14ac:dyDescent="0.2">
      <c r="A93" s="14" t="s">
        <v>213</v>
      </c>
      <c r="B93" s="15" t="s">
        <v>214</v>
      </c>
      <c r="C93" s="27"/>
      <c r="D93" s="27"/>
      <c r="E93" s="27"/>
      <c r="F93" s="27"/>
      <c r="G93" s="27"/>
      <c r="H93" s="27"/>
      <c r="I93" s="27"/>
      <c r="J93" s="27"/>
    </row>
    <row r="94" spans="1:10" ht="409.5" customHeight="1" x14ac:dyDescent="0.2">
      <c r="A94" s="27"/>
      <c r="B94" s="27"/>
      <c r="C94" s="27"/>
      <c r="D94" s="27"/>
      <c r="E94" s="27"/>
      <c r="F94" s="27"/>
      <c r="G94" s="27"/>
      <c r="H94" s="27"/>
      <c r="I94" s="27"/>
      <c r="J94" s="27"/>
    </row>
    <row r="95" spans="1:10" ht="15" customHeight="1" x14ac:dyDescent="0.2">
      <c r="A95" s="45" t="s">
        <v>215</v>
      </c>
      <c r="B95" s="46" t="str">
        <f>IF(AND($B$31&gt;=1,$B$31&lt;=3),"OK","CHECK")</f>
        <v>OK</v>
      </c>
      <c r="C95" s="27"/>
      <c r="D95" s="27"/>
      <c r="E95" s="27"/>
      <c r="F95" s="27"/>
      <c r="G95" s="27"/>
      <c r="H95" s="27"/>
      <c r="I95" s="27"/>
      <c r="J95" s="27"/>
    </row>
    <row r="96" spans="1:10" ht="15" customHeight="1" x14ac:dyDescent="0.2">
      <c r="A96" s="27"/>
      <c r="B96" s="27"/>
      <c r="C96" s="27"/>
      <c r="D96" s="27"/>
      <c r="E96" s="27"/>
      <c r="F96" s="27"/>
      <c r="G96" s="27"/>
      <c r="H96" s="27"/>
      <c r="I96" s="27"/>
      <c r="J96" s="27"/>
    </row>
    <row r="97" spans="1:10" ht="189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</row>
    <row r="98" spans="1:10" ht="84.75" customHeight="1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7"/>
    </row>
    <row r="99" spans="1:10" ht="231" customHeight="1" x14ac:dyDescent="0.2">
      <c r="A99" s="27"/>
      <c r="B99" s="27"/>
      <c r="C99" s="27"/>
      <c r="D99" s="27"/>
      <c r="E99" s="27"/>
      <c r="F99" s="27"/>
      <c r="G99" s="27"/>
      <c r="H99" s="27"/>
      <c r="I99" s="27"/>
      <c r="J99" s="27"/>
    </row>
    <row r="100" spans="1:10" ht="199.5" customHeight="1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27"/>
    </row>
    <row r="101" spans="1:10" ht="409.5" customHeight="1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</row>
    <row r="102" spans="1:10" ht="408" customHeight="1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27"/>
    </row>
    <row r="103" spans="1:10" ht="15" customHeight="1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27"/>
    </row>
    <row r="104" spans="1:10" ht="15" customHeight="1" x14ac:dyDescent="0.2">
      <c r="A104" s="27"/>
      <c r="B104" s="27"/>
      <c r="C104" s="27"/>
      <c r="D104" s="27"/>
      <c r="E104" s="27"/>
      <c r="F104" s="27"/>
      <c r="G104" s="27"/>
      <c r="H104" s="27"/>
      <c r="I104" s="27"/>
      <c r="J104" s="27"/>
    </row>
    <row r="105" spans="1:10" ht="15" customHeight="1" x14ac:dyDescent="0.2">
      <c r="A105" s="27"/>
      <c r="B105" s="27"/>
      <c r="C105" s="27"/>
      <c r="D105" s="27"/>
      <c r="E105" s="27"/>
      <c r="F105" s="27"/>
      <c r="G105" s="27"/>
      <c r="H105" s="27"/>
      <c r="I105" s="27"/>
      <c r="J105" s="27"/>
    </row>
    <row r="106" spans="1:10" ht="15" customHeight="1" x14ac:dyDescent="0.2">
      <c r="A106" s="27"/>
      <c r="B106" s="27"/>
      <c r="C106" s="27"/>
      <c r="D106" s="27"/>
      <c r="E106" s="27"/>
      <c r="F106" s="27"/>
      <c r="G106" s="27"/>
      <c r="H106" s="27"/>
      <c r="I106" s="27"/>
      <c r="J106" s="27"/>
    </row>
    <row r="107" spans="1:10" ht="15" customHeight="1" x14ac:dyDescent="0.2">
      <c r="A107" s="27"/>
      <c r="B107" s="27"/>
      <c r="C107" s="27"/>
      <c r="D107" s="27"/>
      <c r="E107" s="27"/>
      <c r="F107" s="27"/>
      <c r="G107" s="27"/>
      <c r="H107" s="27"/>
      <c r="I107" s="27"/>
      <c r="J107" s="2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3"/>
  <sheetViews>
    <sheetView showGridLines="0" zoomScaleNormal="100" workbookViewId="0">
      <selection activeCell="I13" sqref="I13"/>
    </sheetView>
  </sheetViews>
  <sheetFormatPr baseColWidth="10" defaultColWidth="8.6640625" defaultRowHeight="15" x14ac:dyDescent="0.2"/>
  <cols>
    <col min="1" max="1" width="46" customWidth="1"/>
    <col min="2" max="4" width="14" customWidth="1"/>
    <col min="5" max="5" width="12" customWidth="1"/>
    <col min="6" max="6" width="52" customWidth="1"/>
    <col min="7" max="9" width="13" customWidth="1"/>
  </cols>
  <sheetData>
    <row r="1" spans="1:6" ht="17.25" customHeight="1" x14ac:dyDescent="0.2">
      <c r="A1" s="11" t="s">
        <v>881</v>
      </c>
      <c r="B1" s="2"/>
      <c r="C1" s="2"/>
      <c r="D1" s="2"/>
      <c r="E1" s="2"/>
      <c r="F1" s="2"/>
    </row>
    <row r="2" spans="1:6" ht="15" customHeight="1" x14ac:dyDescent="0.2">
      <c r="A2" s="10" t="s">
        <v>216</v>
      </c>
    </row>
    <row r="4" spans="1:6" ht="15" customHeight="1" x14ac:dyDescent="0.2">
      <c r="A4" s="37" t="s">
        <v>217</v>
      </c>
      <c r="B4" s="38" t="s">
        <v>218</v>
      </c>
      <c r="C4" s="38" t="s">
        <v>219</v>
      </c>
      <c r="D4" s="38" t="s">
        <v>220</v>
      </c>
      <c r="F4" s="37" t="s">
        <v>221</v>
      </c>
    </row>
    <row r="5" spans="1:6" ht="15" customHeight="1" x14ac:dyDescent="0.2">
      <c r="A5" s="12" t="s">
        <v>222</v>
      </c>
      <c r="B5" s="12"/>
      <c r="C5" s="12"/>
      <c r="D5" s="12"/>
      <c r="E5" s="12"/>
      <c r="F5" s="12"/>
    </row>
    <row r="6" spans="1:6" ht="15" customHeight="1" x14ac:dyDescent="0.2">
      <c r="A6" s="14" t="s">
        <v>223</v>
      </c>
      <c r="B6" s="28">
        <v>47130</v>
      </c>
      <c r="C6" s="28">
        <v>46843</v>
      </c>
      <c r="D6" s="28">
        <v>50869</v>
      </c>
      <c r="F6" s="47" t="s">
        <v>224</v>
      </c>
    </row>
    <row r="7" spans="1:6" ht="15" customHeight="1" x14ac:dyDescent="0.2">
      <c r="A7" s="14" t="s">
        <v>225</v>
      </c>
      <c r="B7" s="28">
        <v>8502</v>
      </c>
      <c r="C7" s="28">
        <v>8294</v>
      </c>
      <c r="D7" s="28">
        <v>8565</v>
      </c>
    </row>
    <row r="8" spans="1:6" ht="15" customHeight="1" x14ac:dyDescent="0.2">
      <c r="A8" s="13" t="s">
        <v>226</v>
      </c>
      <c r="B8" s="30">
        <f>B6+B7</f>
        <v>55632</v>
      </c>
      <c r="C8" s="30">
        <f>C6+C7</f>
        <v>55137</v>
      </c>
      <c r="D8" s="30">
        <f>D6+D7</f>
        <v>59434</v>
      </c>
    </row>
    <row r="9" spans="1:6" ht="15" customHeight="1" x14ac:dyDescent="0.2">
      <c r="A9" s="14" t="s">
        <v>227</v>
      </c>
      <c r="B9" s="28">
        <v>-24653</v>
      </c>
      <c r="C9" s="28">
        <v>-25320</v>
      </c>
      <c r="D9" s="28">
        <v>-27528</v>
      </c>
    </row>
    <row r="10" spans="1:6" ht="15" customHeight="1" x14ac:dyDescent="0.2">
      <c r="A10" s="14" t="s">
        <v>228</v>
      </c>
      <c r="B10" s="28">
        <v>-5340</v>
      </c>
      <c r="C10" s="28">
        <v>-4986</v>
      </c>
      <c r="D10" s="28">
        <v>-5198</v>
      </c>
    </row>
    <row r="11" spans="1:6" ht="15" customHeight="1" x14ac:dyDescent="0.2">
      <c r="A11" s="14" t="s">
        <v>229</v>
      </c>
      <c r="B11" s="28">
        <v>-8754</v>
      </c>
      <c r="C11" s="28">
        <v>-8176</v>
      </c>
      <c r="D11" s="28">
        <v>-8860</v>
      </c>
    </row>
    <row r="12" spans="1:6" ht="15" customHeight="1" x14ac:dyDescent="0.2">
      <c r="A12" s="14" t="s">
        <v>230</v>
      </c>
      <c r="B12" s="28">
        <v>-2527</v>
      </c>
      <c r="C12" s="28">
        <v>-2782</v>
      </c>
      <c r="D12" s="28">
        <v>-3011</v>
      </c>
    </row>
    <row r="13" spans="1:6" ht="15" customHeight="1" x14ac:dyDescent="0.2">
      <c r="A13" s="13" t="s">
        <v>231</v>
      </c>
      <c r="B13" s="30">
        <f>SUM(B9:B12)</f>
        <v>-41274</v>
      </c>
      <c r="C13" s="30">
        <f>SUM(C9:C12)</f>
        <v>-41264</v>
      </c>
      <c r="D13" s="30">
        <f>SUM(D9:D12)</f>
        <v>-44597</v>
      </c>
    </row>
    <row r="14" spans="1:6" ht="15" customHeight="1" x14ac:dyDescent="0.2">
      <c r="A14" s="14" t="s">
        <v>232</v>
      </c>
      <c r="B14" s="28">
        <v>-156</v>
      </c>
      <c r="C14" s="28">
        <v>-98</v>
      </c>
      <c r="D14" s="28">
        <v>-33</v>
      </c>
    </row>
    <row r="15" spans="1:6" ht="15" customHeight="1" x14ac:dyDescent="0.2">
      <c r="A15" s="14" t="s">
        <v>233</v>
      </c>
      <c r="B15" s="28">
        <v>0</v>
      </c>
      <c r="C15" s="28">
        <v>78</v>
      </c>
      <c r="D15" s="28">
        <v>601</v>
      </c>
    </row>
    <row r="16" spans="1:6" ht="15" customHeight="1" x14ac:dyDescent="0.2">
      <c r="A16" s="14" t="s">
        <v>234</v>
      </c>
      <c r="B16" s="28">
        <v>-260</v>
      </c>
      <c r="C16" s="28">
        <v>-385</v>
      </c>
      <c r="D16" s="28">
        <v>-574</v>
      </c>
    </row>
    <row r="17" spans="1:6" ht="15" customHeight="1" x14ac:dyDescent="0.2">
      <c r="A17" s="14" t="s">
        <v>235</v>
      </c>
      <c r="B17" s="28">
        <v>926</v>
      </c>
      <c r="C17" s="28">
        <v>320</v>
      </c>
      <c r="D17" s="28">
        <v>-102</v>
      </c>
    </row>
    <row r="18" spans="1:6" ht="15" customHeight="1" x14ac:dyDescent="0.2">
      <c r="A18" s="13" t="s">
        <v>236</v>
      </c>
      <c r="B18" s="30">
        <f>B8+B13+B14+B15+B16+B17</f>
        <v>14868</v>
      </c>
      <c r="C18" s="30">
        <f>C8+C13+C14+C15+C16+C17</f>
        <v>13788</v>
      </c>
      <c r="D18" s="30">
        <f>D8+D13+D14+D15+D16+D17</f>
        <v>14729</v>
      </c>
    </row>
    <row r="19" spans="1:6" ht="15" customHeight="1" x14ac:dyDescent="0.2">
      <c r="A19" s="14" t="s">
        <v>237</v>
      </c>
      <c r="B19" s="28">
        <v>-5078</v>
      </c>
      <c r="C19" s="28">
        <v>-4422</v>
      </c>
      <c r="D19" s="28">
        <v>-1663</v>
      </c>
    </row>
    <row r="20" spans="1:6" ht="15" customHeight="1" x14ac:dyDescent="0.2">
      <c r="A20" s="13" t="s">
        <v>238</v>
      </c>
      <c r="B20" s="30">
        <f>B18+B19</f>
        <v>9790</v>
      </c>
      <c r="C20" s="30">
        <f>C18+C19</f>
        <v>9366</v>
      </c>
      <c r="D20" s="30">
        <f>D18+D19</f>
        <v>13066</v>
      </c>
    </row>
    <row r="21" spans="1:6" ht="15" customHeight="1" x14ac:dyDescent="0.2">
      <c r="A21" s="14" t="s">
        <v>239</v>
      </c>
      <c r="B21" s="28">
        <v>-399</v>
      </c>
      <c r="C21" s="28">
        <v>-386</v>
      </c>
      <c r="D21" s="28">
        <v>-468</v>
      </c>
    </row>
    <row r="22" spans="1:6" ht="15" customHeight="1" x14ac:dyDescent="0.2">
      <c r="A22" s="13" t="s">
        <v>240</v>
      </c>
      <c r="B22" s="48">
        <f>B20+B21</f>
        <v>9391</v>
      </c>
      <c r="C22" s="48">
        <f>C20+C21</f>
        <v>8980</v>
      </c>
      <c r="D22" s="48">
        <f>D20+D21</f>
        <v>12598</v>
      </c>
    </row>
    <row r="24" spans="1:6" ht="15" customHeight="1" x14ac:dyDescent="0.2">
      <c r="A24" s="14" t="s">
        <v>241</v>
      </c>
      <c r="B24" s="28">
        <v>1639</v>
      </c>
      <c r="C24" s="28">
        <v>1578</v>
      </c>
      <c r="D24" s="28">
        <v>1507</v>
      </c>
    </row>
    <row r="25" spans="1:6" ht="15" customHeight="1" x14ac:dyDescent="0.2">
      <c r="A25" s="14" t="s">
        <v>242</v>
      </c>
      <c r="B25" s="28">
        <v>1629</v>
      </c>
      <c r="C25" s="28">
        <v>1568</v>
      </c>
      <c r="D25" s="28">
        <v>1499</v>
      </c>
    </row>
    <row r="26" spans="1:6" ht="15" customHeight="1" x14ac:dyDescent="0.2">
      <c r="A26" s="14" t="s">
        <v>243</v>
      </c>
      <c r="B26" s="49">
        <v>5.73</v>
      </c>
      <c r="C26" s="49">
        <v>5.69</v>
      </c>
      <c r="D26" s="49">
        <v>8.36</v>
      </c>
    </row>
    <row r="27" spans="1:6" ht="15" customHeight="1" x14ac:dyDescent="0.2">
      <c r="A27" s="14" t="s">
        <v>244</v>
      </c>
      <c r="B27" s="50">
        <f>B22/B24</f>
        <v>5.7297132397803541</v>
      </c>
      <c r="C27" s="50">
        <f>C22/C24</f>
        <v>5.6907477820025347</v>
      </c>
      <c r="D27" s="50">
        <f>D22/D24</f>
        <v>8.3596549435965493</v>
      </c>
    </row>
    <row r="28" spans="1:6" ht="15" customHeight="1" x14ac:dyDescent="0.2">
      <c r="A28" s="12" t="s">
        <v>245</v>
      </c>
      <c r="B28" s="12"/>
      <c r="C28" s="12"/>
      <c r="D28" s="12"/>
      <c r="E28" s="12"/>
      <c r="F28" s="12"/>
    </row>
    <row r="29" spans="1:6" ht="15" customHeight="1" x14ac:dyDescent="0.2">
      <c r="A29" s="14" t="s">
        <v>246</v>
      </c>
      <c r="B29" s="28">
        <v>4610</v>
      </c>
      <c r="C29" s="28">
        <v>4017</v>
      </c>
      <c r="D29" s="28">
        <v>4150</v>
      </c>
      <c r="F29" s="47" t="s">
        <v>247</v>
      </c>
    </row>
    <row r="30" spans="1:6" ht="15" customHeight="1" x14ac:dyDescent="0.2">
      <c r="A30" s="14" t="s">
        <v>248</v>
      </c>
      <c r="B30" s="28">
        <v>9065</v>
      </c>
      <c r="C30" s="28">
        <v>8633</v>
      </c>
      <c r="D30" s="28">
        <v>9334</v>
      </c>
    </row>
    <row r="31" spans="1:6" ht="15" customHeight="1" x14ac:dyDescent="0.2">
      <c r="A31" s="14" t="s">
        <v>249</v>
      </c>
      <c r="B31" s="28">
        <v>1390</v>
      </c>
      <c r="C31" s="28">
        <v>1373</v>
      </c>
      <c r="D31" s="28">
        <v>1392</v>
      </c>
    </row>
    <row r="32" spans="1:6" ht="15" customHeight="1" x14ac:dyDescent="0.2">
      <c r="A32" s="14" t="s">
        <v>250</v>
      </c>
      <c r="B32" s="28">
        <v>1208</v>
      </c>
      <c r="C32" s="28">
        <v>1278</v>
      </c>
      <c r="D32" s="28">
        <v>1314</v>
      </c>
    </row>
    <row r="33" spans="1:4" ht="15" customHeight="1" x14ac:dyDescent="0.2">
      <c r="A33" s="14" t="s">
        <v>251</v>
      </c>
      <c r="B33" s="28">
        <v>693</v>
      </c>
      <c r="C33" s="28">
        <v>588</v>
      </c>
      <c r="D33" s="28">
        <v>635</v>
      </c>
    </row>
    <row r="34" spans="1:4" ht="15" customHeight="1" x14ac:dyDescent="0.2">
      <c r="A34" s="13" t="s">
        <v>252</v>
      </c>
      <c r="B34" s="30">
        <f>SUM(B29:B33)</f>
        <v>16966</v>
      </c>
      <c r="C34" s="30">
        <f>SUM(C29:C33)</f>
        <v>15889</v>
      </c>
      <c r="D34" s="30">
        <f>SUM(D29:D33)</f>
        <v>16825</v>
      </c>
    </row>
    <row r="35" spans="1:4" ht="15" customHeight="1" x14ac:dyDescent="0.2">
      <c r="A35" s="14" t="s">
        <v>253</v>
      </c>
      <c r="B35" s="28">
        <v>6339</v>
      </c>
      <c r="C35" s="28">
        <v>7481</v>
      </c>
      <c r="D35" s="28">
        <v>7888</v>
      </c>
    </row>
    <row r="36" spans="1:4" ht="15" customHeight="1" x14ac:dyDescent="0.2">
      <c r="A36" s="14" t="s">
        <v>254</v>
      </c>
      <c r="B36" s="28">
        <v>4280</v>
      </c>
      <c r="C36" s="28">
        <v>3202</v>
      </c>
      <c r="D36" s="28">
        <v>2899</v>
      </c>
    </row>
    <row r="37" spans="1:4" ht="15" customHeight="1" x14ac:dyDescent="0.2">
      <c r="A37" s="14" t="s">
        <v>255</v>
      </c>
      <c r="B37" s="28">
        <v>50270</v>
      </c>
      <c r="C37" s="28">
        <v>54043</v>
      </c>
      <c r="D37" s="28">
        <v>55238</v>
      </c>
    </row>
    <row r="38" spans="1:4" ht="15" customHeight="1" x14ac:dyDescent="0.2">
      <c r="A38" s="14" t="s">
        <v>256</v>
      </c>
      <c r="B38" s="28">
        <v>-26849</v>
      </c>
      <c r="C38" s="28">
        <v>-29037</v>
      </c>
      <c r="D38" s="28">
        <v>-30764</v>
      </c>
    </row>
    <row r="39" spans="1:4" ht="15" customHeight="1" x14ac:dyDescent="0.2">
      <c r="A39" s="14" t="s">
        <v>257</v>
      </c>
      <c r="B39" s="28">
        <v>2684</v>
      </c>
      <c r="C39" s="28">
        <v>2145</v>
      </c>
      <c r="D39" s="28">
        <v>3942</v>
      </c>
    </row>
    <row r="40" spans="1:4" ht="15" customHeight="1" x14ac:dyDescent="0.2">
      <c r="A40" s="14" t="s">
        <v>258</v>
      </c>
      <c r="B40" s="28">
        <v>1244</v>
      </c>
      <c r="C40" s="28">
        <v>1255</v>
      </c>
      <c r="D40" s="28">
        <v>1124</v>
      </c>
    </row>
    <row r="41" spans="1:4" ht="15" customHeight="1" x14ac:dyDescent="0.2">
      <c r="A41" s="13" t="s">
        <v>259</v>
      </c>
      <c r="B41" s="30">
        <f>SUM(B37:B40)</f>
        <v>27349</v>
      </c>
      <c r="C41" s="30">
        <f>SUM(C37:C40)</f>
        <v>28406</v>
      </c>
      <c r="D41" s="30">
        <f>SUM(D37:D40)</f>
        <v>29540</v>
      </c>
    </row>
    <row r="42" spans="1:4" ht="15" customHeight="1" x14ac:dyDescent="0.2">
      <c r="A42" s="14" t="s">
        <v>260</v>
      </c>
      <c r="B42" s="28">
        <v>6949</v>
      </c>
      <c r="C42" s="28">
        <v>6995</v>
      </c>
      <c r="D42" s="28">
        <v>6812</v>
      </c>
    </row>
    <row r="43" spans="1:4" ht="15" customHeight="1" x14ac:dyDescent="0.2">
      <c r="A43" s="14" t="s">
        <v>261</v>
      </c>
      <c r="B43" s="28">
        <v>27810</v>
      </c>
      <c r="C43" s="28">
        <v>31426</v>
      </c>
      <c r="D43" s="28">
        <v>31269</v>
      </c>
    </row>
    <row r="44" spans="1:4" ht="15" customHeight="1" x14ac:dyDescent="0.2">
      <c r="A44" s="14" t="s">
        <v>262</v>
      </c>
      <c r="B44" s="28">
        <v>2340</v>
      </c>
      <c r="C44" s="28">
        <v>2390</v>
      </c>
      <c r="D44" s="28">
        <v>3365</v>
      </c>
    </row>
    <row r="45" spans="1:4" ht="15" customHeight="1" x14ac:dyDescent="0.2">
      <c r="A45" s="13" t="s">
        <v>263</v>
      </c>
      <c r="B45" s="48">
        <f>B34+B35+B36+B41+B42+B43+B44</f>
        <v>92033</v>
      </c>
      <c r="C45" s="48">
        <f>C34+C35+C36+C41+C42+C43+C44</f>
        <v>95789</v>
      </c>
      <c r="D45" s="48">
        <f>D34+D35+D36+D41+D42+D43+D44</f>
        <v>98598</v>
      </c>
    </row>
    <row r="46" spans="1:4" ht="15" customHeight="1" x14ac:dyDescent="0.2">
      <c r="A46" s="14" t="s">
        <v>264</v>
      </c>
      <c r="B46" s="28">
        <v>9130</v>
      </c>
      <c r="C46" s="28">
        <v>8855</v>
      </c>
      <c r="D46" s="28">
        <v>9479</v>
      </c>
    </row>
    <row r="47" spans="1:4" ht="15" customHeight="1" x14ac:dyDescent="0.2">
      <c r="A47" s="14" t="s">
        <v>265</v>
      </c>
      <c r="B47" s="28">
        <v>3687</v>
      </c>
      <c r="C47" s="28">
        <v>6172</v>
      </c>
      <c r="D47" s="28">
        <v>3790</v>
      </c>
    </row>
    <row r="48" spans="1:4" ht="15" customHeight="1" x14ac:dyDescent="0.2">
      <c r="A48" s="14" t="s">
        <v>266</v>
      </c>
      <c r="B48" s="28">
        <v>4025</v>
      </c>
      <c r="C48" s="28">
        <v>4568</v>
      </c>
      <c r="D48" s="28">
        <v>4591</v>
      </c>
    </row>
    <row r="49" spans="1:6" ht="15" customHeight="1" x14ac:dyDescent="0.2">
      <c r="A49" s="13" t="s">
        <v>267</v>
      </c>
      <c r="B49" s="30">
        <f>SUM(B46:B48)</f>
        <v>16842</v>
      </c>
      <c r="C49" s="30">
        <f>SUM(C46:C48)</f>
        <v>19595</v>
      </c>
      <c r="D49" s="30">
        <f>SUM(D46:D48)</f>
        <v>17860</v>
      </c>
    </row>
    <row r="50" spans="1:6" ht="15" customHeight="1" x14ac:dyDescent="0.2">
      <c r="A50" s="14" t="s">
        <v>268</v>
      </c>
      <c r="B50" s="28">
        <v>16483</v>
      </c>
      <c r="C50" s="28">
        <v>19119</v>
      </c>
      <c r="D50" s="28">
        <v>17084</v>
      </c>
    </row>
    <row r="51" spans="1:6" ht="15" customHeight="1" x14ac:dyDescent="0.2">
      <c r="A51" s="14" t="s">
        <v>269</v>
      </c>
      <c r="B51" s="28">
        <v>3679</v>
      </c>
      <c r="C51" s="28">
        <v>4480</v>
      </c>
      <c r="D51" s="28">
        <v>3109</v>
      </c>
    </row>
    <row r="52" spans="1:6" ht="15" customHeight="1" x14ac:dyDescent="0.2">
      <c r="A52" s="14" t="s">
        <v>270</v>
      </c>
      <c r="B52" s="28">
        <v>7706</v>
      </c>
      <c r="C52" s="28">
        <v>6443</v>
      </c>
      <c r="D52" s="28">
        <v>6590</v>
      </c>
    </row>
    <row r="53" spans="1:6" ht="15" customHeight="1" x14ac:dyDescent="0.2">
      <c r="A53" s="13" t="s">
        <v>271</v>
      </c>
      <c r="B53" s="30">
        <f>B49+B50+B51+B52</f>
        <v>44710</v>
      </c>
      <c r="C53" s="30">
        <f>C49+C50+C51+C52</f>
        <v>49637</v>
      </c>
      <c r="D53" s="30">
        <f>D49+D50+D51+D52</f>
        <v>44643</v>
      </c>
    </row>
    <row r="54" spans="1:6" ht="15" customHeight="1" x14ac:dyDescent="0.2">
      <c r="A54" s="14" t="s">
        <v>272</v>
      </c>
      <c r="B54" s="28">
        <v>0</v>
      </c>
      <c r="C54" s="28">
        <v>1148</v>
      </c>
      <c r="D54" s="28">
        <v>1123</v>
      </c>
    </row>
    <row r="55" spans="1:6" ht="15" customHeight="1" x14ac:dyDescent="0.2">
      <c r="A55" s="14" t="s">
        <v>273</v>
      </c>
      <c r="B55" s="28">
        <v>35859</v>
      </c>
      <c r="C55" s="28">
        <v>36248</v>
      </c>
      <c r="D55" s="28">
        <v>36779</v>
      </c>
    </row>
    <row r="56" spans="1:6" ht="15" customHeight="1" x14ac:dyDescent="0.2">
      <c r="A56" s="14" t="s">
        <v>274</v>
      </c>
      <c r="B56" s="28">
        <v>66088</v>
      </c>
      <c r="C56" s="28">
        <v>72606</v>
      </c>
      <c r="D56" s="28">
        <v>82679</v>
      </c>
    </row>
    <row r="57" spans="1:6" ht="15" customHeight="1" x14ac:dyDescent="0.2">
      <c r="A57" s="14" t="s">
        <v>275</v>
      </c>
      <c r="B57" s="28">
        <v>-3979</v>
      </c>
      <c r="C57" s="28">
        <v>-3528</v>
      </c>
      <c r="D57" s="28">
        <v>-3097</v>
      </c>
    </row>
    <row r="58" spans="1:6" ht="15" customHeight="1" x14ac:dyDescent="0.2">
      <c r="A58" s="14" t="s">
        <v>276</v>
      </c>
      <c r="B58" s="28">
        <v>-54703</v>
      </c>
      <c r="C58" s="28">
        <v>-64011</v>
      </c>
      <c r="D58" s="28">
        <v>-67588</v>
      </c>
    </row>
    <row r="59" spans="1:6" ht="15" customHeight="1" x14ac:dyDescent="0.2">
      <c r="A59" s="13" t="s">
        <v>277</v>
      </c>
      <c r="B59" s="30">
        <f>SUM(B55:B58)</f>
        <v>43265</v>
      </c>
      <c r="C59" s="30">
        <f>SUM(C55:C58)</f>
        <v>41315</v>
      </c>
      <c r="D59" s="30">
        <f>SUM(D55:D58)</f>
        <v>48773</v>
      </c>
    </row>
    <row r="60" spans="1:6" ht="15" customHeight="1" x14ac:dyDescent="0.2">
      <c r="A60" s="14" t="s">
        <v>278</v>
      </c>
      <c r="B60" s="28">
        <v>4058</v>
      </c>
      <c r="C60" s="28">
        <v>3689</v>
      </c>
      <c r="D60" s="28">
        <v>4059</v>
      </c>
    </row>
    <row r="61" spans="1:6" ht="15" customHeight="1" x14ac:dyDescent="0.2">
      <c r="A61" s="13" t="s">
        <v>279</v>
      </c>
      <c r="B61" s="30">
        <f>B59+B60</f>
        <v>47323</v>
      </c>
      <c r="C61" s="30">
        <f>C59+C60</f>
        <v>45004</v>
      </c>
      <c r="D61" s="30">
        <f>D59+D60</f>
        <v>52832</v>
      </c>
    </row>
    <row r="62" spans="1:6" ht="15" customHeight="1" x14ac:dyDescent="0.2">
      <c r="A62" s="13" t="s">
        <v>280</v>
      </c>
      <c r="B62" s="48">
        <f>B53+B54+B61</f>
        <v>92033</v>
      </c>
      <c r="C62" s="48">
        <f>C53+C54+C61</f>
        <v>95789</v>
      </c>
      <c r="D62" s="48">
        <f>D53+D54+D61</f>
        <v>98598</v>
      </c>
    </row>
    <row r="63" spans="1:6" ht="15" customHeight="1" x14ac:dyDescent="0.2">
      <c r="A63" s="45" t="s">
        <v>281</v>
      </c>
      <c r="B63" s="51">
        <f>B45-B62</f>
        <v>0</v>
      </c>
      <c r="C63" s="51">
        <f>C45-C62</f>
        <v>0</v>
      </c>
      <c r="D63" s="51">
        <f>D45-D62</f>
        <v>0</v>
      </c>
    </row>
    <row r="64" spans="1:6" ht="15" customHeight="1" x14ac:dyDescent="0.2">
      <c r="A64" s="12" t="s">
        <v>282</v>
      </c>
      <c r="B64" s="12"/>
      <c r="C64" s="12"/>
      <c r="D64" s="12"/>
      <c r="E64" s="12"/>
      <c r="F64" s="12"/>
    </row>
    <row r="65" spans="1:6" ht="15" customHeight="1" x14ac:dyDescent="0.2">
      <c r="A65" s="14" t="s">
        <v>238</v>
      </c>
      <c r="B65" s="52">
        <f>B20</f>
        <v>9790</v>
      </c>
      <c r="C65" s="52">
        <f>C20</f>
        <v>9366</v>
      </c>
      <c r="D65" s="52">
        <f>D20</f>
        <v>13066</v>
      </c>
      <c r="F65" s="47" t="s">
        <v>283</v>
      </c>
    </row>
    <row r="66" spans="1:6" ht="15" customHeight="1" x14ac:dyDescent="0.2">
      <c r="A66" s="14" t="s">
        <v>230</v>
      </c>
      <c r="B66" s="28">
        <v>2527</v>
      </c>
      <c r="C66" s="28">
        <v>2782</v>
      </c>
      <c r="D66" s="28">
        <v>3011</v>
      </c>
    </row>
    <row r="67" spans="1:6" ht="15" customHeight="1" x14ac:dyDescent="0.2">
      <c r="A67" s="14" t="s">
        <v>284</v>
      </c>
      <c r="B67" s="28">
        <v>-26</v>
      </c>
      <c r="C67" s="28">
        <v>-289</v>
      </c>
      <c r="D67" s="28">
        <v>-560</v>
      </c>
    </row>
    <row r="68" spans="1:6" ht="15" customHeight="1" x14ac:dyDescent="0.2">
      <c r="A68" s="14" t="s">
        <v>269</v>
      </c>
      <c r="B68" s="28">
        <v>1214</v>
      </c>
      <c r="C68" s="28">
        <v>334</v>
      </c>
      <c r="D68" s="28">
        <v>-1573</v>
      </c>
    </row>
    <row r="69" spans="1:6" ht="15" customHeight="1" x14ac:dyDescent="0.2">
      <c r="A69" s="14" t="s">
        <v>285</v>
      </c>
      <c r="B69" s="28">
        <v>-926</v>
      </c>
      <c r="C69" s="28">
        <v>-320</v>
      </c>
      <c r="D69" s="28">
        <v>102</v>
      </c>
    </row>
    <row r="70" spans="1:6" ht="15" customHeight="1" x14ac:dyDescent="0.2">
      <c r="A70" s="14" t="s">
        <v>286</v>
      </c>
      <c r="B70" s="28">
        <v>799</v>
      </c>
      <c r="C70" s="28">
        <v>788</v>
      </c>
      <c r="D70" s="28">
        <v>775</v>
      </c>
    </row>
    <row r="71" spans="1:6" ht="15" customHeight="1" x14ac:dyDescent="0.2">
      <c r="A71" s="14" t="s">
        <v>287</v>
      </c>
      <c r="B71" s="28">
        <v>-101</v>
      </c>
      <c r="C71" s="28">
        <v>-1075</v>
      </c>
      <c r="D71" s="28">
        <v>-523</v>
      </c>
    </row>
    <row r="72" spans="1:6" ht="15" customHeight="1" x14ac:dyDescent="0.2">
      <c r="A72" s="14" t="s">
        <v>288</v>
      </c>
      <c r="B72" s="28">
        <v>393</v>
      </c>
      <c r="C72" s="28">
        <v>364</v>
      </c>
      <c r="D72" s="28">
        <v>393</v>
      </c>
    </row>
    <row r="73" spans="1:6" ht="15" customHeight="1" x14ac:dyDescent="0.2">
      <c r="A73" s="14" t="s">
        <v>289</v>
      </c>
      <c r="B73" s="28">
        <v>674</v>
      </c>
      <c r="C73" s="28">
        <v>503</v>
      </c>
      <c r="D73" s="28">
        <v>441</v>
      </c>
    </row>
    <row r="74" spans="1:6" ht="15" customHeight="1" x14ac:dyDescent="0.2">
      <c r="A74" s="14" t="s">
        <v>290</v>
      </c>
      <c r="B74" s="28">
        <v>-393</v>
      </c>
      <c r="C74" s="28">
        <v>107</v>
      </c>
      <c r="D74" s="28">
        <v>-720</v>
      </c>
    </row>
    <row r="75" spans="1:6" ht="15" customHeight="1" x14ac:dyDescent="0.2">
      <c r="A75" s="14" t="s">
        <v>291</v>
      </c>
      <c r="B75" s="28">
        <v>186</v>
      </c>
      <c r="C75" s="28">
        <v>-5</v>
      </c>
      <c r="D75" s="28">
        <v>-17</v>
      </c>
    </row>
    <row r="76" spans="1:6" ht="15" customHeight="1" x14ac:dyDescent="0.2">
      <c r="A76" s="14" t="s">
        <v>292</v>
      </c>
      <c r="B76" s="28">
        <v>-443</v>
      </c>
      <c r="C76" s="28">
        <v>-52</v>
      </c>
      <c r="D76" s="28">
        <v>-927</v>
      </c>
    </row>
    <row r="77" spans="1:6" ht="15" customHeight="1" x14ac:dyDescent="0.2">
      <c r="A77" s="14" t="s">
        <v>293</v>
      </c>
      <c r="B77" s="28">
        <v>40</v>
      </c>
      <c r="C77" s="28">
        <v>-368</v>
      </c>
      <c r="D77" s="28">
        <v>235</v>
      </c>
    </row>
    <row r="78" spans="1:6" ht="15" customHeight="1" x14ac:dyDescent="0.2">
      <c r="A78" s="14" t="s">
        <v>294</v>
      </c>
      <c r="B78" s="28">
        <v>-598</v>
      </c>
      <c r="C78" s="28">
        <v>208</v>
      </c>
      <c r="D78" s="28">
        <v>592</v>
      </c>
    </row>
    <row r="79" spans="1:6" ht="15" customHeight="1" x14ac:dyDescent="0.2">
      <c r="A79" s="13" t="s">
        <v>295</v>
      </c>
      <c r="B79" s="30">
        <f>B65+SUM(B66:B78)</f>
        <v>13136</v>
      </c>
      <c r="C79" s="30">
        <f>C65+SUM(C66:C78)</f>
        <v>12343</v>
      </c>
      <c r="D79" s="30">
        <f>D65+SUM(D66:D78)</f>
        <v>14295</v>
      </c>
    </row>
    <row r="80" spans="1:6" ht="15" customHeight="1" x14ac:dyDescent="0.2">
      <c r="A80" s="14" t="s">
        <v>296</v>
      </c>
      <c r="B80" s="28">
        <v>-4773</v>
      </c>
      <c r="C80" s="28">
        <v>-3623</v>
      </c>
      <c r="D80" s="28">
        <v>-4465</v>
      </c>
    </row>
    <row r="81" spans="1:4" ht="15" customHeight="1" x14ac:dyDescent="0.2">
      <c r="A81" s="14" t="s">
        <v>297</v>
      </c>
      <c r="B81" s="28">
        <v>-850</v>
      </c>
      <c r="C81" s="28">
        <v>-417</v>
      </c>
      <c r="D81" s="28">
        <v>-1581</v>
      </c>
    </row>
    <row r="82" spans="1:4" ht="15" customHeight="1" x14ac:dyDescent="0.2">
      <c r="A82" s="14" t="s">
        <v>298</v>
      </c>
      <c r="B82" s="28">
        <v>-135</v>
      </c>
      <c r="C82" s="28">
        <v>-71</v>
      </c>
      <c r="D82" s="28">
        <v>710</v>
      </c>
    </row>
    <row r="83" spans="1:4" ht="15" customHeight="1" x14ac:dyDescent="0.2">
      <c r="A83" s="13" t="s">
        <v>299</v>
      </c>
      <c r="B83" s="30">
        <f>SUM(B80:B82)</f>
        <v>-5758</v>
      </c>
      <c r="C83" s="30">
        <f>SUM(C80:C82)</f>
        <v>-4111</v>
      </c>
      <c r="D83" s="30">
        <f>SUM(D80:D82)</f>
        <v>-5336</v>
      </c>
    </row>
    <row r="84" spans="1:4" ht="15" customHeight="1" x14ac:dyDescent="0.2">
      <c r="A84" s="14" t="s">
        <v>300</v>
      </c>
      <c r="B84" s="28">
        <v>-920</v>
      </c>
      <c r="C84" s="28">
        <v>1247</v>
      </c>
      <c r="D84" s="28">
        <v>-1768</v>
      </c>
    </row>
    <row r="85" spans="1:4" ht="15" customHeight="1" x14ac:dyDescent="0.2">
      <c r="A85" s="14" t="s">
        <v>301</v>
      </c>
      <c r="B85" s="28">
        <v>6065</v>
      </c>
      <c r="C85" s="28">
        <v>4820</v>
      </c>
      <c r="D85" s="28">
        <v>1056</v>
      </c>
    </row>
    <row r="86" spans="1:4" ht="15" customHeight="1" x14ac:dyDescent="0.2">
      <c r="A86" s="14" t="s">
        <v>302</v>
      </c>
      <c r="B86" s="28">
        <v>-2205</v>
      </c>
      <c r="C86" s="28">
        <v>-2364</v>
      </c>
      <c r="D86" s="28">
        <v>-1871</v>
      </c>
    </row>
    <row r="87" spans="1:4" ht="15" customHeight="1" x14ac:dyDescent="0.2">
      <c r="A87" s="14" t="s">
        <v>303</v>
      </c>
      <c r="B87" s="28">
        <v>-2313</v>
      </c>
      <c r="C87" s="28">
        <v>-2445</v>
      </c>
      <c r="D87" s="28">
        <v>-2515</v>
      </c>
    </row>
    <row r="88" spans="1:4" ht="15" customHeight="1" x14ac:dyDescent="0.2">
      <c r="A88" s="14" t="s">
        <v>304</v>
      </c>
      <c r="B88" s="28">
        <v>-7499</v>
      </c>
      <c r="C88" s="28">
        <v>-9368</v>
      </c>
      <c r="D88" s="28">
        <v>-3577</v>
      </c>
    </row>
    <row r="89" spans="1:4" ht="15" customHeight="1" x14ac:dyDescent="0.2">
      <c r="A89" s="14" t="s">
        <v>305</v>
      </c>
      <c r="B89" s="28">
        <v>259</v>
      </c>
      <c r="C89" s="28">
        <v>276</v>
      </c>
      <c r="D89" s="28">
        <v>210</v>
      </c>
    </row>
    <row r="90" spans="1:4" ht="15" customHeight="1" x14ac:dyDescent="0.2">
      <c r="A90" s="14" t="s">
        <v>306</v>
      </c>
      <c r="B90" s="28">
        <v>0</v>
      </c>
      <c r="C90" s="28">
        <v>17</v>
      </c>
      <c r="D90" s="28">
        <v>399</v>
      </c>
    </row>
    <row r="91" spans="1:4" ht="15" customHeight="1" x14ac:dyDescent="0.2">
      <c r="A91" s="14" t="s">
        <v>307</v>
      </c>
      <c r="B91" s="28">
        <v>-607</v>
      </c>
      <c r="C91" s="28">
        <v>-1142</v>
      </c>
      <c r="D91" s="28">
        <v>-777</v>
      </c>
    </row>
    <row r="92" spans="1:4" ht="15" customHeight="1" x14ac:dyDescent="0.2">
      <c r="A92" s="13" t="s">
        <v>308</v>
      </c>
      <c r="B92" s="30">
        <f>SUM(B84:B91)</f>
        <v>-7220</v>
      </c>
      <c r="C92" s="30">
        <f>SUM(C84:C91)</f>
        <v>-8959</v>
      </c>
      <c r="D92" s="30">
        <f>SUM(D84:D91)</f>
        <v>-8843</v>
      </c>
    </row>
    <row r="93" spans="1:4" ht="15" customHeight="1" x14ac:dyDescent="0.2">
      <c r="A93" s="14" t="s">
        <v>309</v>
      </c>
      <c r="B93" s="28">
        <v>-123</v>
      </c>
      <c r="C93" s="28">
        <v>31</v>
      </c>
      <c r="D93" s="28">
        <v>-25</v>
      </c>
    </row>
    <row r="94" spans="1:4" ht="15" customHeight="1" x14ac:dyDescent="0.2">
      <c r="A94" s="13" t="s">
        <v>310</v>
      </c>
      <c r="B94" s="30">
        <f>B79+B83+B92+B93</f>
        <v>35</v>
      </c>
      <c r="C94" s="30">
        <f>C79+C83+C92+C93</f>
        <v>-696</v>
      </c>
      <c r="D94" s="30">
        <f>D79+D83+D92+D93</f>
        <v>91</v>
      </c>
    </row>
    <row r="95" spans="1:4" ht="15" customHeight="1" x14ac:dyDescent="0.2">
      <c r="A95" s="14" t="s">
        <v>311</v>
      </c>
      <c r="B95" s="28">
        <v>4725</v>
      </c>
      <c r="C95" s="52">
        <f>B96</f>
        <v>4760</v>
      </c>
      <c r="D95" s="52">
        <f>C96</f>
        <v>4064</v>
      </c>
    </row>
    <row r="96" spans="1:4" ht="15" customHeight="1" x14ac:dyDescent="0.2">
      <c r="A96" s="13" t="s">
        <v>312</v>
      </c>
      <c r="B96" s="30">
        <f>B95+B94</f>
        <v>4760</v>
      </c>
      <c r="C96" s="30">
        <f>C95+C94</f>
        <v>4064</v>
      </c>
      <c r="D96" s="30">
        <f>D95+D94</f>
        <v>4155</v>
      </c>
    </row>
    <row r="97" spans="1:6" ht="15" customHeight="1" x14ac:dyDescent="0.2">
      <c r="A97" s="41" t="s">
        <v>313</v>
      </c>
      <c r="B97" s="28">
        <v>150</v>
      </c>
      <c r="C97" s="28">
        <v>47</v>
      </c>
      <c r="D97" s="28">
        <v>5</v>
      </c>
    </row>
    <row r="98" spans="1:6" ht="15" customHeight="1" x14ac:dyDescent="0.2">
      <c r="A98" s="45" t="s">
        <v>314</v>
      </c>
      <c r="B98" s="51">
        <f>B96-(B29+B97)</f>
        <v>0</v>
      </c>
      <c r="C98" s="51">
        <f>C96-(C29+C97)</f>
        <v>0</v>
      </c>
      <c r="D98" s="51">
        <f>D96-(D29+D97)</f>
        <v>0</v>
      </c>
    </row>
    <row r="100" spans="1:6" ht="15" customHeight="1" x14ac:dyDescent="0.2">
      <c r="A100" s="41" t="s">
        <v>315</v>
      </c>
      <c r="B100" s="28">
        <v>395</v>
      </c>
      <c r="C100" s="28">
        <v>466</v>
      </c>
      <c r="D100" s="28">
        <v>631</v>
      </c>
    </row>
    <row r="101" spans="1:6" ht="15" customHeight="1" x14ac:dyDescent="0.2">
      <c r="A101" s="41" t="s">
        <v>316</v>
      </c>
      <c r="B101" s="28">
        <v>4133</v>
      </c>
      <c r="C101" s="28">
        <v>3801</v>
      </c>
      <c r="D101" s="28">
        <v>2503</v>
      </c>
    </row>
    <row r="102" spans="1:6" ht="15" customHeight="1" x14ac:dyDescent="0.2">
      <c r="A102" s="12" t="s">
        <v>317</v>
      </c>
      <c r="B102" s="12"/>
      <c r="C102" s="12"/>
      <c r="D102" s="12"/>
      <c r="E102" s="12"/>
      <c r="F102" s="12"/>
    </row>
    <row r="103" spans="1:6" ht="15" customHeight="1" x14ac:dyDescent="0.2">
      <c r="A103" s="14" t="s">
        <v>265</v>
      </c>
      <c r="B103" s="28">
        <v>3687</v>
      </c>
      <c r="C103" s="28">
        <v>6172</v>
      </c>
      <c r="D103" s="28">
        <v>3790</v>
      </c>
      <c r="F103" s="47" t="s">
        <v>318</v>
      </c>
    </row>
    <row r="104" spans="1:6" ht="15" customHeight="1" x14ac:dyDescent="0.2">
      <c r="A104" s="14" t="s">
        <v>319</v>
      </c>
      <c r="B104" s="28">
        <v>16483</v>
      </c>
      <c r="C104" s="28">
        <v>19119</v>
      </c>
      <c r="D104" s="28">
        <v>17084</v>
      </c>
    </row>
    <row r="105" spans="1:6" ht="15" customHeight="1" x14ac:dyDescent="0.2">
      <c r="A105" s="13" t="s">
        <v>320</v>
      </c>
      <c r="B105" s="30">
        <f>B103+B104</f>
        <v>20170</v>
      </c>
      <c r="C105" s="30">
        <f>C103+C104</f>
        <v>25291</v>
      </c>
      <c r="D105" s="30">
        <f>D103+D104</f>
        <v>20874</v>
      </c>
    </row>
    <row r="106" spans="1:6" ht="15" customHeight="1" x14ac:dyDescent="0.2">
      <c r="A106" s="14" t="s">
        <v>321</v>
      </c>
      <c r="B106" s="28">
        <v>1629</v>
      </c>
      <c r="C106" s="28">
        <v>1568</v>
      </c>
      <c r="D106" s="28">
        <v>1499</v>
      </c>
      <c r="F106" s="47" t="s">
        <v>322</v>
      </c>
    </row>
    <row r="107" spans="1:6" ht="15" customHeight="1" x14ac:dyDescent="0.2">
      <c r="A107" s="14" t="s">
        <v>323</v>
      </c>
      <c r="B107" s="28">
        <v>1639</v>
      </c>
      <c r="C107" s="28">
        <v>1578</v>
      </c>
      <c r="D107" s="28">
        <v>1507</v>
      </c>
    </row>
    <row r="108" spans="1:6" ht="15" customHeight="1" x14ac:dyDescent="0.2">
      <c r="A108" s="14" t="s">
        <v>324</v>
      </c>
      <c r="B108" s="28">
        <v>1597</v>
      </c>
      <c r="C108" s="28">
        <v>1517</v>
      </c>
      <c r="D108" s="28">
        <v>1488</v>
      </c>
    </row>
    <row r="109" spans="1:6" ht="15" customHeight="1" x14ac:dyDescent="0.2">
      <c r="A109" s="53" t="s">
        <v>325</v>
      </c>
    </row>
    <row r="110" spans="1:6" ht="15" customHeight="1" x14ac:dyDescent="0.2">
      <c r="A110" s="14" t="s">
        <v>326</v>
      </c>
      <c r="B110" s="28">
        <v>23689</v>
      </c>
      <c r="C110" s="28">
        <v>23510</v>
      </c>
      <c r="D110" s="28">
        <v>24500</v>
      </c>
      <c r="F110" s="47" t="s">
        <v>327</v>
      </c>
    </row>
    <row r="111" spans="1:6" ht="15" customHeight="1" x14ac:dyDescent="0.2">
      <c r="A111" s="14" t="s">
        <v>328</v>
      </c>
      <c r="B111" s="28">
        <v>16974</v>
      </c>
      <c r="C111" s="28">
        <v>18415</v>
      </c>
      <c r="D111" s="28">
        <v>20296</v>
      </c>
    </row>
    <row r="112" spans="1:6" ht="15" customHeight="1" x14ac:dyDescent="0.2">
      <c r="A112" s="14" t="s">
        <v>329</v>
      </c>
      <c r="B112" s="28">
        <v>9441</v>
      </c>
      <c r="C112" s="28">
        <v>8379</v>
      </c>
      <c r="D112" s="28">
        <v>9987</v>
      </c>
    </row>
    <row r="113" spans="1:4" ht="15" customHeight="1" x14ac:dyDescent="0.2">
      <c r="A113" s="14" t="s">
        <v>330</v>
      </c>
      <c r="B113" s="28">
        <v>5528</v>
      </c>
      <c r="C113" s="28">
        <v>4833</v>
      </c>
      <c r="D113" s="28">
        <v>4651</v>
      </c>
    </row>
    <row r="114" spans="1:4" ht="15" customHeight="1" x14ac:dyDescent="0.2">
      <c r="A114" s="13" t="s">
        <v>331</v>
      </c>
      <c r="B114" s="30">
        <f>SUM(B110:B113)</f>
        <v>55632</v>
      </c>
      <c r="C114" s="30">
        <f>SUM(C110:C113)</f>
        <v>55137</v>
      </c>
      <c r="D114" s="30">
        <f>SUM(D110:D113)</f>
        <v>59434</v>
      </c>
    </row>
    <row r="115" spans="1:4" ht="15" customHeight="1" x14ac:dyDescent="0.2">
      <c r="A115" s="45" t="s">
        <v>332</v>
      </c>
      <c r="B115" s="51">
        <f>B114-B8</f>
        <v>0</v>
      </c>
      <c r="C115" s="51">
        <f>C114-C8</f>
        <v>0</v>
      </c>
      <c r="D115" s="51">
        <f>D114-D8</f>
        <v>0</v>
      </c>
    </row>
    <row r="116" spans="1:4" ht="15" customHeight="1" x14ac:dyDescent="0.2">
      <c r="A116" s="53" t="s">
        <v>333</v>
      </c>
    </row>
    <row r="117" spans="1:4" ht="15" customHeight="1" x14ac:dyDescent="0.2">
      <c r="A117" s="14" t="s">
        <v>326</v>
      </c>
      <c r="B117" s="28">
        <v>7755</v>
      </c>
      <c r="C117" s="28">
        <v>6902</v>
      </c>
      <c r="D117" s="28">
        <v>6625</v>
      </c>
    </row>
    <row r="118" spans="1:4" ht="15" customHeight="1" x14ac:dyDescent="0.2">
      <c r="A118" s="14" t="s">
        <v>328</v>
      </c>
      <c r="B118" s="28">
        <v>3298</v>
      </c>
      <c r="C118" s="28">
        <v>3774</v>
      </c>
      <c r="D118" s="28">
        <v>4469</v>
      </c>
    </row>
    <row r="119" spans="1:4" ht="15" customHeight="1" x14ac:dyDescent="0.2">
      <c r="A119" s="14" t="s">
        <v>329</v>
      </c>
      <c r="B119" s="28">
        <v>2703</v>
      </c>
      <c r="C119" s="28">
        <v>2355</v>
      </c>
      <c r="D119" s="28">
        <v>2980</v>
      </c>
    </row>
    <row r="120" spans="1:4" ht="15" customHeight="1" x14ac:dyDescent="0.2">
      <c r="A120" s="14" t="s">
        <v>330</v>
      </c>
      <c r="B120" s="28">
        <v>1965</v>
      </c>
      <c r="C120" s="28">
        <v>1744</v>
      </c>
      <c r="D120" s="28">
        <v>1632</v>
      </c>
    </row>
    <row r="121" spans="1:4" ht="15" customHeight="1" x14ac:dyDescent="0.2">
      <c r="A121" s="13" t="s">
        <v>334</v>
      </c>
      <c r="B121" s="30">
        <f>SUM(B117:B120)</f>
        <v>15721</v>
      </c>
      <c r="C121" s="30">
        <f>SUM(C117:C120)</f>
        <v>14775</v>
      </c>
      <c r="D121" s="30">
        <f>SUM(D117:D120)</f>
        <v>15706</v>
      </c>
    </row>
    <row r="123" spans="1:4" ht="15" customHeight="1" x14ac:dyDescent="0.2">
      <c r="A123" s="13" t="s">
        <v>335</v>
      </c>
      <c r="B123" s="54" t="str">
        <f>IF(AND(ABS(B63)&lt;1,ABS(C63)&lt;1,ABS(D63)&lt;1,ABS(B98)&lt;1,ABS(C98)&lt;1,ABS(D98)&lt;1,ABS(B115)&lt;1,ABS(C115)&lt;1,ABS(D115)&lt;1),"OK","CHECK")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7"/>
  <sheetViews>
    <sheetView showGridLines="0" zoomScaleNormal="100" workbookViewId="0">
      <selection activeCell="O13" sqref="O13"/>
    </sheetView>
  </sheetViews>
  <sheetFormatPr baseColWidth="10" defaultColWidth="8.6640625" defaultRowHeight="15" x14ac:dyDescent="0.2"/>
  <cols>
    <col min="1" max="1" width="42" customWidth="1"/>
    <col min="2" max="9" width="12" customWidth="1"/>
  </cols>
  <sheetData>
    <row r="1" spans="1:10" ht="15.75" customHeight="1" x14ac:dyDescent="0.2">
      <c r="A1" s="26" t="s">
        <v>882</v>
      </c>
      <c r="B1" s="2"/>
      <c r="C1" s="2"/>
      <c r="D1" s="2"/>
      <c r="E1" s="2"/>
      <c r="F1" s="2"/>
      <c r="G1" s="2"/>
      <c r="H1" s="2"/>
      <c r="I1" s="27"/>
      <c r="J1" s="27"/>
    </row>
    <row r="2" spans="1:10" ht="15" customHeight="1" x14ac:dyDescent="0.2">
      <c r="A2" s="10" t="s">
        <v>336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ht="15" customHeight="1" x14ac:dyDescent="0.2">
      <c r="A4" s="37" t="s">
        <v>217</v>
      </c>
      <c r="B4" s="38" t="s">
        <v>337</v>
      </c>
      <c r="C4" s="38" t="s">
        <v>159</v>
      </c>
      <c r="D4" s="38" t="s">
        <v>160</v>
      </c>
      <c r="E4" s="38" t="s">
        <v>161</v>
      </c>
      <c r="F4" s="38" t="s">
        <v>162</v>
      </c>
      <c r="G4" s="38" t="s">
        <v>163</v>
      </c>
      <c r="H4" s="37" t="s">
        <v>338</v>
      </c>
      <c r="I4" s="27"/>
      <c r="J4" s="27"/>
    </row>
    <row r="5" spans="1:10" ht="15" customHeight="1" x14ac:dyDescent="0.2">
      <c r="A5" s="12" t="s">
        <v>339</v>
      </c>
      <c r="B5" s="12"/>
      <c r="C5" s="12"/>
      <c r="D5" s="12"/>
      <c r="E5" s="12"/>
      <c r="F5" s="12"/>
      <c r="G5" s="12"/>
      <c r="H5" s="12"/>
      <c r="I5" s="27"/>
      <c r="J5" s="27"/>
    </row>
    <row r="6" spans="1:10" ht="15" customHeight="1" x14ac:dyDescent="0.2">
      <c r="A6" s="14" t="s">
        <v>883</v>
      </c>
      <c r="B6" s="27"/>
      <c r="C6" s="19">
        <f>ASSUMPTIONS!F35</f>
        <v>0.03</v>
      </c>
      <c r="D6" s="19">
        <f>ASSUMPTIONS!F35</f>
        <v>0.03</v>
      </c>
      <c r="E6" s="19">
        <f>ASSUMPTIONS!F35</f>
        <v>0.03</v>
      </c>
      <c r="F6" s="19">
        <f>ASSUMPTIONS!F35</f>
        <v>0.03</v>
      </c>
      <c r="G6" s="19">
        <f>ASSUMPTIONS!F35</f>
        <v>0.03</v>
      </c>
      <c r="H6" s="29" t="s">
        <v>340</v>
      </c>
      <c r="I6" s="27"/>
      <c r="J6" s="27"/>
    </row>
    <row r="7" spans="1:10" ht="15" customHeight="1" x14ac:dyDescent="0.2">
      <c r="A7" s="14" t="s">
        <v>884</v>
      </c>
      <c r="B7" s="18">
        <f>DIS_HIST!D110</f>
        <v>24500</v>
      </c>
      <c r="C7" s="52">
        <f>B7*(1+C6)</f>
        <v>25235</v>
      </c>
      <c r="D7" s="52">
        <f>C7*(1+D6)</f>
        <v>25992.05</v>
      </c>
      <c r="E7" s="52">
        <f>D7*(1+E6)</f>
        <v>26771.8115</v>
      </c>
      <c r="F7" s="52">
        <f>E7*(1+F6)</f>
        <v>27574.965844999999</v>
      </c>
      <c r="G7" s="52">
        <f>F7*(1+G6)</f>
        <v>28402.21482035</v>
      </c>
      <c r="H7" s="27"/>
      <c r="I7" s="27"/>
      <c r="J7" s="27"/>
    </row>
    <row r="8" spans="1:10" ht="15" customHeight="1" x14ac:dyDescent="0.2">
      <c r="A8" s="14" t="s">
        <v>885</v>
      </c>
      <c r="B8" s="55">
        <f>DIS_HIST!D117/DIS_HIST!D110</f>
        <v>0.27040816326530615</v>
      </c>
      <c r="C8" s="19">
        <f>ASSUMPTIONS!F39</f>
        <v>0.27</v>
      </c>
      <c r="D8" s="19">
        <f>ASSUMPTIONS!F39</f>
        <v>0.27</v>
      </c>
      <c r="E8" s="19">
        <f>ASSUMPTIONS!F39</f>
        <v>0.27</v>
      </c>
      <c r="F8" s="19">
        <f>ASSUMPTIONS!F39</f>
        <v>0.27</v>
      </c>
      <c r="G8" s="19">
        <f>ASSUMPTIONS!F39</f>
        <v>0.27</v>
      </c>
      <c r="H8" s="29" t="s">
        <v>341</v>
      </c>
      <c r="I8" s="27"/>
      <c r="J8" s="27"/>
    </row>
    <row r="9" spans="1:10" ht="15" customHeight="1" x14ac:dyDescent="0.2">
      <c r="A9" s="14" t="s">
        <v>886</v>
      </c>
      <c r="B9" s="18">
        <f>DIS_HIST!D117</f>
        <v>6625</v>
      </c>
      <c r="C9" s="52">
        <f>C7*C8</f>
        <v>6813.4500000000007</v>
      </c>
      <c r="D9" s="52">
        <f>D7*D8</f>
        <v>7017.8535000000002</v>
      </c>
      <c r="E9" s="52">
        <f>E7*E8</f>
        <v>7228.3891050000002</v>
      </c>
      <c r="F9" s="52">
        <f>F7*F8</f>
        <v>7445.2407781500006</v>
      </c>
      <c r="G9" s="52">
        <f>G7*G8</f>
        <v>7668.5980014945007</v>
      </c>
      <c r="H9" s="27"/>
      <c r="I9" s="27"/>
      <c r="J9" s="27"/>
    </row>
    <row r="10" spans="1:10" ht="15" customHeight="1" x14ac:dyDescent="0.2">
      <c r="A10" s="14" t="s">
        <v>887</v>
      </c>
      <c r="B10" s="27"/>
      <c r="C10" s="19">
        <f>ASSUMPTIONS!F36</f>
        <v>0.06</v>
      </c>
      <c r="D10" s="19">
        <f>ASSUMPTIONS!F36</f>
        <v>0.06</v>
      </c>
      <c r="E10" s="19">
        <f>ASSUMPTIONS!F36</f>
        <v>0.06</v>
      </c>
      <c r="F10" s="19">
        <f>ASSUMPTIONS!F36</f>
        <v>0.06</v>
      </c>
      <c r="G10" s="19">
        <f>ASSUMPTIONS!F36</f>
        <v>0.06</v>
      </c>
      <c r="H10" s="29" t="s">
        <v>342</v>
      </c>
      <c r="I10" s="27"/>
      <c r="J10" s="27"/>
    </row>
    <row r="11" spans="1:10" ht="15" customHeight="1" x14ac:dyDescent="0.2">
      <c r="A11" s="14" t="s">
        <v>888</v>
      </c>
      <c r="B11" s="18">
        <f>DIS_HIST!D111</f>
        <v>20296</v>
      </c>
      <c r="C11" s="52">
        <f>B11*(1+C10)</f>
        <v>21513.760000000002</v>
      </c>
      <c r="D11" s="52">
        <f>C11*(1+D10)</f>
        <v>22804.585600000002</v>
      </c>
      <c r="E11" s="52">
        <f>D11*(1+E10)</f>
        <v>24172.860736000002</v>
      </c>
      <c r="F11" s="52">
        <f>E11*(1+F10)</f>
        <v>25623.232380160003</v>
      </c>
      <c r="G11" s="52">
        <f>F11*(1+G10)</f>
        <v>27160.626322969605</v>
      </c>
      <c r="H11" s="27"/>
      <c r="I11" s="27"/>
      <c r="J11" s="27"/>
    </row>
    <row r="12" spans="1:10" ht="15" customHeight="1" x14ac:dyDescent="0.2">
      <c r="A12" s="14" t="s">
        <v>889</v>
      </c>
      <c r="B12" s="55">
        <f>DIS_HIST!D118/DIS_HIST!D111</f>
        <v>0.22019117067402444</v>
      </c>
      <c r="C12" s="19">
        <f>ASSUMPTIONS!F40</f>
        <v>0.22</v>
      </c>
      <c r="D12" s="19">
        <f>ASSUMPTIONS!F40</f>
        <v>0.22</v>
      </c>
      <c r="E12" s="19">
        <f>ASSUMPTIONS!F40</f>
        <v>0.22</v>
      </c>
      <c r="F12" s="19">
        <f>ASSUMPTIONS!F40</f>
        <v>0.22</v>
      </c>
      <c r="G12" s="19">
        <f>ASSUMPTIONS!F40</f>
        <v>0.22</v>
      </c>
      <c r="H12" s="29" t="s">
        <v>343</v>
      </c>
      <c r="I12" s="27"/>
      <c r="J12" s="27"/>
    </row>
    <row r="13" spans="1:10" ht="15" customHeight="1" x14ac:dyDescent="0.2">
      <c r="A13" s="14" t="s">
        <v>890</v>
      </c>
      <c r="B13" s="18">
        <f>DIS_HIST!D118</f>
        <v>4469</v>
      </c>
      <c r="C13" s="52">
        <f>C11*C12</f>
        <v>4733.0272000000004</v>
      </c>
      <c r="D13" s="52">
        <f>D11*D12</f>
        <v>5017.0088320000004</v>
      </c>
      <c r="E13" s="52">
        <f>E11*E12</f>
        <v>5318.0293619200002</v>
      </c>
      <c r="F13" s="52">
        <f>F11*F12</f>
        <v>5637.1111236352008</v>
      </c>
      <c r="G13" s="52">
        <f>G11*G12</f>
        <v>5975.3377910533136</v>
      </c>
      <c r="H13" s="27"/>
      <c r="I13" s="27"/>
      <c r="J13" s="27"/>
    </row>
    <row r="14" spans="1:10" ht="15" customHeight="1" x14ac:dyDescent="0.2">
      <c r="A14" s="14" t="s">
        <v>891</v>
      </c>
      <c r="B14" s="27"/>
      <c r="C14" s="19">
        <f>ASSUMPTIONS!F37</f>
        <v>0.04</v>
      </c>
      <c r="D14" s="19">
        <f>ASSUMPTIONS!F37</f>
        <v>0.04</v>
      </c>
      <c r="E14" s="19">
        <f>ASSUMPTIONS!F37</f>
        <v>0.04</v>
      </c>
      <c r="F14" s="19">
        <f>ASSUMPTIONS!F37</f>
        <v>0.04</v>
      </c>
      <c r="G14" s="19">
        <f>ASSUMPTIONS!F37</f>
        <v>0.04</v>
      </c>
      <c r="H14" s="29" t="s">
        <v>344</v>
      </c>
      <c r="I14" s="27"/>
      <c r="J14" s="27"/>
    </row>
    <row r="15" spans="1:10" ht="15" customHeight="1" x14ac:dyDescent="0.2">
      <c r="A15" s="14" t="s">
        <v>892</v>
      </c>
      <c r="B15" s="18">
        <f>DIS_HIST!D112</f>
        <v>9987</v>
      </c>
      <c r="C15" s="52">
        <f>B15*(1+C14)</f>
        <v>10386.48</v>
      </c>
      <c r="D15" s="52">
        <f>C15*(1+D14)</f>
        <v>10801.939200000001</v>
      </c>
      <c r="E15" s="52">
        <f>D15*(1+E14)</f>
        <v>11234.016768000001</v>
      </c>
      <c r="F15" s="52">
        <f>E15*(1+F14)</f>
        <v>11683.377438720001</v>
      </c>
      <c r="G15" s="52">
        <f>F15*(1+G14)</f>
        <v>12150.712536268802</v>
      </c>
      <c r="H15" s="27"/>
      <c r="I15" s="27"/>
      <c r="J15" s="27"/>
    </row>
    <row r="16" spans="1:10" ht="15" customHeight="1" x14ac:dyDescent="0.2">
      <c r="A16" s="14" t="s">
        <v>893</v>
      </c>
      <c r="B16" s="55">
        <f>DIS_HIST!D119/DIS_HIST!D112</f>
        <v>0.29838790427555822</v>
      </c>
      <c r="C16" s="19">
        <f>ASSUMPTIONS!F41</f>
        <v>0.28000000000000003</v>
      </c>
      <c r="D16" s="19">
        <f>ASSUMPTIONS!F41</f>
        <v>0.28000000000000003</v>
      </c>
      <c r="E16" s="19">
        <f>ASSUMPTIONS!F41</f>
        <v>0.28000000000000003</v>
      </c>
      <c r="F16" s="19">
        <f>ASSUMPTIONS!F41</f>
        <v>0.28000000000000003</v>
      </c>
      <c r="G16" s="19">
        <f>ASSUMPTIONS!F41</f>
        <v>0.28000000000000003</v>
      </c>
      <c r="H16" s="29" t="s">
        <v>345</v>
      </c>
    </row>
    <row r="17" spans="1:8" ht="15" customHeight="1" x14ac:dyDescent="0.2">
      <c r="A17" s="14" t="s">
        <v>894</v>
      </c>
      <c r="B17" s="18">
        <f>DIS_HIST!D119</f>
        <v>2980</v>
      </c>
      <c r="C17" s="52">
        <f>C15*C16</f>
        <v>2908.2144000000003</v>
      </c>
      <c r="D17" s="52">
        <f>D15*D16</f>
        <v>3024.5429760000006</v>
      </c>
      <c r="E17" s="52">
        <f>E15*E16</f>
        <v>3145.5246950400006</v>
      </c>
      <c r="F17" s="52">
        <f>F15*F16</f>
        <v>3271.3456828416006</v>
      </c>
      <c r="G17" s="52">
        <f>G15*G16</f>
        <v>3402.1995101552648</v>
      </c>
    </row>
    <row r="18" spans="1:8" ht="15" customHeight="1" x14ac:dyDescent="0.2">
      <c r="A18" s="14" t="s">
        <v>895</v>
      </c>
      <c r="C18" s="19">
        <f>ASSUMPTIONS!F38</f>
        <v>-0.02</v>
      </c>
      <c r="D18" s="19">
        <f>ASSUMPTIONS!F38</f>
        <v>-0.02</v>
      </c>
      <c r="E18" s="19">
        <f>ASSUMPTIONS!F38</f>
        <v>-0.02</v>
      </c>
      <c r="F18" s="19">
        <f>ASSUMPTIONS!F38</f>
        <v>-0.02</v>
      </c>
      <c r="G18" s="19">
        <f>ASSUMPTIONS!F38</f>
        <v>-0.02</v>
      </c>
      <c r="H18" s="29" t="s">
        <v>346</v>
      </c>
    </row>
    <row r="19" spans="1:8" ht="15" customHeight="1" x14ac:dyDescent="0.2">
      <c r="A19" s="14" t="s">
        <v>896</v>
      </c>
      <c r="B19" s="18">
        <f>DIS_HIST!D113</f>
        <v>4651</v>
      </c>
      <c r="C19" s="52">
        <f>B19*(1+C18)</f>
        <v>4557.9799999999996</v>
      </c>
      <c r="D19" s="52">
        <f>C19*(1+D18)</f>
        <v>4466.8203999999996</v>
      </c>
      <c r="E19" s="52">
        <f>D19*(1+E18)</f>
        <v>4377.4839919999995</v>
      </c>
      <c r="F19" s="52">
        <f>E19*(1+F18)</f>
        <v>4289.9343121599995</v>
      </c>
      <c r="G19" s="52">
        <f>F19*(1+G18)</f>
        <v>4204.1356259167997</v>
      </c>
    </row>
    <row r="20" spans="1:8" ht="15" customHeight="1" x14ac:dyDescent="0.2">
      <c r="A20" s="14" t="s">
        <v>897</v>
      </c>
      <c r="B20" s="55">
        <f>DIS_HIST!D120/DIS_HIST!D113</f>
        <v>0.35089228122984306</v>
      </c>
      <c r="C20" s="19">
        <f>ASSUMPTIONS!F42</f>
        <v>0.35</v>
      </c>
      <c r="D20" s="19">
        <f>ASSUMPTIONS!F42</f>
        <v>0.35</v>
      </c>
      <c r="E20" s="19">
        <f>ASSUMPTIONS!F42</f>
        <v>0.35</v>
      </c>
      <c r="F20" s="19">
        <f>ASSUMPTIONS!F42</f>
        <v>0.35</v>
      </c>
      <c r="G20" s="19">
        <f>ASSUMPTIONS!F42</f>
        <v>0.35</v>
      </c>
      <c r="H20" s="29" t="s">
        <v>347</v>
      </c>
    </row>
    <row r="21" spans="1:8" ht="15" customHeight="1" x14ac:dyDescent="0.2">
      <c r="A21" s="14" t="s">
        <v>898</v>
      </c>
      <c r="B21" s="18">
        <f>DIS_HIST!D120</f>
        <v>1632</v>
      </c>
      <c r="C21" s="52">
        <f>C19*C20</f>
        <v>1595.2929999999997</v>
      </c>
      <c r="D21" s="52">
        <f>D19*D20</f>
        <v>1563.3871399999998</v>
      </c>
      <c r="E21" s="52">
        <f>E19*E20</f>
        <v>1532.1193971999996</v>
      </c>
      <c r="F21" s="52">
        <f>F19*F20</f>
        <v>1501.4770092559997</v>
      </c>
      <c r="G21" s="52">
        <f>G19*G20</f>
        <v>1471.4474690708798</v>
      </c>
    </row>
    <row r="22" spans="1:8" ht="15" customHeight="1" x14ac:dyDescent="0.2">
      <c r="A22" s="12" t="s">
        <v>348</v>
      </c>
      <c r="B22" s="12"/>
      <c r="C22" s="12"/>
      <c r="D22" s="12"/>
      <c r="E22" s="12"/>
      <c r="F22" s="12"/>
      <c r="G22" s="12"/>
      <c r="H22" s="12"/>
    </row>
    <row r="23" spans="1:8" ht="15" customHeight="1" x14ac:dyDescent="0.2">
      <c r="A23" s="13" t="s">
        <v>349</v>
      </c>
      <c r="B23" s="30">
        <f t="shared" ref="B23:G23" si="0">SUM(B7,B11,B15,B19)</f>
        <v>59434</v>
      </c>
      <c r="C23" s="30">
        <f t="shared" si="0"/>
        <v>61693.22</v>
      </c>
      <c r="D23" s="30">
        <f t="shared" si="0"/>
        <v>64065.395199999999</v>
      </c>
      <c r="E23" s="30">
        <f t="shared" si="0"/>
        <v>66556.172995999994</v>
      </c>
      <c r="F23" s="30">
        <f t="shared" si="0"/>
        <v>69171.509976040004</v>
      </c>
      <c r="G23" s="30">
        <f t="shared" si="0"/>
        <v>71917.689305505191</v>
      </c>
    </row>
    <row r="24" spans="1:8" ht="15" customHeight="1" x14ac:dyDescent="0.2">
      <c r="A24" s="13" t="s">
        <v>350</v>
      </c>
      <c r="B24" s="30">
        <f t="shared" ref="B24:G24" si="1">SUM(B9,B13,B17,B21)</f>
        <v>15706</v>
      </c>
      <c r="C24" s="30">
        <f t="shared" si="1"/>
        <v>16049.984600000002</v>
      </c>
      <c r="D24" s="30">
        <f t="shared" si="1"/>
        <v>16622.792448</v>
      </c>
      <c r="E24" s="30">
        <f t="shared" si="1"/>
        <v>17224.06255916</v>
      </c>
      <c r="F24" s="30">
        <f t="shared" si="1"/>
        <v>17855.174593882803</v>
      </c>
      <c r="G24" s="30">
        <f t="shared" si="1"/>
        <v>18517.582771773959</v>
      </c>
    </row>
    <row r="25" spans="1:8" ht="15" customHeight="1" x14ac:dyDescent="0.2">
      <c r="A25" s="14" t="s">
        <v>351</v>
      </c>
      <c r="B25" s="52">
        <f>(DIS_HIST!D8+DIS_HIST!D13)-B24</f>
        <v>-869</v>
      </c>
      <c r="C25" s="52">
        <f>C23*($B$25/$B$23)</f>
        <v>-902.03264427768625</v>
      </c>
      <c r="D25" s="52">
        <f>D23*($B$25/$B$23)</f>
        <v>-936.71683596594551</v>
      </c>
      <c r="E25" s="52">
        <f>E23*($B$25/$B$23)</f>
        <v>-973.13514711316748</v>
      </c>
      <c r="F25" s="52">
        <f>F23*($B$25/$B$23)</f>
        <v>-1011.3746705451217</v>
      </c>
      <c r="G25" s="52">
        <f>G23*($B$25/$B$23)</f>
        <v>-1051.5272740600333</v>
      </c>
      <c r="H25" s="29" t="s">
        <v>352</v>
      </c>
    </row>
    <row r="26" spans="1:8" ht="15" customHeight="1" x14ac:dyDescent="0.2">
      <c r="A26" s="13" t="s">
        <v>353</v>
      </c>
      <c r="B26" s="48">
        <f t="shared" ref="B26:G26" si="2">B24+B25</f>
        <v>14837</v>
      </c>
      <c r="C26" s="48">
        <f t="shared" si="2"/>
        <v>15147.951955722316</v>
      </c>
      <c r="D26" s="48">
        <f t="shared" si="2"/>
        <v>15686.075612034054</v>
      </c>
      <c r="E26" s="48">
        <f t="shared" si="2"/>
        <v>16250.927412046833</v>
      </c>
      <c r="F26" s="48">
        <f t="shared" si="2"/>
        <v>16843.79992333768</v>
      </c>
      <c r="G26" s="48">
        <f t="shared" si="2"/>
        <v>17466.055497713925</v>
      </c>
    </row>
    <row r="27" spans="1:8" ht="15" customHeight="1" x14ac:dyDescent="0.2">
      <c r="A27" s="14" t="s">
        <v>354</v>
      </c>
      <c r="B27" s="52">
        <f>DIS_HIST!D66</f>
        <v>3011</v>
      </c>
      <c r="C27" s="52">
        <f>C23*ASSUMPTIONS!$F$43</f>
        <v>3084.6610000000001</v>
      </c>
      <c r="D27" s="52">
        <f>D23*ASSUMPTIONS!$F$43</f>
        <v>3203.2697600000001</v>
      </c>
      <c r="E27" s="52">
        <f>E23*ASSUMPTIONS!$F$43</f>
        <v>3327.8086497999998</v>
      </c>
      <c r="F27" s="52">
        <f>F23*ASSUMPTIONS!$F$43</f>
        <v>3458.5754988020003</v>
      </c>
      <c r="G27" s="52">
        <f>G23*ASSUMPTIONS!$F$43</f>
        <v>3595.8844652752596</v>
      </c>
      <c r="H27" s="29" t="s">
        <v>355</v>
      </c>
    </row>
    <row r="28" spans="1:8" ht="15" customHeight="1" x14ac:dyDescent="0.2">
      <c r="A28" s="13" t="s">
        <v>356</v>
      </c>
      <c r="B28" s="30">
        <f t="shared" ref="B28:G28" si="3">B26+B27</f>
        <v>17848</v>
      </c>
      <c r="C28" s="30">
        <f t="shared" si="3"/>
        <v>18232.612955722318</v>
      </c>
      <c r="D28" s="30">
        <f t="shared" si="3"/>
        <v>18889.345372034055</v>
      </c>
      <c r="E28" s="30">
        <f t="shared" si="3"/>
        <v>19578.736061846834</v>
      </c>
      <c r="F28" s="30">
        <f t="shared" si="3"/>
        <v>20302.375422139681</v>
      </c>
      <c r="G28" s="30">
        <f t="shared" si="3"/>
        <v>21061.939962989185</v>
      </c>
    </row>
    <row r="29" spans="1:8" ht="15" customHeight="1" x14ac:dyDescent="0.2">
      <c r="A29" s="14" t="s">
        <v>357</v>
      </c>
      <c r="B29" s="52">
        <f>DIS_HIST!D14</f>
        <v>-33</v>
      </c>
      <c r="C29" s="28" t="s">
        <v>358</v>
      </c>
      <c r="D29" s="28" t="s">
        <v>358</v>
      </c>
      <c r="E29" s="28" t="s">
        <v>358</v>
      </c>
      <c r="F29" s="28" t="s">
        <v>358</v>
      </c>
      <c r="G29" s="28" t="s">
        <v>358</v>
      </c>
      <c r="H29" s="29" t="s">
        <v>359</v>
      </c>
    </row>
    <row r="30" spans="1:8" ht="15" customHeight="1" x14ac:dyDescent="0.2">
      <c r="A30" s="14" t="s">
        <v>233</v>
      </c>
      <c r="B30" s="52">
        <f>DIS_HIST!D15</f>
        <v>601</v>
      </c>
      <c r="C30" s="28" t="s">
        <v>358</v>
      </c>
      <c r="D30" s="28" t="s">
        <v>358</v>
      </c>
      <c r="E30" s="28" t="s">
        <v>358</v>
      </c>
      <c r="F30" s="28" t="s">
        <v>358</v>
      </c>
      <c r="G30" s="28" t="s">
        <v>358</v>
      </c>
      <c r="H30" s="29" t="s">
        <v>360</v>
      </c>
    </row>
    <row r="31" spans="1:8" ht="15" customHeight="1" x14ac:dyDescent="0.2">
      <c r="A31" s="14" t="s">
        <v>361</v>
      </c>
      <c r="B31" s="52">
        <f>DIS_HIST!D17</f>
        <v>-102</v>
      </c>
      <c r="C31" s="28" t="s">
        <v>358</v>
      </c>
      <c r="D31" s="28" t="s">
        <v>358</v>
      </c>
      <c r="E31" s="28" t="s">
        <v>358</v>
      </c>
      <c r="F31" s="28" t="s">
        <v>358</v>
      </c>
      <c r="G31" s="28" t="s">
        <v>358</v>
      </c>
    </row>
    <row r="32" spans="1:8" ht="15" customHeight="1" x14ac:dyDescent="0.2">
      <c r="A32" s="14" t="s">
        <v>899</v>
      </c>
      <c r="B32" s="52">
        <f>DIS_HIST!D105</f>
        <v>20874</v>
      </c>
      <c r="C32" s="52">
        <f>$B$32</f>
        <v>20874</v>
      </c>
      <c r="D32" s="52">
        <f>$B$32</f>
        <v>20874</v>
      </c>
      <c r="E32" s="52">
        <f>$B$32</f>
        <v>20874</v>
      </c>
      <c r="F32" s="52">
        <f>$B$32</f>
        <v>20874</v>
      </c>
      <c r="G32" s="52">
        <f>$B$32</f>
        <v>20874</v>
      </c>
      <c r="H32" s="29" t="s">
        <v>362</v>
      </c>
    </row>
    <row r="33" spans="1:8" ht="15" customHeight="1" x14ac:dyDescent="0.2">
      <c r="A33" s="14" t="s">
        <v>900</v>
      </c>
      <c r="C33" s="55">
        <f>ASSUMPTIONS!$F$47</f>
        <v>3.5000000000000003E-2</v>
      </c>
      <c r="D33" s="55">
        <f>ASSUMPTIONS!$F$47</f>
        <v>3.5000000000000003E-2</v>
      </c>
      <c r="E33" s="55">
        <f>ASSUMPTIONS!$F$47</f>
        <v>3.5000000000000003E-2</v>
      </c>
      <c r="F33" s="55">
        <f>ASSUMPTIONS!$F$47</f>
        <v>3.5000000000000003E-2</v>
      </c>
      <c r="G33" s="55">
        <f>ASSUMPTIONS!$F$47</f>
        <v>3.5000000000000003E-2</v>
      </c>
    </row>
    <row r="34" spans="1:8" ht="15" customHeight="1" x14ac:dyDescent="0.2">
      <c r="A34" s="14" t="s">
        <v>363</v>
      </c>
      <c r="B34" s="52">
        <f>DIS_HIST!D16</f>
        <v>-574</v>
      </c>
      <c r="C34" s="52">
        <f>-C32*C33</f>
        <v>-730.59</v>
      </c>
      <c r="D34" s="52">
        <f>-D32*D33</f>
        <v>-730.59</v>
      </c>
      <c r="E34" s="52">
        <f>-E32*E33</f>
        <v>-730.59</v>
      </c>
      <c r="F34" s="52">
        <f>-F32*F33</f>
        <v>-730.59</v>
      </c>
      <c r="G34" s="52">
        <f>-G32*G33</f>
        <v>-730.59</v>
      </c>
    </row>
    <row r="35" spans="1:8" ht="15" customHeight="1" x14ac:dyDescent="0.2">
      <c r="A35" s="13" t="s">
        <v>364</v>
      </c>
      <c r="B35" s="48">
        <f t="shared" ref="B35:G35" si="4">B26+B29+B30+B31+B34</f>
        <v>14729</v>
      </c>
      <c r="C35" s="48">
        <f t="shared" si="4"/>
        <v>14417.361955722316</v>
      </c>
      <c r="D35" s="48">
        <f t="shared" si="4"/>
        <v>14955.485612034054</v>
      </c>
      <c r="E35" s="48">
        <f t="shared" si="4"/>
        <v>15520.337412046832</v>
      </c>
      <c r="F35" s="48">
        <f t="shared" si="4"/>
        <v>16113.209923337679</v>
      </c>
      <c r="G35" s="48">
        <f t="shared" si="4"/>
        <v>16735.465497713925</v>
      </c>
    </row>
    <row r="36" spans="1:8" ht="15" customHeight="1" x14ac:dyDescent="0.2">
      <c r="A36" s="14" t="s">
        <v>901</v>
      </c>
      <c r="C36" s="55">
        <f>ASSUMPTIONS!$F$46</f>
        <v>0.24</v>
      </c>
      <c r="D36" s="55">
        <f>ASSUMPTIONS!$F$46</f>
        <v>0.24</v>
      </c>
      <c r="E36" s="55">
        <f>ASSUMPTIONS!$F$46</f>
        <v>0.24</v>
      </c>
      <c r="F36" s="55">
        <f>ASSUMPTIONS!$F$46</f>
        <v>0.24</v>
      </c>
      <c r="G36" s="55">
        <f>ASSUMPTIONS!$F$46</f>
        <v>0.24</v>
      </c>
    </row>
    <row r="37" spans="1:8" ht="15" customHeight="1" x14ac:dyDescent="0.2">
      <c r="A37" s="14" t="s">
        <v>237</v>
      </c>
      <c r="B37" s="52">
        <f>DIS_HIST!D19</f>
        <v>-1663</v>
      </c>
      <c r="C37" s="52">
        <f>-C35*C36</f>
        <v>-3460.1668693733554</v>
      </c>
      <c r="D37" s="52">
        <f>-D35*D36</f>
        <v>-3589.316546888173</v>
      </c>
      <c r="E37" s="52">
        <f>-E35*E36</f>
        <v>-3724.8809788912395</v>
      </c>
      <c r="F37" s="52">
        <f>-F35*F36</f>
        <v>-3867.1703816010431</v>
      </c>
      <c r="G37" s="52">
        <f>-G35*G36</f>
        <v>-4016.5117194513418</v>
      </c>
      <c r="H37" s="29" t="s">
        <v>365</v>
      </c>
    </row>
    <row r="38" spans="1:8" ht="15" customHeight="1" x14ac:dyDescent="0.2">
      <c r="A38" s="13" t="s">
        <v>238</v>
      </c>
      <c r="B38" s="30">
        <f t="shared" ref="B38:G38" si="5">B35+B37</f>
        <v>13066</v>
      </c>
      <c r="C38" s="30">
        <f t="shared" si="5"/>
        <v>10957.19508634896</v>
      </c>
      <c r="D38" s="30">
        <f t="shared" si="5"/>
        <v>11366.169065145881</v>
      </c>
      <c r="E38" s="30">
        <f t="shared" si="5"/>
        <v>11795.456433155592</v>
      </c>
      <c r="F38" s="30">
        <f t="shared" si="5"/>
        <v>12246.039541736636</v>
      </c>
      <c r="G38" s="30">
        <f t="shared" si="5"/>
        <v>12718.953778262583</v>
      </c>
    </row>
    <row r="39" spans="1:8" ht="15" customHeight="1" x14ac:dyDescent="0.2">
      <c r="A39" s="14" t="s">
        <v>366</v>
      </c>
      <c r="B39" s="52">
        <f>DIS_HIST!D21</f>
        <v>-468</v>
      </c>
      <c r="C39" s="52">
        <f>C38*($B$39/$B$38)</f>
        <v>-392.46650087335934</v>
      </c>
      <c r="D39" s="52">
        <f>D38*($B$39/$B$38)</f>
        <v>-407.11519382276686</v>
      </c>
      <c r="E39" s="52">
        <f>E38*($B$39/$B$38)</f>
        <v>-422.49147487500511</v>
      </c>
      <c r="F39" s="52">
        <f>F38*($B$39/$B$38)</f>
        <v>-438.63053004230409</v>
      </c>
      <c r="G39" s="52">
        <f>G38*($B$39/$B$38)</f>
        <v>-455.56944498904704</v>
      </c>
    </row>
    <row r="40" spans="1:8" ht="15" customHeight="1" x14ac:dyDescent="0.2">
      <c r="A40" s="13" t="s">
        <v>240</v>
      </c>
      <c r="B40" s="48">
        <f t="shared" ref="B40:G40" si="6">B38+B39</f>
        <v>12598</v>
      </c>
      <c r="C40" s="48">
        <f t="shared" si="6"/>
        <v>10564.728585475601</v>
      </c>
      <c r="D40" s="48">
        <f t="shared" si="6"/>
        <v>10959.053871323114</v>
      </c>
      <c r="E40" s="48">
        <f t="shared" si="6"/>
        <v>11372.964958280587</v>
      </c>
      <c r="F40" s="48">
        <f t="shared" si="6"/>
        <v>11807.409011694332</v>
      </c>
      <c r="G40" s="48">
        <f t="shared" si="6"/>
        <v>12263.384333273536</v>
      </c>
    </row>
    <row r="41" spans="1:8" ht="15" customHeight="1" x14ac:dyDescent="0.2">
      <c r="A41" s="14" t="s">
        <v>323</v>
      </c>
      <c r="B41" s="52">
        <f>DIS_HIST!D24</f>
        <v>1507</v>
      </c>
      <c r="C41" s="52">
        <f>ASSUMPTIONS!$F$50</f>
        <v>1488</v>
      </c>
      <c r="D41" s="52">
        <f>ASSUMPTIONS!$F$50</f>
        <v>1488</v>
      </c>
      <c r="E41" s="52">
        <f>ASSUMPTIONS!$F$50</f>
        <v>1488</v>
      </c>
      <c r="F41" s="52">
        <f>ASSUMPTIONS!$F$50</f>
        <v>1488</v>
      </c>
      <c r="G41" s="52">
        <f>ASSUMPTIONS!$F$50</f>
        <v>1488</v>
      </c>
      <c r="H41" s="29" t="s">
        <v>367</v>
      </c>
    </row>
    <row r="42" spans="1:8" ht="15" customHeight="1" x14ac:dyDescent="0.2">
      <c r="A42" s="13" t="s">
        <v>368</v>
      </c>
      <c r="B42" s="56">
        <f t="shared" ref="B42:G42" si="7">B40/B41</f>
        <v>8.3596549435965493</v>
      </c>
      <c r="C42" s="56">
        <f t="shared" si="7"/>
        <v>7.099952006368011</v>
      </c>
      <c r="D42" s="56">
        <f t="shared" si="7"/>
        <v>7.3649555586848887</v>
      </c>
      <c r="E42" s="56">
        <f t="shared" si="7"/>
        <v>7.6431216117477065</v>
      </c>
      <c r="F42" s="56">
        <f t="shared" si="7"/>
        <v>7.9350867014074806</v>
      </c>
      <c r="G42" s="56">
        <f t="shared" si="7"/>
        <v>8.2415217293504952</v>
      </c>
    </row>
    <row r="43" spans="1:8" ht="15" customHeight="1" x14ac:dyDescent="0.2">
      <c r="A43" s="12" t="s">
        <v>369</v>
      </c>
      <c r="B43" s="12"/>
      <c r="C43" s="12"/>
      <c r="D43" s="12"/>
      <c r="E43" s="12"/>
      <c r="F43" s="12"/>
      <c r="G43" s="12"/>
      <c r="H43" s="12"/>
    </row>
    <row r="44" spans="1:8" ht="15" customHeight="1" x14ac:dyDescent="0.2">
      <c r="A44" s="13" t="s">
        <v>356</v>
      </c>
      <c r="B44" s="30">
        <f t="shared" ref="B44:G44" si="8">B28</f>
        <v>17848</v>
      </c>
      <c r="C44" s="30">
        <f t="shared" si="8"/>
        <v>18232.612955722318</v>
      </c>
      <c r="D44" s="30">
        <f t="shared" si="8"/>
        <v>18889.345372034055</v>
      </c>
      <c r="E44" s="30">
        <f t="shared" si="8"/>
        <v>19578.736061846834</v>
      </c>
      <c r="F44" s="30">
        <f t="shared" si="8"/>
        <v>20302.375422139681</v>
      </c>
      <c r="G44" s="30">
        <f t="shared" si="8"/>
        <v>21061.939962989185</v>
      </c>
    </row>
    <row r="45" spans="1:8" ht="15" customHeight="1" x14ac:dyDescent="0.2">
      <c r="A45" s="13" t="s">
        <v>370</v>
      </c>
      <c r="B45" s="30">
        <f t="shared" ref="B45:G45" si="9">B26</f>
        <v>14837</v>
      </c>
      <c r="C45" s="30">
        <f t="shared" si="9"/>
        <v>15147.951955722316</v>
      </c>
      <c r="D45" s="30">
        <f t="shared" si="9"/>
        <v>15686.075612034054</v>
      </c>
      <c r="E45" s="30">
        <f t="shared" si="9"/>
        <v>16250.927412046833</v>
      </c>
      <c r="F45" s="30">
        <f t="shared" si="9"/>
        <v>16843.79992333768</v>
      </c>
      <c r="G45" s="30">
        <f t="shared" si="9"/>
        <v>17466.055497713925</v>
      </c>
    </row>
    <row r="46" spans="1:8" ht="15" customHeight="1" x14ac:dyDescent="0.2">
      <c r="A46" s="13" t="s">
        <v>371</v>
      </c>
      <c r="B46" s="30">
        <f t="shared" ref="B46:G46" si="10">B35</f>
        <v>14729</v>
      </c>
      <c r="C46" s="30">
        <f t="shared" si="10"/>
        <v>14417.361955722316</v>
      </c>
      <c r="D46" s="30">
        <f t="shared" si="10"/>
        <v>14955.485612034054</v>
      </c>
      <c r="E46" s="30">
        <f t="shared" si="10"/>
        <v>15520.337412046832</v>
      </c>
      <c r="F46" s="30">
        <f t="shared" si="10"/>
        <v>16113.209923337679</v>
      </c>
      <c r="G46" s="30">
        <f t="shared" si="10"/>
        <v>16735.465497713925</v>
      </c>
    </row>
    <row r="47" spans="1:8" ht="15" customHeight="1" x14ac:dyDescent="0.2">
      <c r="A47" s="13" t="s">
        <v>240</v>
      </c>
      <c r="B47" s="30">
        <f t="shared" ref="B47:G47" si="11">B40</f>
        <v>12598</v>
      </c>
      <c r="C47" s="30">
        <f t="shared" si="11"/>
        <v>10564.728585475601</v>
      </c>
      <c r="D47" s="30">
        <f t="shared" si="11"/>
        <v>10959.053871323114</v>
      </c>
      <c r="E47" s="30">
        <f t="shared" si="11"/>
        <v>11372.964958280587</v>
      </c>
      <c r="F47" s="30">
        <f t="shared" si="11"/>
        <v>11807.409011694332</v>
      </c>
      <c r="G47" s="30">
        <f t="shared" si="11"/>
        <v>12263.384333273536</v>
      </c>
    </row>
    <row r="48" spans="1:8" ht="15" customHeight="1" x14ac:dyDescent="0.2">
      <c r="A48" s="12" t="s">
        <v>317</v>
      </c>
      <c r="B48" s="12"/>
      <c r="C48" s="12"/>
      <c r="D48" s="12"/>
      <c r="E48" s="12"/>
      <c r="F48" s="12"/>
      <c r="G48" s="12"/>
      <c r="H48" s="12"/>
    </row>
    <row r="49" spans="1:8" ht="15" customHeight="1" x14ac:dyDescent="0.2">
      <c r="A49" s="14" t="s">
        <v>902</v>
      </c>
      <c r="C49" s="19">
        <f>ASSUMPTIONS!$F$43</f>
        <v>0.05</v>
      </c>
      <c r="D49" s="19">
        <f>ASSUMPTIONS!$F$43</f>
        <v>0.05</v>
      </c>
      <c r="E49" s="19">
        <f>ASSUMPTIONS!$F$43</f>
        <v>0.05</v>
      </c>
      <c r="F49" s="19">
        <f>ASSUMPTIONS!$F$43</f>
        <v>0.05</v>
      </c>
      <c r="G49" s="19">
        <f>ASSUMPTIONS!$F$43</f>
        <v>0.05</v>
      </c>
    </row>
    <row r="50" spans="1:8" ht="15" customHeight="1" x14ac:dyDescent="0.2">
      <c r="A50" s="14" t="s">
        <v>903</v>
      </c>
      <c r="B50" s="52">
        <f t="shared" ref="B50:G50" si="12">B27</f>
        <v>3011</v>
      </c>
      <c r="C50" s="52">
        <f t="shared" si="12"/>
        <v>3084.6610000000001</v>
      </c>
      <c r="D50" s="52">
        <f t="shared" si="12"/>
        <v>3203.2697600000001</v>
      </c>
      <c r="E50" s="52">
        <f t="shared" si="12"/>
        <v>3327.8086497999998</v>
      </c>
      <c r="F50" s="52">
        <f t="shared" si="12"/>
        <v>3458.5754988020003</v>
      </c>
      <c r="G50" s="52">
        <f t="shared" si="12"/>
        <v>3595.8844652752596</v>
      </c>
    </row>
    <row r="51" spans="1:8" ht="15" customHeight="1" x14ac:dyDescent="0.2">
      <c r="A51" s="14" t="s">
        <v>904</v>
      </c>
      <c r="C51" s="19">
        <f>ASSUMPTIONS!$F$44</f>
        <v>7.0000000000000007E-2</v>
      </c>
      <c r="D51" s="19">
        <f>ASSUMPTIONS!$F$44</f>
        <v>7.0000000000000007E-2</v>
      </c>
      <c r="E51" s="19">
        <f>ASSUMPTIONS!$F$44</f>
        <v>7.0000000000000007E-2</v>
      </c>
      <c r="F51" s="19">
        <f>ASSUMPTIONS!$F$44</f>
        <v>7.0000000000000007E-2</v>
      </c>
      <c r="G51" s="19">
        <f>ASSUMPTIONS!$F$44</f>
        <v>7.0000000000000007E-2</v>
      </c>
    </row>
    <row r="52" spans="1:8" ht="15" customHeight="1" x14ac:dyDescent="0.2">
      <c r="A52" s="14" t="s">
        <v>905</v>
      </c>
      <c r="B52" s="52">
        <f>-DIS_HIST!D80</f>
        <v>4465</v>
      </c>
      <c r="C52" s="52">
        <f>C23*ASSUMPTIONS!$F$44</f>
        <v>4318.5254000000004</v>
      </c>
      <c r="D52" s="52">
        <f>D23*ASSUMPTIONS!$F$44</f>
        <v>4484.5776640000004</v>
      </c>
      <c r="E52" s="52">
        <f>E23*ASSUMPTIONS!$F$44</f>
        <v>4658.93210972</v>
      </c>
      <c r="F52" s="52">
        <f>F23*ASSUMPTIONS!$F$44</f>
        <v>4842.0056983228005</v>
      </c>
      <c r="G52" s="52">
        <f>G23*ASSUMPTIONS!$F$44</f>
        <v>5034.2382513853636</v>
      </c>
    </row>
    <row r="53" spans="1:8" ht="15" customHeight="1" x14ac:dyDescent="0.2">
      <c r="A53" s="14" t="s">
        <v>906</v>
      </c>
      <c r="C53" s="19">
        <f>ASSUMPTIONS!$F$45</f>
        <v>0</v>
      </c>
      <c r="D53" s="19">
        <f>ASSUMPTIONS!$F$45</f>
        <v>0</v>
      </c>
      <c r="E53" s="19">
        <f>ASSUMPTIONS!$F$45</f>
        <v>0</v>
      </c>
      <c r="F53" s="19">
        <f>ASSUMPTIONS!$F$45</f>
        <v>0</v>
      </c>
      <c r="G53" s="19">
        <f>ASSUMPTIONS!$F$45</f>
        <v>0</v>
      </c>
    </row>
    <row r="54" spans="1:8" ht="15" customHeight="1" x14ac:dyDescent="0.2">
      <c r="A54" s="14" t="s">
        <v>907</v>
      </c>
      <c r="C54" s="52">
        <f>(C23-B23)*ASSUMPTIONS!$F$45</f>
        <v>0</v>
      </c>
      <c r="D54" s="52">
        <f>(D23-C23)*ASSUMPTIONS!$F$45</f>
        <v>0</v>
      </c>
      <c r="E54" s="52">
        <f>(E23-D23)*ASSUMPTIONS!$F$45</f>
        <v>0</v>
      </c>
      <c r="F54" s="52">
        <f>(F23-E23)*ASSUMPTIONS!$F$45</f>
        <v>0</v>
      </c>
      <c r="G54" s="52">
        <f>(G23-F23)*ASSUMPTIONS!$F$45</f>
        <v>0</v>
      </c>
      <c r="H54" s="29" t="s">
        <v>372</v>
      </c>
    </row>
    <row r="55" spans="1:8" ht="15" customHeight="1" x14ac:dyDescent="0.2">
      <c r="A55" s="14" t="s">
        <v>373</v>
      </c>
      <c r="C55" s="19">
        <f>ASSUMPTIONS!$F$46</f>
        <v>0.24</v>
      </c>
      <c r="D55" s="19">
        <f>ASSUMPTIONS!$F$46</f>
        <v>0.24</v>
      </c>
      <c r="E55" s="19">
        <f>ASSUMPTIONS!$F$46</f>
        <v>0.24</v>
      </c>
      <c r="F55" s="19">
        <f>ASSUMPTIONS!$F$46</f>
        <v>0.24</v>
      </c>
      <c r="G55" s="19">
        <f>ASSUMPTIONS!$F$46</f>
        <v>0.24</v>
      </c>
    </row>
    <row r="56" spans="1:8" ht="15" customHeight="1" x14ac:dyDescent="0.2">
      <c r="A56" s="14" t="s">
        <v>374</v>
      </c>
      <c r="B56" s="52">
        <f t="shared" ref="B56:G56" si="13">B41</f>
        <v>1507</v>
      </c>
      <c r="C56" s="52">
        <f t="shared" si="13"/>
        <v>1488</v>
      </c>
      <c r="D56" s="52">
        <f t="shared" si="13"/>
        <v>1488</v>
      </c>
      <c r="E56" s="52">
        <f t="shared" si="13"/>
        <v>1488</v>
      </c>
      <c r="F56" s="52">
        <f t="shared" si="13"/>
        <v>1488</v>
      </c>
      <c r="G56" s="52">
        <f t="shared" si="13"/>
        <v>1488</v>
      </c>
    </row>
    <row r="57" spans="1:8" ht="15" customHeight="1" x14ac:dyDescent="0.2">
      <c r="A57" s="14" t="s">
        <v>131</v>
      </c>
      <c r="C57" s="57">
        <f>ASSUMPTIONS!$F$48</f>
        <v>1.76</v>
      </c>
      <c r="D57" s="57">
        <f>ASSUMPTIONS!$F$48</f>
        <v>1.76</v>
      </c>
      <c r="E57" s="57">
        <f>ASSUMPTIONS!$F$48</f>
        <v>1.76</v>
      </c>
      <c r="F57" s="57">
        <f>ASSUMPTIONS!$F$48</f>
        <v>1.76</v>
      </c>
      <c r="G57" s="57">
        <f>ASSUMPTIONS!$F$48</f>
        <v>1.76</v>
      </c>
    </row>
    <row r="58" spans="1:8" ht="15" customHeight="1" x14ac:dyDescent="0.2">
      <c r="A58" s="14" t="s">
        <v>375</v>
      </c>
      <c r="C58" s="18">
        <f>ASSUMPTIONS!$F$49</f>
        <v>0</v>
      </c>
      <c r="D58" s="18">
        <f>ASSUMPTIONS!$F$49</f>
        <v>0</v>
      </c>
      <c r="E58" s="18">
        <f>ASSUMPTIONS!$F$49</f>
        <v>0</v>
      </c>
      <c r="F58" s="18">
        <f>ASSUMPTIONS!$F$49</f>
        <v>0</v>
      </c>
      <c r="G58" s="18">
        <f>ASSUMPTIONS!$F$49</f>
        <v>0</v>
      </c>
    </row>
    <row r="59" spans="1:8" ht="15" customHeight="1" x14ac:dyDescent="0.2">
      <c r="A59" s="12" t="s">
        <v>376</v>
      </c>
      <c r="B59" s="12"/>
      <c r="C59" s="12"/>
      <c r="D59" s="12"/>
      <c r="E59" s="12"/>
      <c r="F59" s="12"/>
      <c r="G59" s="12"/>
      <c r="H59" s="12"/>
    </row>
    <row r="60" spans="1:8" ht="15" customHeight="1" x14ac:dyDescent="0.2">
      <c r="A60" s="45" t="s">
        <v>377</v>
      </c>
      <c r="B60" s="51">
        <f t="shared" ref="B60:G60" si="14">B23-SUM(B7,B11,B15,B19)</f>
        <v>0</v>
      </c>
      <c r="C60" s="58">
        <f t="shared" si="14"/>
        <v>0</v>
      </c>
      <c r="D60" s="58">
        <f t="shared" si="14"/>
        <v>0</v>
      </c>
      <c r="E60" s="58">
        <f t="shared" si="14"/>
        <v>0</v>
      </c>
      <c r="F60" s="58">
        <f t="shared" si="14"/>
        <v>0</v>
      </c>
      <c r="G60" s="58">
        <f t="shared" si="14"/>
        <v>0</v>
      </c>
    </row>
    <row r="61" spans="1:8" ht="15" customHeight="1" x14ac:dyDescent="0.2">
      <c r="A61" s="45" t="s">
        <v>378</v>
      </c>
      <c r="B61" s="51">
        <f t="shared" ref="B61:G61" si="15">B24-SUM(B9,B13,B17,B21)</f>
        <v>0</v>
      </c>
      <c r="C61" s="58">
        <f t="shared" si="15"/>
        <v>0</v>
      </c>
      <c r="D61" s="58">
        <f t="shared" si="15"/>
        <v>0</v>
      </c>
      <c r="E61" s="58">
        <f t="shared" si="15"/>
        <v>0</v>
      </c>
      <c r="F61" s="58">
        <f t="shared" si="15"/>
        <v>0</v>
      </c>
      <c r="G61" s="58">
        <f t="shared" si="15"/>
        <v>0</v>
      </c>
    </row>
    <row r="62" spans="1:8" ht="15" customHeight="1" x14ac:dyDescent="0.2">
      <c r="A62" s="45" t="s">
        <v>379</v>
      </c>
      <c r="B62" s="51">
        <f>B23-DIS_HIST!D8</f>
        <v>0</v>
      </c>
    </row>
    <row r="63" spans="1:8" ht="15" customHeight="1" x14ac:dyDescent="0.2">
      <c r="A63" s="45" t="s">
        <v>380</v>
      </c>
      <c r="B63" s="51">
        <f>B35-DIS_HIST!D18</f>
        <v>0</v>
      </c>
    </row>
    <row r="64" spans="1:8" ht="15" customHeight="1" x14ac:dyDescent="0.2">
      <c r="A64" s="45" t="s">
        <v>381</v>
      </c>
      <c r="B64" s="51">
        <f>B40-DIS_HIST!D22</f>
        <v>0</v>
      </c>
    </row>
    <row r="65" spans="1:2" ht="15" customHeight="1" x14ac:dyDescent="0.2">
      <c r="A65" s="45" t="s">
        <v>382</v>
      </c>
      <c r="B65" s="51">
        <f>B42-DIS_HIST!D26</f>
        <v>-3.4505640345017241E-4</v>
      </c>
    </row>
    <row r="67" spans="1:2" ht="15" customHeight="1" x14ac:dyDescent="0.2">
      <c r="A67" s="13" t="s">
        <v>335</v>
      </c>
      <c r="B67" s="54" t="str">
        <f>IF(AND(ABS(B60)&lt;1,ABS(C60)&lt;1,ABS(B61)&lt;1,ABS(C61)&lt;1,ABS(B62)&lt;1,ABS(B63)&lt;1,ABS(B64)&lt;1,ABS(B65)&lt;0.01),"OK","CHECK")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1"/>
  <sheetViews>
    <sheetView showGridLines="0" topLeftCell="A37" zoomScaleNormal="100" workbookViewId="0">
      <selection activeCell="F11" sqref="F11"/>
    </sheetView>
  </sheetViews>
  <sheetFormatPr baseColWidth="10" defaultColWidth="8.6640625" defaultRowHeight="15" x14ac:dyDescent="0.2"/>
  <cols>
    <col min="1" max="1" width="46" customWidth="1"/>
    <col min="2" max="4" width="14" customWidth="1"/>
    <col min="5" max="5" width="12" customWidth="1"/>
    <col min="6" max="6" width="52" customWidth="1"/>
    <col min="7" max="9" width="13" customWidth="1"/>
  </cols>
  <sheetData>
    <row r="1" spans="1:6" ht="17.25" customHeight="1" x14ac:dyDescent="0.2">
      <c r="A1" s="11" t="s">
        <v>919</v>
      </c>
      <c r="B1" s="2"/>
      <c r="C1" s="2"/>
      <c r="D1" s="2"/>
      <c r="E1" s="2"/>
      <c r="F1" s="2"/>
    </row>
    <row r="2" spans="1:6" ht="15" customHeight="1" x14ac:dyDescent="0.2">
      <c r="A2" s="10" t="s">
        <v>383</v>
      </c>
    </row>
    <row r="4" spans="1:6" ht="15" customHeight="1" x14ac:dyDescent="0.2">
      <c r="A4" s="37" t="s">
        <v>217</v>
      </c>
      <c r="B4" s="38" t="s">
        <v>218</v>
      </c>
      <c r="C4" s="38" t="s">
        <v>219</v>
      </c>
      <c r="D4" s="38" t="s">
        <v>220</v>
      </c>
      <c r="F4" s="37" t="s">
        <v>221</v>
      </c>
    </row>
    <row r="5" spans="1:6" ht="15" customHeight="1" x14ac:dyDescent="0.2">
      <c r="A5" s="12" t="s">
        <v>908</v>
      </c>
      <c r="B5" s="12"/>
      <c r="C5" s="12"/>
      <c r="D5" s="12"/>
      <c r="E5" s="12"/>
      <c r="F5" s="12"/>
    </row>
    <row r="6" spans="1:6" ht="15" customHeight="1" x14ac:dyDescent="0.2">
      <c r="A6" s="14" t="s">
        <v>384</v>
      </c>
      <c r="B6" s="28">
        <v>19111</v>
      </c>
      <c r="C6" s="28">
        <v>19307</v>
      </c>
      <c r="D6" s="28">
        <v>20851</v>
      </c>
      <c r="F6" s="47" t="s">
        <v>385</v>
      </c>
    </row>
    <row r="7" spans="1:6" ht="15" customHeight="1" x14ac:dyDescent="0.2">
      <c r="A7" s="14" t="s">
        <v>386</v>
      </c>
      <c r="B7" s="28">
        <v>-12575</v>
      </c>
      <c r="C7" s="28">
        <v>-12747</v>
      </c>
      <c r="D7" s="28">
        <v>-13855</v>
      </c>
    </row>
    <row r="8" spans="1:6" ht="15" customHeight="1" x14ac:dyDescent="0.2">
      <c r="A8" s="14" t="s">
        <v>387</v>
      </c>
      <c r="B8" s="28">
        <v>-2449</v>
      </c>
      <c r="C8" s="28">
        <v>-2444</v>
      </c>
      <c r="D8" s="28">
        <v>-2771</v>
      </c>
    </row>
    <row r="9" spans="1:6" ht="15" customHeight="1" x14ac:dyDescent="0.2">
      <c r="A9" s="13" t="s">
        <v>388</v>
      </c>
      <c r="B9" s="30">
        <f>B6+B7+B8</f>
        <v>4087</v>
      </c>
      <c r="C9" s="30">
        <f>C6+C7+C8</f>
        <v>4116</v>
      </c>
      <c r="D9" s="30">
        <f>D6+D7+D8</f>
        <v>4225</v>
      </c>
    </row>
    <row r="10" spans="1:6" ht="15" customHeight="1" x14ac:dyDescent="0.2">
      <c r="A10" s="14" t="s">
        <v>230</v>
      </c>
      <c r="B10" s="28">
        <v>-363</v>
      </c>
      <c r="C10" s="28">
        <v>-388</v>
      </c>
      <c r="D10" s="28">
        <v>-413</v>
      </c>
    </row>
    <row r="11" spans="1:6" ht="15" customHeight="1" x14ac:dyDescent="0.2">
      <c r="A11" s="14" t="s">
        <v>389</v>
      </c>
      <c r="B11" s="28">
        <v>-268</v>
      </c>
      <c r="C11" s="28">
        <v>-150</v>
      </c>
      <c r="D11" s="28">
        <v>-56</v>
      </c>
    </row>
    <row r="12" spans="1:6" ht="15" customHeight="1" x14ac:dyDescent="0.2">
      <c r="A12" s="13" t="s">
        <v>390</v>
      </c>
      <c r="B12" s="30">
        <f>B9+B10+B11</f>
        <v>3456</v>
      </c>
      <c r="C12" s="30">
        <f>C9+C10+C11</f>
        <v>3578</v>
      </c>
      <c r="D12" s="30">
        <f>D9+D10+D11</f>
        <v>3756</v>
      </c>
    </row>
    <row r="13" spans="1:6" ht="15" customHeight="1" x14ac:dyDescent="0.2">
      <c r="A13" s="14" t="s">
        <v>391</v>
      </c>
      <c r="B13" s="28">
        <v>-35</v>
      </c>
      <c r="C13" s="28">
        <v>-42</v>
      </c>
      <c r="D13" s="28">
        <v>-563</v>
      </c>
    </row>
    <row r="14" spans="1:6" ht="15" customHeight="1" x14ac:dyDescent="0.2">
      <c r="A14" s="14" t="s">
        <v>234</v>
      </c>
      <c r="B14" s="28">
        <v>-1166</v>
      </c>
      <c r="C14" s="28">
        <v>-1195</v>
      </c>
      <c r="D14" s="28">
        <v>-1205</v>
      </c>
    </row>
    <row r="15" spans="1:6" ht="15" customHeight="1" x14ac:dyDescent="0.2">
      <c r="A15" s="14" t="s">
        <v>392</v>
      </c>
      <c r="B15" s="28">
        <v>33</v>
      </c>
      <c r="C15" s="28">
        <v>34</v>
      </c>
      <c r="D15" s="28">
        <v>39</v>
      </c>
    </row>
    <row r="16" spans="1:6" ht="15" customHeight="1" x14ac:dyDescent="0.2">
      <c r="A16" s="14" t="s">
        <v>393</v>
      </c>
      <c r="B16" s="28">
        <v>-244</v>
      </c>
      <c r="C16" s="28">
        <v>-253</v>
      </c>
      <c r="D16" s="28">
        <v>-571</v>
      </c>
    </row>
    <row r="17" spans="1:6" ht="15" customHeight="1" x14ac:dyDescent="0.2">
      <c r="A17" s="13" t="s">
        <v>394</v>
      </c>
      <c r="B17" s="30">
        <f>B12+B13+B14+B15+B16</f>
        <v>2044</v>
      </c>
      <c r="C17" s="30">
        <f>C12+C13+C14+C15+C16</f>
        <v>2122</v>
      </c>
      <c r="D17" s="30">
        <f>D12+D13+D14+D15+D16</f>
        <v>1456</v>
      </c>
    </row>
    <row r="18" spans="1:6" ht="15" customHeight="1" x14ac:dyDescent="0.2">
      <c r="A18" s="14" t="s">
        <v>395</v>
      </c>
      <c r="B18" s="28">
        <v>-347</v>
      </c>
      <c r="C18" s="28">
        <v>-522</v>
      </c>
      <c r="D18" s="28">
        <v>196</v>
      </c>
    </row>
    <row r="19" spans="1:6" ht="15" customHeight="1" x14ac:dyDescent="0.2">
      <c r="A19" s="13" t="s">
        <v>396</v>
      </c>
      <c r="B19" s="30">
        <f>B17+B18</f>
        <v>1697</v>
      </c>
      <c r="C19" s="30">
        <f>C17+C18</f>
        <v>1600</v>
      </c>
      <c r="D19" s="30">
        <f>D17+D18</f>
        <v>1652</v>
      </c>
    </row>
    <row r="20" spans="1:6" ht="15" customHeight="1" x14ac:dyDescent="0.2">
      <c r="A20" s="14" t="s">
        <v>366</v>
      </c>
      <c r="B20" s="28">
        <v>-226</v>
      </c>
      <c r="C20" s="28">
        <v>-237</v>
      </c>
      <c r="D20" s="28">
        <v>-257</v>
      </c>
    </row>
    <row r="21" spans="1:6" ht="15" customHeight="1" x14ac:dyDescent="0.2">
      <c r="A21" s="13" t="s">
        <v>397</v>
      </c>
      <c r="B21" s="48">
        <f>B19+B20</f>
        <v>1471</v>
      </c>
      <c r="C21" s="48">
        <f>C19+C20</f>
        <v>1363</v>
      </c>
      <c r="D21" s="48">
        <f>D19+D20</f>
        <v>1395</v>
      </c>
    </row>
    <row r="23" spans="1:6" ht="15" customHeight="1" x14ac:dyDescent="0.2">
      <c r="A23" s="14" t="s">
        <v>323</v>
      </c>
      <c r="B23" s="28">
        <v>1943</v>
      </c>
      <c r="C23" s="28">
        <v>1854</v>
      </c>
      <c r="D23" s="28">
        <v>1852</v>
      </c>
    </row>
    <row r="24" spans="1:6" ht="15" customHeight="1" x14ac:dyDescent="0.2">
      <c r="A24" s="14" t="s">
        <v>243</v>
      </c>
      <c r="B24" s="49">
        <v>0.76</v>
      </c>
      <c r="C24" s="49">
        <v>0.73</v>
      </c>
      <c r="D24" s="49">
        <v>0.75</v>
      </c>
    </row>
    <row r="25" spans="1:6" ht="15" customHeight="1" x14ac:dyDescent="0.2">
      <c r="A25" s="14" t="s">
        <v>244</v>
      </c>
      <c r="B25" s="50">
        <f>B21/B23</f>
        <v>0.75707668553782814</v>
      </c>
      <c r="C25" s="50">
        <f>C21/C23</f>
        <v>0.73516720604099239</v>
      </c>
      <c r="D25" s="50">
        <f>D21/D23</f>
        <v>0.7532397408207343</v>
      </c>
    </row>
    <row r="26" spans="1:6" ht="15" customHeight="1" x14ac:dyDescent="0.2">
      <c r="A26" s="45" t="s">
        <v>398</v>
      </c>
      <c r="B26" s="59">
        <f>B25-B24</f>
        <v>-2.9233144621718665E-3</v>
      </c>
      <c r="C26" s="59">
        <f>C25-C24</f>
        <v>5.1672060409924114E-3</v>
      </c>
      <c r="D26" s="59">
        <f>D25-D24</f>
        <v>3.2397408207343048E-3</v>
      </c>
    </row>
    <row r="27" spans="1:6" ht="15" customHeight="1" x14ac:dyDescent="0.2">
      <c r="A27" s="12" t="s">
        <v>399</v>
      </c>
      <c r="B27" s="12"/>
      <c r="C27" s="12"/>
      <c r="D27" s="12"/>
      <c r="E27" s="12"/>
      <c r="F27" s="12"/>
    </row>
    <row r="28" spans="1:6" ht="15" customHeight="1" x14ac:dyDescent="0.2">
      <c r="A28" s="14" t="s">
        <v>400</v>
      </c>
      <c r="B28" s="28">
        <v>27326</v>
      </c>
      <c r="C28" s="28">
        <v>28500</v>
      </c>
      <c r="D28" s="28">
        <v>30400</v>
      </c>
      <c r="F28" s="47" t="s">
        <v>401</v>
      </c>
    </row>
    <row r="29" spans="1:6" ht="15" customHeight="1" x14ac:dyDescent="0.2">
      <c r="A29" s="14" t="s">
        <v>402</v>
      </c>
      <c r="B29" s="28">
        <v>-8948</v>
      </c>
      <c r="C29" s="28">
        <v>-9977</v>
      </c>
      <c r="D29" s="28">
        <v>-10215</v>
      </c>
      <c r="F29" s="47" t="s">
        <v>403</v>
      </c>
    </row>
    <row r="30" spans="1:6" ht="15" customHeight="1" x14ac:dyDescent="0.2">
      <c r="A30" s="14" t="s">
        <v>404</v>
      </c>
      <c r="B30" s="28">
        <v>733</v>
      </c>
      <c r="C30" s="28">
        <v>784</v>
      </c>
      <c r="D30" s="28">
        <v>666</v>
      </c>
      <c r="F30" s="47" t="s">
        <v>405</v>
      </c>
    </row>
    <row r="31" spans="1:6" ht="15" customHeight="1" x14ac:dyDescent="0.2">
      <c r="A31" s="13" t="s">
        <v>406</v>
      </c>
      <c r="B31" s="30">
        <f>B28+B29+B30</f>
        <v>19111</v>
      </c>
      <c r="C31" s="30">
        <f>C28+C29+C30</f>
        <v>19307</v>
      </c>
      <c r="D31" s="30">
        <f>D28+D29+D30</f>
        <v>20851</v>
      </c>
    </row>
    <row r="32" spans="1:6" ht="15" customHeight="1" x14ac:dyDescent="0.2">
      <c r="A32" s="45" t="s">
        <v>407</v>
      </c>
      <c r="B32" s="51">
        <f>B31-B6</f>
        <v>0</v>
      </c>
      <c r="C32" s="51">
        <f>C31-C6</f>
        <v>0</v>
      </c>
      <c r="D32" s="51">
        <f>D31-D6</f>
        <v>0</v>
      </c>
    </row>
    <row r="33" spans="1:6" ht="15" customHeight="1" x14ac:dyDescent="0.2">
      <c r="A33" s="47" t="s">
        <v>909</v>
      </c>
    </row>
    <row r="34" spans="1:6" ht="15" customHeight="1" x14ac:dyDescent="0.2">
      <c r="A34" s="12" t="s">
        <v>408</v>
      </c>
      <c r="B34" s="12"/>
      <c r="C34" s="12"/>
      <c r="D34" s="12"/>
      <c r="E34" s="12"/>
      <c r="F34" s="12"/>
    </row>
    <row r="35" spans="1:6" ht="15" customHeight="1" x14ac:dyDescent="0.2">
      <c r="A35" s="14" t="s">
        <v>409</v>
      </c>
      <c r="B35" s="28">
        <v>383</v>
      </c>
      <c r="C35" s="28">
        <v>338</v>
      </c>
      <c r="D35" s="28">
        <v>426</v>
      </c>
      <c r="F35" s="47" t="s">
        <v>410</v>
      </c>
    </row>
    <row r="36" spans="1:6" ht="15" customHeight="1" x14ac:dyDescent="0.2">
      <c r="A36" s="14" t="s">
        <v>411</v>
      </c>
      <c r="B36" s="28">
        <v>-157</v>
      </c>
      <c r="C36" s="28">
        <v>-215</v>
      </c>
      <c r="D36" s="28">
        <v>-445</v>
      </c>
      <c r="F36" s="47" t="s">
        <v>412</v>
      </c>
    </row>
    <row r="37" spans="1:6" ht="15" customHeight="1" x14ac:dyDescent="0.2">
      <c r="A37" s="14" t="s">
        <v>413</v>
      </c>
      <c r="B37" s="28">
        <v>-260</v>
      </c>
      <c r="C37" s="28">
        <v>-164</v>
      </c>
      <c r="D37" s="28">
        <v>-119</v>
      </c>
    </row>
    <row r="39" spans="1:6" ht="15" customHeight="1" x14ac:dyDescent="0.2">
      <c r="A39" s="14" t="s">
        <v>414</v>
      </c>
      <c r="B39" s="28"/>
      <c r="C39" s="28"/>
      <c r="D39" s="28">
        <v>4331</v>
      </c>
      <c r="F39" s="47" t="s">
        <v>415</v>
      </c>
    </row>
    <row r="40" spans="1:6" ht="15" customHeight="1" x14ac:dyDescent="0.2">
      <c r="A40" s="14" t="s">
        <v>416</v>
      </c>
      <c r="B40" s="28"/>
      <c r="C40" s="28"/>
      <c r="D40" s="28">
        <v>2013</v>
      </c>
    </row>
    <row r="41" spans="1:6" ht="15" customHeight="1" x14ac:dyDescent="0.2">
      <c r="A41" s="12" t="s">
        <v>910</v>
      </c>
      <c r="B41" s="12"/>
      <c r="C41" s="12"/>
      <c r="D41" s="12"/>
      <c r="E41" s="12"/>
      <c r="F41" s="12"/>
    </row>
    <row r="42" spans="1:6" ht="15" customHeight="1" x14ac:dyDescent="0.2">
      <c r="A42" s="14" t="s">
        <v>911</v>
      </c>
      <c r="B42" s="28">
        <v>15029</v>
      </c>
      <c r="C42" s="28">
        <v>16130</v>
      </c>
      <c r="D42" s="28">
        <v>17946</v>
      </c>
    </row>
    <row r="43" spans="1:6" ht="15" customHeight="1" x14ac:dyDescent="0.2">
      <c r="A43" s="14" t="s">
        <v>912</v>
      </c>
      <c r="B43" s="28">
        <v>5105</v>
      </c>
      <c r="C43" s="28">
        <v>5649</v>
      </c>
      <c r="D43" s="28">
        <v>5162</v>
      </c>
    </row>
    <row r="44" spans="1:6" ht="15" customHeight="1" x14ac:dyDescent="0.2">
      <c r="A44" s="14" t="s">
        <v>913</v>
      </c>
      <c r="B44" s="28">
        <v>8505</v>
      </c>
      <c r="C44" s="28">
        <v>8235</v>
      </c>
      <c r="D44" s="28">
        <v>8747</v>
      </c>
    </row>
    <row r="45" spans="1:6" ht="15" customHeight="1" x14ac:dyDescent="0.2">
      <c r="A45" s="14" t="s">
        <v>914</v>
      </c>
      <c r="B45" s="28">
        <v>-1313</v>
      </c>
      <c r="C45" s="28">
        <v>-1514</v>
      </c>
      <c r="D45" s="28">
        <v>-1455</v>
      </c>
    </row>
    <row r="46" spans="1:6" ht="15" customHeight="1" x14ac:dyDescent="0.2">
      <c r="A46" s="13" t="s">
        <v>417</v>
      </c>
      <c r="B46" s="30">
        <f>SUM(B42:B45)</f>
        <v>27326</v>
      </c>
      <c r="C46" s="30">
        <f>SUM(C42:C45)</f>
        <v>28500</v>
      </c>
      <c r="D46" s="30">
        <f>SUM(D42:D45)</f>
        <v>30400</v>
      </c>
    </row>
    <row r="47" spans="1:6" ht="15" customHeight="1" x14ac:dyDescent="0.2">
      <c r="A47" s="45" t="s">
        <v>418</v>
      </c>
      <c r="B47" s="51">
        <f>B46-B28</f>
        <v>0</v>
      </c>
      <c r="C47" s="51">
        <f>C46-C28</f>
        <v>0</v>
      </c>
      <c r="D47" s="51">
        <f>D46-D28</f>
        <v>0</v>
      </c>
    </row>
    <row r="48" spans="1:6" ht="15" customHeight="1" x14ac:dyDescent="0.2">
      <c r="A48" s="14" t="s">
        <v>915</v>
      </c>
      <c r="B48" s="28">
        <v>5145</v>
      </c>
      <c r="C48" s="28">
        <v>5601</v>
      </c>
      <c r="D48" s="28">
        <v>6173</v>
      </c>
    </row>
    <row r="49" spans="1:6" ht="15" customHeight="1" x14ac:dyDescent="0.2">
      <c r="A49" s="14" t="s">
        <v>916</v>
      </c>
      <c r="B49" s="28">
        <v>744</v>
      </c>
      <c r="C49" s="28">
        <v>894</v>
      </c>
      <c r="D49" s="28">
        <v>362</v>
      </c>
    </row>
    <row r="50" spans="1:6" ht="15" customHeight="1" x14ac:dyDescent="0.2">
      <c r="A50" s="14" t="s">
        <v>917</v>
      </c>
      <c r="B50" s="28">
        <v>1085</v>
      </c>
      <c r="C50" s="28">
        <v>1051</v>
      </c>
      <c r="D50" s="28">
        <v>962</v>
      </c>
    </row>
    <row r="51" spans="1:6" ht="15" customHeight="1" x14ac:dyDescent="0.2">
      <c r="A51" s="14" t="s">
        <v>918</v>
      </c>
      <c r="B51" s="28">
        <v>-377</v>
      </c>
      <c r="C51" s="28">
        <v>-373</v>
      </c>
      <c r="D51" s="28">
        <v>-465</v>
      </c>
    </row>
    <row r="52" spans="1:6" ht="15" customHeight="1" x14ac:dyDescent="0.2">
      <c r="A52" s="13" t="s">
        <v>419</v>
      </c>
      <c r="B52" s="30">
        <f>SUM(B48:B51)</f>
        <v>6597</v>
      </c>
      <c r="C52" s="30">
        <f>SUM(C48:C51)</f>
        <v>7173</v>
      </c>
      <c r="D52" s="30">
        <f>SUM(D48:D51)</f>
        <v>7032</v>
      </c>
    </row>
    <row r="53" spans="1:6" ht="15" customHeight="1" x14ac:dyDescent="0.2">
      <c r="A53" s="12" t="s">
        <v>420</v>
      </c>
      <c r="B53" s="12"/>
      <c r="C53" s="12"/>
      <c r="D53" s="12"/>
      <c r="E53" s="12"/>
      <c r="F53" s="12"/>
    </row>
    <row r="54" spans="1:6" ht="15" customHeight="1" x14ac:dyDescent="0.2">
      <c r="A54" s="14" t="s">
        <v>421</v>
      </c>
      <c r="D54" s="28">
        <v>57341</v>
      </c>
      <c r="F54" s="47" t="s">
        <v>385</v>
      </c>
    </row>
    <row r="55" spans="1:6" ht="15" customHeight="1" x14ac:dyDescent="0.2">
      <c r="A55" s="14" t="s">
        <v>422</v>
      </c>
      <c r="D55" s="28">
        <v>26337</v>
      </c>
    </row>
    <row r="56" spans="1:6" ht="15" customHeight="1" x14ac:dyDescent="0.2">
      <c r="A56" s="14" t="s">
        <v>423</v>
      </c>
      <c r="D56" s="28">
        <v>19208</v>
      </c>
    </row>
    <row r="57" spans="1:6" ht="15" customHeight="1" x14ac:dyDescent="0.2">
      <c r="A57" s="14" t="s">
        <v>279</v>
      </c>
      <c r="D57" s="28">
        <v>20793</v>
      </c>
    </row>
    <row r="58" spans="1:6" ht="15" customHeight="1" x14ac:dyDescent="0.2">
      <c r="A58" s="14" t="s">
        <v>424</v>
      </c>
      <c r="C58" s="28">
        <v>7584</v>
      </c>
      <c r="D58" s="28">
        <v>3111</v>
      </c>
    </row>
    <row r="59" spans="1:6" ht="15" customHeight="1" x14ac:dyDescent="0.2">
      <c r="A59" s="14" t="s">
        <v>425</v>
      </c>
      <c r="D59" s="28">
        <v>470</v>
      </c>
    </row>
    <row r="61" spans="1:6" ht="15" customHeight="1" x14ac:dyDescent="0.2">
      <c r="A61" s="13" t="s">
        <v>335</v>
      </c>
      <c r="B61" s="54" t="str">
        <f>IF(AND(ABS(B26)&lt;1,ABS(C26)&lt;1,ABS(D26)&lt;1,ABS(B32)&lt;1,ABS(C32)&lt;1,ABS(D32)&lt;1,ABS(B47)&lt;1,ABS(C47)&lt;1,ABS(D47)&lt;1),"OK","CHECK")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0"/>
  <sheetViews>
    <sheetView showGridLines="0" zoomScaleNormal="100" workbookViewId="0">
      <selection activeCell="O14" sqref="O14"/>
    </sheetView>
  </sheetViews>
  <sheetFormatPr baseColWidth="10" defaultColWidth="8.6640625" defaultRowHeight="15" x14ac:dyDescent="0.2"/>
  <cols>
    <col min="1" max="1" width="44" customWidth="1"/>
    <col min="2" max="9" width="12" customWidth="1"/>
  </cols>
  <sheetData>
    <row r="1" spans="1:10" ht="15.75" customHeight="1" x14ac:dyDescent="0.2">
      <c r="A1" s="26" t="s">
        <v>920</v>
      </c>
      <c r="B1" s="2"/>
      <c r="C1" s="2"/>
      <c r="D1" s="2"/>
      <c r="E1" s="2"/>
      <c r="F1" s="2"/>
      <c r="G1" s="2"/>
      <c r="H1" s="2"/>
      <c r="I1" s="27"/>
      <c r="J1" s="27"/>
    </row>
    <row r="2" spans="1:10" ht="15" customHeight="1" x14ac:dyDescent="0.2">
      <c r="A2" s="10" t="s">
        <v>426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ht="15" customHeight="1" x14ac:dyDescent="0.2">
      <c r="A4" s="37" t="s">
        <v>217</v>
      </c>
      <c r="B4" s="38" t="s">
        <v>337</v>
      </c>
      <c r="C4" s="38" t="s">
        <v>159</v>
      </c>
      <c r="D4" s="38" t="s">
        <v>160</v>
      </c>
      <c r="E4" s="38" t="s">
        <v>161</v>
      </c>
      <c r="F4" s="38" t="s">
        <v>162</v>
      </c>
      <c r="G4" s="38" t="s">
        <v>163</v>
      </c>
      <c r="H4" s="37" t="s">
        <v>338</v>
      </c>
      <c r="I4" s="27"/>
      <c r="J4" s="27"/>
    </row>
    <row r="5" spans="1:10" ht="15" customHeight="1" x14ac:dyDescent="0.2">
      <c r="A5" s="12" t="s">
        <v>427</v>
      </c>
      <c r="B5" s="12"/>
      <c r="C5" s="12"/>
      <c r="D5" s="12"/>
      <c r="E5" s="12"/>
      <c r="F5" s="12"/>
      <c r="G5" s="12"/>
      <c r="H5" s="12"/>
      <c r="I5" s="27"/>
      <c r="J5" s="27"/>
    </row>
    <row r="6" spans="1:10" ht="15" customHeight="1" x14ac:dyDescent="0.2">
      <c r="A6" s="14" t="s">
        <v>921</v>
      </c>
      <c r="B6" s="27"/>
      <c r="C6" s="19">
        <f>ASSUMPTIONS!F52</f>
        <v>0.05</v>
      </c>
      <c r="D6" s="19">
        <f>ASSUMPTIONS!F52</f>
        <v>0.05</v>
      </c>
      <c r="E6" s="19">
        <f>ASSUMPTIONS!F52</f>
        <v>0.05</v>
      </c>
      <c r="F6" s="19">
        <f>ASSUMPTIONS!F52</f>
        <v>0.05</v>
      </c>
      <c r="G6" s="19">
        <f>ASSUMPTIONS!F52</f>
        <v>0.05</v>
      </c>
      <c r="H6" s="29" t="s">
        <v>428</v>
      </c>
      <c r="I6" s="27"/>
      <c r="J6" s="27"/>
    </row>
    <row r="7" spans="1:10" ht="15" customHeight="1" x14ac:dyDescent="0.2">
      <c r="A7" s="14" t="s">
        <v>429</v>
      </c>
      <c r="B7" s="52">
        <f>FOX_HIST!D6-FOX_HIST!D44</f>
        <v>12104</v>
      </c>
      <c r="C7" s="52">
        <f>B7*(1+C6)</f>
        <v>12709.2</v>
      </c>
      <c r="D7" s="52">
        <f>C7*(1+D6)</f>
        <v>13344.660000000002</v>
      </c>
      <c r="E7" s="52">
        <f>D7*(1+E6)</f>
        <v>14011.893000000002</v>
      </c>
      <c r="F7" s="52">
        <f>E7*(1+F6)</f>
        <v>14712.487650000003</v>
      </c>
      <c r="G7" s="52">
        <f>F7*(1+G6)</f>
        <v>15448.112032500003</v>
      </c>
      <c r="H7" s="29" t="s">
        <v>430</v>
      </c>
      <c r="I7" s="27"/>
      <c r="J7" s="27"/>
    </row>
    <row r="8" spans="1:10" ht="15" customHeight="1" x14ac:dyDescent="0.2">
      <c r="A8" s="14" t="s">
        <v>922</v>
      </c>
      <c r="B8" s="27"/>
      <c r="C8" s="19">
        <f>ASSUMPTIONS!F53</f>
        <v>0.03</v>
      </c>
      <c r="D8" s="19">
        <f>ASSUMPTIONS!F53</f>
        <v>0.03</v>
      </c>
      <c r="E8" s="19">
        <f>ASSUMPTIONS!F53</f>
        <v>0.03</v>
      </c>
      <c r="F8" s="19">
        <f>ASSUMPTIONS!F53</f>
        <v>0.03</v>
      </c>
      <c r="G8" s="19">
        <f>ASSUMPTIONS!F53</f>
        <v>0.03</v>
      </c>
      <c r="H8" s="29" t="s">
        <v>431</v>
      </c>
      <c r="I8" s="27"/>
      <c r="J8" s="27"/>
    </row>
    <row r="9" spans="1:10" ht="15" customHeight="1" x14ac:dyDescent="0.2">
      <c r="A9" s="14" t="s">
        <v>923</v>
      </c>
      <c r="B9" s="18">
        <f>FOX_HIST!D44</f>
        <v>8747</v>
      </c>
      <c r="C9" s="52">
        <f>B9*(1+C8)</f>
        <v>9009.41</v>
      </c>
      <c r="D9" s="52">
        <f>C9*(1+D8)</f>
        <v>9279.6923000000006</v>
      </c>
      <c r="E9" s="52">
        <f>D9*(1+E8)</f>
        <v>9558.0830690000003</v>
      </c>
      <c r="F9" s="52">
        <f>E9*(1+F8)</f>
        <v>9844.8255610699998</v>
      </c>
      <c r="G9" s="52">
        <f>F9*(1+G8)</f>
        <v>10140.1703279021</v>
      </c>
      <c r="H9" s="27"/>
      <c r="I9" s="27"/>
      <c r="J9" s="27"/>
    </row>
    <row r="10" spans="1:10" ht="15" customHeight="1" x14ac:dyDescent="0.2">
      <c r="A10" s="13" t="s">
        <v>349</v>
      </c>
      <c r="B10" s="48">
        <f t="shared" ref="B10:G10" si="0">B7+B9</f>
        <v>20851</v>
      </c>
      <c r="C10" s="48">
        <f t="shared" si="0"/>
        <v>21718.61</v>
      </c>
      <c r="D10" s="48">
        <f t="shared" si="0"/>
        <v>22624.352300000002</v>
      </c>
      <c r="E10" s="48">
        <f t="shared" si="0"/>
        <v>23569.976069000004</v>
      </c>
      <c r="F10" s="48">
        <f t="shared" si="0"/>
        <v>24557.313211070003</v>
      </c>
      <c r="G10" s="48">
        <f t="shared" si="0"/>
        <v>25588.282360402103</v>
      </c>
      <c r="H10" s="27"/>
      <c r="I10" s="27"/>
      <c r="J10" s="27"/>
    </row>
    <row r="11" spans="1:10" ht="15" customHeight="1" x14ac:dyDescent="0.2">
      <c r="A11" s="12" t="s">
        <v>432</v>
      </c>
      <c r="B11" s="12"/>
      <c r="C11" s="12"/>
      <c r="D11" s="12"/>
      <c r="E11" s="12"/>
      <c r="F11" s="12"/>
      <c r="G11" s="12"/>
      <c r="H11" s="12"/>
      <c r="I11" s="27"/>
      <c r="J11" s="27"/>
    </row>
    <row r="12" spans="1:10" ht="15" customHeight="1" x14ac:dyDescent="0.2">
      <c r="A12" s="14" t="s">
        <v>433</v>
      </c>
      <c r="B12" s="55">
        <f>FOX_HIST!D9/FOX_HIST!D6</f>
        <v>0.20262817131072849</v>
      </c>
      <c r="C12" s="19">
        <f>ASSUMPTIONS!F54</f>
        <v>0.20499999999999999</v>
      </c>
      <c r="D12" s="19">
        <f>ASSUMPTIONS!F54</f>
        <v>0.20499999999999999</v>
      </c>
      <c r="E12" s="19">
        <f>ASSUMPTIONS!F54</f>
        <v>0.20499999999999999</v>
      </c>
      <c r="F12" s="19">
        <f>ASSUMPTIONS!F54</f>
        <v>0.20499999999999999</v>
      </c>
      <c r="G12" s="19">
        <f>ASSUMPTIONS!F54</f>
        <v>0.20499999999999999</v>
      </c>
      <c r="H12" s="29" t="s">
        <v>434</v>
      </c>
      <c r="I12" s="27"/>
      <c r="J12" s="27"/>
    </row>
    <row r="13" spans="1:10" ht="15" customHeight="1" x14ac:dyDescent="0.2">
      <c r="A13" s="14" t="s">
        <v>924</v>
      </c>
      <c r="B13" s="52">
        <f t="shared" ref="B13:G13" si="1">B7*B12</f>
        <v>2452.6113855450576</v>
      </c>
      <c r="C13" s="52">
        <f t="shared" si="1"/>
        <v>2605.386</v>
      </c>
      <c r="D13" s="52">
        <f t="shared" si="1"/>
        <v>2735.6553000000004</v>
      </c>
      <c r="E13" s="52">
        <f t="shared" si="1"/>
        <v>2872.4380650000003</v>
      </c>
      <c r="F13" s="52">
        <f t="shared" si="1"/>
        <v>3016.0599682500006</v>
      </c>
      <c r="G13" s="52">
        <f t="shared" si="1"/>
        <v>3166.8629666625002</v>
      </c>
      <c r="H13" s="27"/>
      <c r="I13" s="27"/>
      <c r="J13" s="27"/>
    </row>
    <row r="14" spans="1:10" ht="15" customHeight="1" x14ac:dyDescent="0.2">
      <c r="A14" s="14" t="s">
        <v>925</v>
      </c>
      <c r="B14" s="52">
        <f t="shared" ref="B14:G14" si="2">B9*B12</f>
        <v>1772.3886144549422</v>
      </c>
      <c r="C14" s="52">
        <f t="shared" si="2"/>
        <v>1846.92905</v>
      </c>
      <c r="D14" s="52">
        <f t="shared" si="2"/>
        <v>1902.3369215</v>
      </c>
      <c r="E14" s="52">
        <f t="shared" si="2"/>
        <v>1959.407029145</v>
      </c>
      <c r="F14" s="52">
        <f t="shared" si="2"/>
        <v>2018.1892400193499</v>
      </c>
      <c r="G14" s="52">
        <f t="shared" si="2"/>
        <v>2078.7349172199306</v>
      </c>
    </row>
    <row r="15" spans="1:10" ht="15" customHeight="1" x14ac:dyDescent="0.2">
      <c r="A15" s="13" t="s">
        <v>435</v>
      </c>
      <c r="B15" s="48">
        <f t="shared" ref="B15:G15" si="3">B13+B14</f>
        <v>4225</v>
      </c>
      <c r="C15" s="48">
        <f t="shared" si="3"/>
        <v>4452.3150500000002</v>
      </c>
      <c r="D15" s="48">
        <f t="shared" si="3"/>
        <v>4637.9922215000006</v>
      </c>
      <c r="E15" s="48">
        <f t="shared" si="3"/>
        <v>4831.8450941450001</v>
      </c>
      <c r="F15" s="48">
        <f t="shared" si="3"/>
        <v>5034.2492082693507</v>
      </c>
      <c r="G15" s="48">
        <f t="shared" si="3"/>
        <v>5245.5978838824303</v>
      </c>
    </row>
    <row r="16" spans="1:10" ht="15" customHeight="1" x14ac:dyDescent="0.2">
      <c r="A16" s="12" t="s">
        <v>436</v>
      </c>
      <c r="B16" s="12"/>
      <c r="C16" s="12"/>
      <c r="D16" s="12"/>
      <c r="E16" s="12"/>
      <c r="F16" s="12"/>
      <c r="G16" s="12"/>
      <c r="H16" s="12"/>
    </row>
    <row r="17" spans="1:8" ht="15" customHeight="1" x14ac:dyDescent="0.2">
      <c r="A17" s="14" t="s">
        <v>354</v>
      </c>
      <c r="B17" s="52">
        <f>FOX_HIST!D10</f>
        <v>-413</v>
      </c>
      <c r="C17" s="52">
        <f>-C10*ASSUMPTIONS!$F$55</f>
        <v>-434.37220000000002</v>
      </c>
      <c r="D17" s="52">
        <f>-D10*ASSUMPTIONS!$F$55</f>
        <v>-452.48704600000008</v>
      </c>
      <c r="E17" s="52">
        <f>-E10*ASSUMPTIONS!$F$55</f>
        <v>-471.39952138000007</v>
      </c>
      <c r="F17" s="52">
        <f>-F10*ASSUMPTIONS!$F$55</f>
        <v>-491.14626422140009</v>
      </c>
      <c r="G17" s="52">
        <f>-G10*ASSUMPTIONS!$F$55</f>
        <v>-511.76564720804208</v>
      </c>
      <c r="H17" s="29" t="s">
        <v>355</v>
      </c>
    </row>
    <row r="18" spans="1:8" ht="15" customHeight="1" x14ac:dyDescent="0.2">
      <c r="A18" s="14" t="s">
        <v>437</v>
      </c>
      <c r="B18" s="52">
        <f>FOX_HIST!D11</f>
        <v>-56</v>
      </c>
      <c r="C18" s="28" t="s">
        <v>358</v>
      </c>
      <c r="D18" s="28" t="s">
        <v>358</v>
      </c>
      <c r="E18" s="28" t="s">
        <v>358</v>
      </c>
      <c r="F18" s="28" t="s">
        <v>358</v>
      </c>
      <c r="G18" s="28" t="s">
        <v>358</v>
      </c>
      <c r="H18" s="29" t="s">
        <v>359</v>
      </c>
    </row>
    <row r="19" spans="1:8" ht="15" customHeight="1" x14ac:dyDescent="0.2">
      <c r="A19" s="13" t="s">
        <v>390</v>
      </c>
      <c r="B19" s="48">
        <f t="shared" ref="B19:G19" si="4">B15+B17+B18</f>
        <v>3756</v>
      </c>
      <c r="C19" s="48">
        <f t="shared" si="4"/>
        <v>4017.9428500000004</v>
      </c>
      <c r="D19" s="48">
        <f t="shared" si="4"/>
        <v>4185.5051755000004</v>
      </c>
      <c r="E19" s="48">
        <f t="shared" si="4"/>
        <v>4360.4455727650002</v>
      </c>
      <c r="F19" s="48">
        <f t="shared" si="4"/>
        <v>4543.1029440479506</v>
      </c>
      <c r="G19" s="48">
        <f t="shared" si="4"/>
        <v>4733.8322366743887</v>
      </c>
    </row>
    <row r="20" spans="1:8" ht="15" customHeight="1" x14ac:dyDescent="0.2">
      <c r="A20" s="13" t="s">
        <v>356</v>
      </c>
      <c r="B20" s="30">
        <f t="shared" ref="B20:G20" si="5">B19-B17</f>
        <v>4169</v>
      </c>
      <c r="C20" s="30">
        <f t="shared" si="5"/>
        <v>4452.3150500000002</v>
      </c>
      <c r="D20" s="30">
        <f t="shared" si="5"/>
        <v>4637.9922215000006</v>
      </c>
      <c r="E20" s="30">
        <f t="shared" si="5"/>
        <v>4831.8450941450001</v>
      </c>
      <c r="F20" s="30">
        <f t="shared" si="5"/>
        <v>5034.2492082693507</v>
      </c>
      <c r="G20" s="30">
        <f t="shared" si="5"/>
        <v>5245.5978838824303</v>
      </c>
      <c r="H20" s="29" t="s">
        <v>438</v>
      </c>
    </row>
    <row r="21" spans="1:8" ht="15" customHeight="1" x14ac:dyDescent="0.2">
      <c r="A21" s="14" t="s">
        <v>926</v>
      </c>
      <c r="B21" s="52">
        <f>FOX_HIST!D13</f>
        <v>-563</v>
      </c>
      <c r="C21" s="18">
        <f>ASSUMPTIONS!$F$57</f>
        <v>-600</v>
      </c>
      <c r="D21" s="18">
        <f>ASSUMPTIONS!$F$57</f>
        <v>-600</v>
      </c>
      <c r="E21" s="18">
        <f>ASSUMPTIONS!$F$57</f>
        <v>-600</v>
      </c>
      <c r="F21" s="18">
        <f>ASSUMPTIONS!$F$57</f>
        <v>-600</v>
      </c>
      <c r="G21" s="18">
        <f>ASSUMPTIONS!$F$57</f>
        <v>-600</v>
      </c>
      <c r="H21" s="29" t="s">
        <v>439</v>
      </c>
    </row>
    <row r="22" spans="1:8" ht="15" customHeight="1" x14ac:dyDescent="0.2">
      <c r="A22" s="14" t="s">
        <v>927</v>
      </c>
      <c r="B22" s="52">
        <f>FOX_HIST!D56</f>
        <v>19208</v>
      </c>
      <c r="C22" s="52">
        <f>$B$22</f>
        <v>19208</v>
      </c>
      <c r="D22" s="52">
        <f>$B$22</f>
        <v>19208</v>
      </c>
      <c r="E22" s="52">
        <f>$B$22</f>
        <v>19208</v>
      </c>
      <c r="F22" s="52">
        <f>$B$22</f>
        <v>19208</v>
      </c>
      <c r="G22" s="52">
        <f>$B$22</f>
        <v>19208</v>
      </c>
      <c r="H22" s="29" t="s">
        <v>440</v>
      </c>
    </row>
    <row r="23" spans="1:8" ht="15" customHeight="1" x14ac:dyDescent="0.2">
      <c r="A23" s="14" t="s">
        <v>928</v>
      </c>
      <c r="C23" s="19">
        <f>ASSUMPTIONS!$F$58</f>
        <v>0.06</v>
      </c>
      <c r="D23" s="19">
        <f>ASSUMPTIONS!$F$58</f>
        <v>0.06</v>
      </c>
      <c r="E23" s="19">
        <f>ASSUMPTIONS!$F$58</f>
        <v>0.06</v>
      </c>
      <c r="F23" s="19">
        <f>ASSUMPTIONS!$F$58</f>
        <v>0.06</v>
      </c>
      <c r="G23" s="19">
        <f>ASSUMPTIONS!$F$58</f>
        <v>0.06</v>
      </c>
    </row>
    <row r="24" spans="1:8" ht="15" customHeight="1" x14ac:dyDescent="0.2">
      <c r="A24" s="14" t="s">
        <v>363</v>
      </c>
      <c r="B24" s="52">
        <f>FOX_HIST!D14</f>
        <v>-1205</v>
      </c>
      <c r="C24" s="52">
        <f>-C22*C23</f>
        <v>-1152.48</v>
      </c>
      <c r="D24" s="52">
        <f>-D22*D23</f>
        <v>-1152.48</v>
      </c>
      <c r="E24" s="52">
        <f>-E22*E23</f>
        <v>-1152.48</v>
      </c>
      <c r="F24" s="52">
        <f>-F22*F23</f>
        <v>-1152.48</v>
      </c>
      <c r="G24" s="52">
        <f>-G22*G23</f>
        <v>-1152.48</v>
      </c>
    </row>
    <row r="25" spans="1:8" ht="15" customHeight="1" x14ac:dyDescent="0.2">
      <c r="A25" s="14" t="s">
        <v>392</v>
      </c>
      <c r="B25" s="52">
        <f>FOX_HIST!D15</f>
        <v>39</v>
      </c>
      <c r="C25" s="28" t="s">
        <v>358</v>
      </c>
      <c r="D25" s="28" t="s">
        <v>358</v>
      </c>
      <c r="E25" s="28" t="s">
        <v>358</v>
      </c>
      <c r="F25" s="28" t="s">
        <v>358</v>
      </c>
      <c r="G25" s="28" t="s">
        <v>358</v>
      </c>
    </row>
    <row r="26" spans="1:8" ht="15" customHeight="1" x14ac:dyDescent="0.2">
      <c r="A26" s="14" t="s">
        <v>393</v>
      </c>
      <c r="B26" s="52">
        <f>FOX_HIST!D16</f>
        <v>-571</v>
      </c>
      <c r="C26" s="28" t="s">
        <v>358</v>
      </c>
      <c r="D26" s="28" t="s">
        <v>358</v>
      </c>
      <c r="E26" s="28" t="s">
        <v>358</v>
      </c>
      <c r="F26" s="28" t="s">
        <v>358</v>
      </c>
      <c r="G26" s="28" t="s">
        <v>358</v>
      </c>
    </row>
    <row r="27" spans="1:8" ht="15" customHeight="1" x14ac:dyDescent="0.2">
      <c r="A27" s="13" t="s">
        <v>364</v>
      </c>
      <c r="B27" s="48">
        <f t="shared" ref="B27:G27" si="6">B19+B21+B24+B25+B26</f>
        <v>1456</v>
      </c>
      <c r="C27" s="48">
        <f t="shared" si="6"/>
        <v>2265.4628500000003</v>
      </c>
      <c r="D27" s="48">
        <f t="shared" si="6"/>
        <v>2433.0251755000004</v>
      </c>
      <c r="E27" s="48">
        <f t="shared" si="6"/>
        <v>2607.9655727650002</v>
      </c>
      <c r="F27" s="48">
        <f t="shared" si="6"/>
        <v>2790.6229440479506</v>
      </c>
      <c r="G27" s="48">
        <f t="shared" si="6"/>
        <v>2981.3522366743887</v>
      </c>
    </row>
    <row r="28" spans="1:8" ht="15" customHeight="1" x14ac:dyDescent="0.2">
      <c r="A28" s="14" t="s">
        <v>901</v>
      </c>
      <c r="C28" s="19">
        <f>ASSUMPTIONS!$F$59</f>
        <v>0.24</v>
      </c>
      <c r="D28" s="19">
        <f>ASSUMPTIONS!$F$59</f>
        <v>0.24</v>
      </c>
      <c r="E28" s="19">
        <f>ASSUMPTIONS!$F$59</f>
        <v>0.24</v>
      </c>
      <c r="F28" s="19">
        <f>ASSUMPTIONS!$F$59</f>
        <v>0.24</v>
      </c>
      <c r="G28" s="19">
        <f>ASSUMPTIONS!$F$59</f>
        <v>0.24</v>
      </c>
    </row>
    <row r="29" spans="1:8" ht="15" customHeight="1" x14ac:dyDescent="0.2">
      <c r="A29" s="14" t="s">
        <v>441</v>
      </c>
      <c r="B29" s="52">
        <f>FOX_HIST!D18</f>
        <v>196</v>
      </c>
      <c r="C29" s="52">
        <f>-C27*C28</f>
        <v>-543.71108400000003</v>
      </c>
      <c r="D29" s="52">
        <f>-D27*D28</f>
        <v>-583.92604212000003</v>
      </c>
      <c r="E29" s="52">
        <f>-E27*E28</f>
        <v>-625.91173746360005</v>
      </c>
      <c r="F29" s="52">
        <f>-F27*F28</f>
        <v>-669.74950657150816</v>
      </c>
      <c r="G29" s="52">
        <f>-G27*G28</f>
        <v>-715.52453680185329</v>
      </c>
      <c r="H29" s="29" t="s">
        <v>365</v>
      </c>
    </row>
    <row r="30" spans="1:8" ht="15" customHeight="1" x14ac:dyDescent="0.2">
      <c r="A30" s="13" t="s">
        <v>396</v>
      </c>
      <c r="B30" s="30">
        <f t="shared" ref="B30:G30" si="7">B27+B29</f>
        <v>1652</v>
      </c>
      <c r="C30" s="30">
        <f t="shared" si="7"/>
        <v>1721.7517660000003</v>
      </c>
      <c r="D30" s="30">
        <f t="shared" si="7"/>
        <v>1849.0991333800002</v>
      </c>
      <c r="E30" s="30">
        <f t="shared" si="7"/>
        <v>1982.0538353014001</v>
      </c>
      <c r="F30" s="30">
        <f t="shared" si="7"/>
        <v>2120.8734374764426</v>
      </c>
      <c r="G30" s="30">
        <f t="shared" si="7"/>
        <v>2265.8276998725355</v>
      </c>
    </row>
    <row r="31" spans="1:8" ht="15" customHeight="1" x14ac:dyDescent="0.2">
      <c r="A31" s="14" t="s">
        <v>366</v>
      </c>
      <c r="B31" s="52">
        <f>FOX_HIST!D20</f>
        <v>-257</v>
      </c>
      <c r="C31" s="52">
        <f>C30*($B$31/$B$30)</f>
        <v>-267.85121299152547</v>
      </c>
      <c r="D31" s="52">
        <f>D30*($B$31/$B$30)</f>
        <v>-287.6625165125061</v>
      </c>
      <c r="E31" s="52">
        <f>E30*($B$31/$B$30)</f>
        <v>-308.34614750148904</v>
      </c>
      <c r="F31" s="52">
        <f>F30*($B$31/$B$30)</f>
        <v>-329.94217520063307</v>
      </c>
      <c r="G31" s="52">
        <f>G30*($B$31/$B$30)</f>
        <v>-352.49256590026738</v>
      </c>
    </row>
    <row r="32" spans="1:8" ht="15" customHeight="1" x14ac:dyDescent="0.2">
      <c r="A32" s="13" t="s">
        <v>397</v>
      </c>
      <c r="B32" s="48">
        <f t="shared" ref="B32:G32" si="8">B30+B31</f>
        <v>1395</v>
      </c>
      <c r="C32" s="48">
        <f t="shared" si="8"/>
        <v>1453.9005530084748</v>
      </c>
      <c r="D32" s="48">
        <f t="shared" si="8"/>
        <v>1561.4366168674942</v>
      </c>
      <c r="E32" s="48">
        <f t="shared" si="8"/>
        <v>1673.7076877999111</v>
      </c>
      <c r="F32" s="48">
        <f t="shared" si="8"/>
        <v>1790.9312622758096</v>
      </c>
      <c r="G32" s="48">
        <f t="shared" si="8"/>
        <v>1913.3351339722681</v>
      </c>
    </row>
    <row r="33" spans="1:8" ht="15" customHeight="1" x14ac:dyDescent="0.2">
      <c r="A33" s="12" t="s">
        <v>369</v>
      </c>
      <c r="B33" s="12"/>
      <c r="C33" s="12"/>
      <c r="D33" s="12"/>
      <c r="E33" s="12"/>
      <c r="F33" s="12"/>
      <c r="G33" s="12"/>
      <c r="H33" s="12"/>
    </row>
    <row r="34" spans="1:8" ht="15" customHeight="1" x14ac:dyDescent="0.2">
      <c r="A34" s="13" t="s">
        <v>442</v>
      </c>
      <c r="B34" s="30">
        <f t="shared" ref="B34:G34" si="9">B10</f>
        <v>20851</v>
      </c>
      <c r="C34" s="30">
        <f t="shared" si="9"/>
        <v>21718.61</v>
      </c>
      <c r="D34" s="30">
        <f t="shared" si="9"/>
        <v>22624.352300000002</v>
      </c>
      <c r="E34" s="30">
        <f t="shared" si="9"/>
        <v>23569.976069000004</v>
      </c>
      <c r="F34" s="30">
        <f t="shared" si="9"/>
        <v>24557.313211070003</v>
      </c>
      <c r="G34" s="30">
        <f t="shared" si="9"/>
        <v>25588.282360402103</v>
      </c>
    </row>
    <row r="35" spans="1:8" ht="15" customHeight="1" x14ac:dyDescent="0.2">
      <c r="A35" s="13" t="s">
        <v>443</v>
      </c>
      <c r="B35" s="30">
        <f t="shared" ref="B35:G35" si="10">B15</f>
        <v>4225</v>
      </c>
      <c r="C35" s="30">
        <f t="shared" si="10"/>
        <v>4452.3150500000002</v>
      </c>
      <c r="D35" s="30">
        <f t="shared" si="10"/>
        <v>4637.9922215000006</v>
      </c>
      <c r="E35" s="30">
        <f t="shared" si="10"/>
        <v>4831.8450941450001</v>
      </c>
      <c r="F35" s="30">
        <f t="shared" si="10"/>
        <v>5034.2492082693507</v>
      </c>
      <c r="G35" s="30">
        <f t="shared" si="10"/>
        <v>5245.5978838824303</v>
      </c>
    </row>
    <row r="36" spans="1:8" ht="15" customHeight="1" x14ac:dyDescent="0.2">
      <c r="A36" s="13" t="s">
        <v>356</v>
      </c>
      <c r="B36" s="30">
        <f t="shared" ref="B36:G36" si="11">B20</f>
        <v>4169</v>
      </c>
      <c r="C36" s="30">
        <f t="shared" si="11"/>
        <v>4452.3150500000002</v>
      </c>
      <c r="D36" s="30">
        <f t="shared" si="11"/>
        <v>4637.9922215000006</v>
      </c>
      <c r="E36" s="30">
        <f t="shared" si="11"/>
        <v>4831.8450941450001</v>
      </c>
      <c r="F36" s="30">
        <f t="shared" si="11"/>
        <v>5034.2492082693507</v>
      </c>
      <c r="G36" s="30">
        <f t="shared" si="11"/>
        <v>5245.5978838824303</v>
      </c>
    </row>
    <row r="37" spans="1:8" ht="15" customHeight="1" x14ac:dyDescent="0.2">
      <c r="A37" s="13" t="s">
        <v>370</v>
      </c>
      <c r="B37" s="30">
        <f t="shared" ref="B37:G37" si="12">B19</f>
        <v>3756</v>
      </c>
      <c r="C37" s="30">
        <f t="shared" si="12"/>
        <v>4017.9428500000004</v>
      </c>
      <c r="D37" s="30">
        <f t="shared" si="12"/>
        <v>4185.5051755000004</v>
      </c>
      <c r="E37" s="30">
        <f t="shared" si="12"/>
        <v>4360.4455727650002</v>
      </c>
      <c r="F37" s="30">
        <f t="shared" si="12"/>
        <v>4543.1029440479506</v>
      </c>
      <c r="G37" s="30">
        <f t="shared" si="12"/>
        <v>4733.8322366743887</v>
      </c>
    </row>
    <row r="38" spans="1:8" ht="15" customHeight="1" x14ac:dyDescent="0.2">
      <c r="A38" s="13" t="s">
        <v>371</v>
      </c>
      <c r="B38" s="30">
        <f t="shared" ref="B38:G38" si="13">B27</f>
        <v>1456</v>
      </c>
      <c r="C38" s="30">
        <f t="shared" si="13"/>
        <v>2265.4628500000003</v>
      </c>
      <c r="D38" s="30">
        <f t="shared" si="13"/>
        <v>2433.0251755000004</v>
      </c>
      <c r="E38" s="30">
        <f t="shared" si="13"/>
        <v>2607.9655727650002</v>
      </c>
      <c r="F38" s="30">
        <f t="shared" si="13"/>
        <v>2790.6229440479506</v>
      </c>
      <c r="G38" s="30">
        <f t="shared" si="13"/>
        <v>2981.3522366743887</v>
      </c>
    </row>
    <row r="39" spans="1:8" ht="15" customHeight="1" x14ac:dyDescent="0.2">
      <c r="A39" s="13" t="s">
        <v>397</v>
      </c>
      <c r="B39" s="30">
        <f t="shared" ref="B39:G39" si="14">B32</f>
        <v>1395</v>
      </c>
      <c r="C39" s="30">
        <f t="shared" si="14"/>
        <v>1453.9005530084748</v>
      </c>
      <c r="D39" s="30">
        <f t="shared" si="14"/>
        <v>1561.4366168674942</v>
      </c>
      <c r="E39" s="30">
        <f t="shared" si="14"/>
        <v>1673.7076877999111</v>
      </c>
      <c r="F39" s="30">
        <f t="shared" si="14"/>
        <v>1790.9312622758096</v>
      </c>
      <c r="G39" s="30">
        <f t="shared" si="14"/>
        <v>1913.3351339722681</v>
      </c>
    </row>
    <row r="40" spans="1:8" ht="15" customHeight="1" x14ac:dyDescent="0.2">
      <c r="A40" s="12" t="s">
        <v>317</v>
      </c>
      <c r="B40" s="12"/>
      <c r="C40" s="12"/>
      <c r="D40" s="12"/>
      <c r="E40" s="12"/>
      <c r="F40" s="12"/>
      <c r="G40" s="12"/>
      <c r="H40" s="12"/>
    </row>
    <row r="41" spans="1:8" ht="15" customHeight="1" x14ac:dyDescent="0.2">
      <c r="A41" s="14" t="s">
        <v>902</v>
      </c>
      <c r="C41" s="19">
        <f>ASSUMPTIONS!$F$55</f>
        <v>0.02</v>
      </c>
      <c r="D41" s="19">
        <f>ASSUMPTIONS!$F$55</f>
        <v>0.02</v>
      </c>
      <c r="E41" s="19">
        <f>ASSUMPTIONS!$F$55</f>
        <v>0.02</v>
      </c>
      <c r="F41" s="19">
        <f>ASSUMPTIONS!$F$55</f>
        <v>0.02</v>
      </c>
      <c r="G41" s="19">
        <f>ASSUMPTIONS!$F$55</f>
        <v>0.02</v>
      </c>
    </row>
    <row r="42" spans="1:8" ht="15" customHeight="1" x14ac:dyDescent="0.2">
      <c r="A42" s="14" t="s">
        <v>903</v>
      </c>
      <c r="B42" s="52">
        <f t="shared" ref="B42:G42" si="15">-B17</f>
        <v>413</v>
      </c>
      <c r="C42" s="52">
        <f t="shared" si="15"/>
        <v>434.37220000000002</v>
      </c>
      <c r="D42" s="52">
        <f t="shared" si="15"/>
        <v>452.48704600000008</v>
      </c>
      <c r="E42" s="52">
        <f t="shared" si="15"/>
        <v>471.39952138000007</v>
      </c>
      <c r="F42" s="52">
        <f t="shared" si="15"/>
        <v>491.14626422140009</v>
      </c>
      <c r="G42" s="52">
        <f t="shared" si="15"/>
        <v>511.76564720804208</v>
      </c>
    </row>
    <row r="43" spans="1:8" ht="15" customHeight="1" x14ac:dyDescent="0.2">
      <c r="A43" s="14" t="s">
        <v>904</v>
      </c>
      <c r="C43" s="19">
        <f>ASSUMPTIONS!$F$56</f>
        <v>0.02</v>
      </c>
      <c r="D43" s="19">
        <f>ASSUMPTIONS!$F$56</f>
        <v>0.02</v>
      </c>
      <c r="E43" s="19">
        <f>ASSUMPTIONS!$F$56</f>
        <v>0.02</v>
      </c>
      <c r="F43" s="19">
        <f>ASSUMPTIONS!$F$56</f>
        <v>0.02</v>
      </c>
      <c r="G43" s="19">
        <f>ASSUMPTIONS!$F$56</f>
        <v>0.02</v>
      </c>
    </row>
    <row r="44" spans="1:8" ht="15" customHeight="1" x14ac:dyDescent="0.2">
      <c r="A44" s="14" t="s">
        <v>905</v>
      </c>
      <c r="C44" s="52">
        <f>C10*ASSUMPTIONS!$F$56</f>
        <v>434.37220000000002</v>
      </c>
      <c r="D44" s="52">
        <f>D10*ASSUMPTIONS!$F$56</f>
        <v>452.48704600000008</v>
      </c>
      <c r="E44" s="52">
        <f>E10*ASSUMPTIONS!$F$56</f>
        <v>471.39952138000007</v>
      </c>
      <c r="F44" s="52">
        <f>F10*ASSUMPTIONS!$F$56</f>
        <v>491.14626422140009</v>
      </c>
      <c r="G44" s="52">
        <f>G10*ASSUMPTIONS!$F$56</f>
        <v>511.76564720804208</v>
      </c>
    </row>
    <row r="45" spans="1:8" ht="15" customHeight="1" x14ac:dyDescent="0.2">
      <c r="A45" s="14" t="s">
        <v>906</v>
      </c>
      <c r="C45" s="19">
        <f>ASSUMPTIONS!$F$45</f>
        <v>0</v>
      </c>
      <c r="D45" s="19">
        <f>ASSUMPTIONS!$F$45</f>
        <v>0</v>
      </c>
      <c r="E45" s="19">
        <f>ASSUMPTIONS!$F$45</f>
        <v>0</v>
      </c>
      <c r="F45" s="19">
        <f>ASSUMPTIONS!$F$45</f>
        <v>0</v>
      </c>
      <c r="G45" s="19">
        <f>ASSUMPTIONS!$F$45</f>
        <v>0</v>
      </c>
    </row>
    <row r="46" spans="1:8" ht="15" customHeight="1" x14ac:dyDescent="0.2">
      <c r="A46" s="14" t="s">
        <v>907</v>
      </c>
      <c r="C46" s="52">
        <f>(C10-B10)*ASSUMPTIONS!$F$45</f>
        <v>0</v>
      </c>
      <c r="D46" s="52">
        <f>(D10-C10)*ASSUMPTIONS!$F$45</f>
        <v>0</v>
      </c>
      <c r="E46" s="52">
        <f>(E10-D10)*ASSUMPTIONS!$F$45</f>
        <v>0</v>
      </c>
      <c r="F46" s="52">
        <f>(F10-E10)*ASSUMPTIONS!$F$45</f>
        <v>0</v>
      </c>
      <c r="G46" s="52">
        <f>(G10-F10)*ASSUMPTIONS!$F$45</f>
        <v>0</v>
      </c>
    </row>
    <row r="47" spans="1:8" ht="15" customHeight="1" x14ac:dyDescent="0.2">
      <c r="A47" s="14" t="s">
        <v>373</v>
      </c>
      <c r="C47" s="19">
        <f>ASSUMPTIONS!$F$59</f>
        <v>0.24</v>
      </c>
      <c r="D47" s="19">
        <f>ASSUMPTIONS!$F$59</f>
        <v>0.24</v>
      </c>
      <c r="E47" s="19">
        <f>ASSUMPTIONS!$F$59</f>
        <v>0.24</v>
      </c>
      <c r="F47" s="19">
        <f>ASSUMPTIONS!$F$59</f>
        <v>0.24</v>
      </c>
      <c r="G47" s="19">
        <f>ASSUMPTIONS!$F$59</f>
        <v>0.24</v>
      </c>
    </row>
    <row r="48" spans="1:8" ht="15" customHeight="1" x14ac:dyDescent="0.2">
      <c r="A48" s="14" t="s">
        <v>929</v>
      </c>
      <c r="B48" s="52">
        <f t="shared" ref="B48:G48" si="16">B29</f>
        <v>196</v>
      </c>
      <c r="C48" s="52">
        <f t="shared" si="16"/>
        <v>-543.71108400000003</v>
      </c>
      <c r="D48" s="52">
        <f t="shared" si="16"/>
        <v>-583.92604212000003</v>
      </c>
      <c r="E48" s="52">
        <f t="shared" si="16"/>
        <v>-625.91173746360005</v>
      </c>
      <c r="F48" s="52">
        <f t="shared" si="16"/>
        <v>-669.74950657150816</v>
      </c>
      <c r="G48" s="52">
        <f t="shared" si="16"/>
        <v>-715.52453680185329</v>
      </c>
    </row>
    <row r="49" spans="1:8" ht="15" customHeight="1" x14ac:dyDescent="0.2">
      <c r="A49" s="14" t="s">
        <v>444</v>
      </c>
      <c r="B49" s="52">
        <f t="shared" ref="B49:G49" si="17">B22</f>
        <v>19208</v>
      </c>
      <c r="C49" s="52">
        <f t="shared" si="17"/>
        <v>19208</v>
      </c>
      <c r="D49" s="52">
        <f t="shared" si="17"/>
        <v>19208</v>
      </c>
      <c r="E49" s="52">
        <f t="shared" si="17"/>
        <v>19208</v>
      </c>
      <c r="F49" s="52">
        <f t="shared" si="17"/>
        <v>19208</v>
      </c>
      <c r="G49" s="52">
        <f t="shared" si="17"/>
        <v>19208</v>
      </c>
    </row>
    <row r="50" spans="1:8" ht="15" customHeight="1" x14ac:dyDescent="0.2">
      <c r="A50" s="14" t="s">
        <v>930</v>
      </c>
      <c r="B50" s="52">
        <f t="shared" ref="B50:G50" si="18">B24</f>
        <v>-1205</v>
      </c>
      <c r="C50" s="52">
        <f t="shared" si="18"/>
        <v>-1152.48</v>
      </c>
      <c r="D50" s="52">
        <f t="shared" si="18"/>
        <v>-1152.48</v>
      </c>
      <c r="E50" s="52">
        <f t="shared" si="18"/>
        <v>-1152.48</v>
      </c>
      <c r="F50" s="52">
        <f t="shared" si="18"/>
        <v>-1152.48</v>
      </c>
      <c r="G50" s="52">
        <f t="shared" si="18"/>
        <v>-1152.48</v>
      </c>
    </row>
    <row r="51" spans="1:8" ht="15" customHeight="1" x14ac:dyDescent="0.2">
      <c r="A51" s="14" t="s">
        <v>445</v>
      </c>
      <c r="B51" s="52">
        <f t="shared" ref="B51:G51" si="19">B21</f>
        <v>-563</v>
      </c>
      <c r="C51" s="52">
        <f t="shared" si="19"/>
        <v>-600</v>
      </c>
      <c r="D51" s="52">
        <f t="shared" si="19"/>
        <v>-600</v>
      </c>
      <c r="E51" s="52">
        <f t="shared" si="19"/>
        <v>-600</v>
      </c>
      <c r="F51" s="52">
        <f t="shared" si="19"/>
        <v>-600</v>
      </c>
      <c r="G51" s="52">
        <f t="shared" si="19"/>
        <v>-600</v>
      </c>
      <c r="H51" s="29" t="s">
        <v>446</v>
      </c>
    </row>
    <row r="52" spans="1:8" ht="15" customHeight="1" x14ac:dyDescent="0.2">
      <c r="A52" s="12" t="s">
        <v>376</v>
      </c>
      <c r="B52" s="12"/>
      <c r="C52" s="12"/>
      <c r="D52" s="12"/>
      <c r="E52" s="12"/>
      <c r="F52" s="12"/>
      <c r="G52" s="12"/>
      <c r="H52" s="12"/>
    </row>
    <row r="53" spans="1:8" ht="15" customHeight="1" x14ac:dyDescent="0.2">
      <c r="A53" s="45" t="s">
        <v>377</v>
      </c>
      <c r="B53" s="51">
        <f t="shared" ref="B53:G53" si="20">B10-(B7+B9)</f>
        <v>0</v>
      </c>
      <c r="C53" s="58">
        <f t="shared" si="20"/>
        <v>0</v>
      </c>
      <c r="D53" s="58">
        <f t="shared" si="20"/>
        <v>0</v>
      </c>
      <c r="E53" s="58">
        <f t="shared" si="20"/>
        <v>0</v>
      </c>
      <c r="F53" s="58">
        <f t="shared" si="20"/>
        <v>0</v>
      </c>
      <c r="G53" s="58">
        <f t="shared" si="20"/>
        <v>0</v>
      </c>
    </row>
    <row r="54" spans="1:8" ht="15" customHeight="1" x14ac:dyDescent="0.2">
      <c r="A54" s="45" t="s">
        <v>447</v>
      </c>
      <c r="B54" s="51">
        <f t="shared" ref="B54:G54" si="21">B15-(B13+B14)</f>
        <v>0</v>
      </c>
      <c r="C54" s="58">
        <f t="shared" si="21"/>
        <v>0</v>
      </c>
      <c r="D54" s="58">
        <f t="shared" si="21"/>
        <v>0</v>
      </c>
      <c r="E54" s="58">
        <f t="shared" si="21"/>
        <v>0</v>
      </c>
      <c r="F54" s="58">
        <f t="shared" si="21"/>
        <v>0</v>
      </c>
      <c r="G54" s="58">
        <f t="shared" si="21"/>
        <v>0</v>
      </c>
    </row>
    <row r="55" spans="1:8" ht="15" customHeight="1" x14ac:dyDescent="0.2">
      <c r="A55" s="45" t="s">
        <v>448</v>
      </c>
      <c r="B55" s="51">
        <f>B10-FOX_HIST!D6</f>
        <v>0</v>
      </c>
    </row>
    <row r="56" spans="1:8" ht="15" customHeight="1" x14ac:dyDescent="0.2">
      <c r="A56" s="45" t="s">
        <v>449</v>
      </c>
      <c r="B56" s="51">
        <f>B15-FOX_HIST!D9</f>
        <v>0</v>
      </c>
    </row>
    <row r="57" spans="1:8" ht="15" customHeight="1" x14ac:dyDescent="0.2">
      <c r="A57" s="45" t="s">
        <v>450</v>
      </c>
      <c r="B57" s="51">
        <f>B19-FOX_HIST!D12</f>
        <v>0</v>
      </c>
    </row>
    <row r="58" spans="1:8" ht="15" customHeight="1" x14ac:dyDescent="0.2">
      <c r="A58" s="45" t="s">
        <v>451</v>
      </c>
      <c r="B58" s="51">
        <f>B32-FOX_HIST!D21</f>
        <v>0</v>
      </c>
    </row>
    <row r="60" spans="1:8" ht="15" customHeight="1" x14ac:dyDescent="0.2">
      <c r="A60" s="13" t="s">
        <v>335</v>
      </c>
      <c r="B60" s="54" t="str">
        <f>IF(AND(ABS(B53)&lt;1,ABS(C53)&lt;1,ABS(B54)&lt;1,ABS(C54)&lt;1,ABS(B55)&lt;1,ABS(B56)&lt;1,ABS(B57)&lt;1,ABS(B58)&lt;1),"OK","CHECK")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showGridLines="0" zoomScaleNormal="100" workbookViewId="0">
      <selection activeCell="I12" sqref="I12"/>
    </sheetView>
  </sheetViews>
  <sheetFormatPr baseColWidth="10" defaultColWidth="8.6640625" defaultRowHeight="15" x14ac:dyDescent="0.2"/>
  <cols>
    <col min="1" max="1" width="46" customWidth="1"/>
    <col min="2" max="4" width="14" customWidth="1"/>
    <col min="5" max="5" width="12" customWidth="1"/>
    <col min="6" max="6" width="52" customWidth="1"/>
    <col min="7" max="9" width="13" customWidth="1"/>
  </cols>
  <sheetData>
    <row r="1" spans="1:6" ht="17.25" customHeight="1" x14ac:dyDescent="0.2">
      <c r="A1" s="11" t="s">
        <v>931</v>
      </c>
      <c r="B1" s="2"/>
      <c r="C1" s="2"/>
      <c r="D1" s="2"/>
      <c r="E1" s="2"/>
      <c r="F1" s="2"/>
    </row>
    <row r="2" spans="1:6" ht="15" customHeight="1" x14ac:dyDescent="0.2">
      <c r="A2" s="10" t="s">
        <v>452</v>
      </c>
    </row>
    <row r="4" spans="1:6" ht="15" customHeight="1" x14ac:dyDescent="0.2">
      <c r="A4" s="12" t="s">
        <v>453</v>
      </c>
      <c r="B4" s="12"/>
      <c r="C4" s="12"/>
      <c r="D4" s="12"/>
      <c r="E4" s="12"/>
      <c r="F4" s="12"/>
    </row>
    <row r="5" spans="1:6" ht="15" customHeight="1" x14ac:dyDescent="0.2">
      <c r="A5" s="14" t="s">
        <v>454</v>
      </c>
      <c r="B5" s="18">
        <f>ASSUMPTIONS!B6</f>
        <v>33753</v>
      </c>
    </row>
    <row r="6" spans="1:6" ht="15" customHeight="1" x14ac:dyDescent="0.2">
      <c r="A6" s="14" t="s">
        <v>455</v>
      </c>
      <c r="B6" s="18">
        <f>ASSUMPTIONS!B13</f>
        <v>35703</v>
      </c>
    </row>
    <row r="7" spans="1:6" ht="15" customHeight="1" x14ac:dyDescent="0.2">
      <c r="A7" s="13" t="s">
        <v>456</v>
      </c>
      <c r="B7" s="48">
        <f>B5+B6</f>
        <v>69456</v>
      </c>
    </row>
    <row r="9" spans="1:6" ht="15" customHeight="1" x14ac:dyDescent="0.2">
      <c r="A9" s="12" t="s">
        <v>457</v>
      </c>
      <c r="B9" s="12"/>
      <c r="C9" s="12"/>
      <c r="D9" s="12"/>
      <c r="E9" s="12"/>
      <c r="F9" s="12"/>
    </row>
    <row r="10" spans="1:6" ht="15" customHeight="1" x14ac:dyDescent="0.2">
      <c r="A10" s="14" t="s">
        <v>458</v>
      </c>
      <c r="B10" s="18">
        <f>ASSUMPTIONS!B6</f>
        <v>33753</v>
      </c>
    </row>
    <row r="11" spans="1:6" ht="15" customHeight="1" x14ac:dyDescent="0.2">
      <c r="A11" s="14" t="s">
        <v>459</v>
      </c>
      <c r="B11" s="18">
        <f>ASSUMPTIONS!B5</f>
        <v>35703</v>
      </c>
    </row>
    <row r="12" spans="1:6" ht="15" customHeight="1" x14ac:dyDescent="0.2">
      <c r="A12" s="13" t="s">
        <v>460</v>
      </c>
      <c r="B12" s="48">
        <f>B10+B11</f>
        <v>69456</v>
      </c>
    </row>
    <row r="13" spans="1:6" ht="15" customHeight="1" x14ac:dyDescent="0.2">
      <c r="A13" s="60" t="s">
        <v>461</v>
      </c>
      <c r="B13" s="51">
        <f>B7-B12</f>
        <v>0</v>
      </c>
    </row>
    <row r="15" spans="1:6" ht="15" customHeight="1" x14ac:dyDescent="0.2">
      <c r="A15" s="12" t="s">
        <v>462</v>
      </c>
      <c r="B15" s="12"/>
      <c r="C15" s="12"/>
      <c r="D15" s="12"/>
      <c r="E15" s="12"/>
      <c r="F15" s="12"/>
    </row>
    <row r="16" spans="1:6" ht="15" customHeight="1" x14ac:dyDescent="0.2">
      <c r="A16" s="14" t="s">
        <v>463</v>
      </c>
      <c r="B16" s="18">
        <f>ASSUMPTIONS!B13</f>
        <v>35703</v>
      </c>
    </row>
    <row r="17" spans="1:6" ht="15" customHeight="1" x14ac:dyDescent="0.2">
      <c r="A17" s="14" t="s">
        <v>464</v>
      </c>
      <c r="B17" s="18">
        <f>-ASSUMPTIONS!B14</f>
        <v>-16100</v>
      </c>
    </row>
    <row r="18" spans="1:6" ht="15" customHeight="1" x14ac:dyDescent="0.2">
      <c r="A18" s="13" t="s">
        <v>39</v>
      </c>
      <c r="B18" s="30">
        <f>B16+B17</f>
        <v>19603</v>
      </c>
    </row>
    <row r="19" spans="1:6" ht="15" customHeight="1" x14ac:dyDescent="0.2">
      <c r="A19" s="14" t="s">
        <v>465</v>
      </c>
      <c r="B19" s="18">
        <f>ASSUMPTIONS!B15</f>
        <v>19208</v>
      </c>
    </row>
    <row r="20" spans="1:6" ht="15" customHeight="1" x14ac:dyDescent="0.2">
      <c r="A20" s="14" t="s">
        <v>87</v>
      </c>
      <c r="B20" s="18">
        <f>ASSUMPTIONS!B17</f>
        <v>26337</v>
      </c>
    </row>
    <row r="21" spans="1:6" ht="15" customHeight="1" x14ac:dyDescent="0.2">
      <c r="A21" s="14" t="s">
        <v>88</v>
      </c>
      <c r="B21" s="18">
        <f>ASSUMPTIONS!B18</f>
        <v>2000</v>
      </c>
    </row>
    <row r="22" spans="1:6" ht="15" customHeight="1" x14ac:dyDescent="0.2">
      <c r="A22" s="14" t="s">
        <v>89</v>
      </c>
      <c r="B22" s="18">
        <f>ASSUMPTIONS!B19</f>
        <v>150</v>
      </c>
    </row>
    <row r="24" spans="1:6" ht="15" customHeight="1" x14ac:dyDescent="0.2">
      <c r="A24" s="12" t="s">
        <v>466</v>
      </c>
      <c r="B24" s="12"/>
      <c r="C24" s="12"/>
      <c r="D24" s="12"/>
      <c r="E24" s="12"/>
      <c r="F24" s="12"/>
    </row>
    <row r="25" spans="1:6" ht="15" customHeight="1" x14ac:dyDescent="0.2">
      <c r="A25" s="14" t="s">
        <v>91</v>
      </c>
      <c r="B25" s="18">
        <f>ASSUMPTIONS!B21</f>
        <v>52400</v>
      </c>
    </row>
    <row r="26" spans="1:6" ht="15" customHeight="1" x14ac:dyDescent="0.2">
      <c r="A26" s="14" t="s">
        <v>92</v>
      </c>
      <c r="B26" s="18">
        <f>ASSUMPTIONS!B22</f>
        <v>71300</v>
      </c>
    </row>
    <row r="27" spans="1:6" ht="15" customHeight="1" x14ac:dyDescent="0.2">
      <c r="A27" s="13" t="s">
        <v>467</v>
      </c>
      <c r="B27" s="30">
        <f>B12</f>
        <v>69456</v>
      </c>
    </row>
    <row r="29" spans="1:6" ht="15" customHeight="1" x14ac:dyDescent="0.2">
      <c r="A29" s="12" t="s">
        <v>468</v>
      </c>
      <c r="B29" s="12"/>
      <c r="C29" s="12"/>
      <c r="D29" s="12"/>
      <c r="E29" s="12"/>
      <c r="F29" s="12"/>
    </row>
    <row r="30" spans="1:6" ht="15" customHeight="1" x14ac:dyDescent="0.2">
      <c r="A30" s="14" t="s">
        <v>90</v>
      </c>
      <c r="B30" s="18">
        <f>ASSUMPTIONS!B20</f>
        <v>1499</v>
      </c>
    </row>
    <row r="31" spans="1:6" ht="15" customHeight="1" x14ac:dyDescent="0.2">
      <c r="A31" s="14" t="s">
        <v>469</v>
      </c>
      <c r="B31" s="18">
        <f>ASSUMPTIONS!B8</f>
        <v>307</v>
      </c>
    </row>
    <row r="32" spans="1:6" ht="15" customHeight="1" x14ac:dyDescent="0.2">
      <c r="A32" s="13" t="s">
        <v>470</v>
      </c>
      <c r="B32" s="30">
        <f>B30+B31</f>
        <v>1806</v>
      </c>
    </row>
    <row r="33" spans="1:3" ht="15" customHeight="1" x14ac:dyDescent="0.2">
      <c r="A33" s="14" t="s">
        <v>41</v>
      </c>
      <c r="B33" s="55">
        <f>B31/B32</f>
        <v>0.1699889258028793</v>
      </c>
    </row>
    <row r="34" spans="1:3" ht="15" customHeight="1" x14ac:dyDescent="0.2">
      <c r="A34" s="14" t="s">
        <v>471</v>
      </c>
      <c r="B34" s="55">
        <f>B30/B32</f>
        <v>0.83001107419712072</v>
      </c>
    </row>
    <row r="35" spans="1:3" ht="15" customHeight="1" x14ac:dyDescent="0.2">
      <c r="A35" s="14" t="s">
        <v>472</v>
      </c>
      <c r="B35" s="61">
        <f>ASSUMPTIONS!B12</f>
        <v>51.572626</v>
      </c>
      <c r="C35" s="62">
        <f>ASSUMPTIONS!B11</f>
        <v>0.33279999999999998</v>
      </c>
    </row>
    <row r="37" spans="1:3" ht="15" customHeight="1" x14ac:dyDescent="0.2">
      <c r="A37" s="13" t="s">
        <v>335</v>
      </c>
      <c r="B37" s="54" t="str">
        <f>IF(ABS(B13)&lt;1,"OK","CHECK")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8"/>
  <sheetViews>
    <sheetView showGridLines="0" zoomScaleNormal="100" workbookViewId="0">
      <selection activeCell="D15" sqref="D15"/>
    </sheetView>
  </sheetViews>
  <sheetFormatPr baseColWidth="10" defaultColWidth="8.6640625" defaultRowHeight="15" x14ac:dyDescent="0.2"/>
  <cols>
    <col min="1" max="1" width="46" customWidth="1"/>
    <col min="2" max="4" width="14" customWidth="1"/>
    <col min="5" max="5" width="12" customWidth="1"/>
    <col min="6" max="6" width="52" customWidth="1"/>
    <col min="7" max="9" width="13" customWidth="1"/>
  </cols>
  <sheetData>
    <row r="1" spans="1:6" ht="17.25" customHeight="1" x14ac:dyDescent="0.2">
      <c r="A1" s="11" t="s">
        <v>936</v>
      </c>
      <c r="B1" s="2"/>
      <c r="C1" s="2"/>
      <c r="D1" s="2"/>
      <c r="E1" s="2"/>
      <c r="F1" s="2"/>
    </row>
    <row r="2" spans="1:6" ht="15" customHeight="1" x14ac:dyDescent="0.2">
      <c r="A2" s="10" t="s">
        <v>473</v>
      </c>
    </row>
    <row r="4" spans="1:6" ht="15" customHeight="1" x14ac:dyDescent="0.2">
      <c r="A4" s="12" t="s">
        <v>932</v>
      </c>
      <c r="B4" s="12"/>
      <c r="C4" s="12"/>
      <c r="D4" s="12"/>
      <c r="E4" s="12"/>
      <c r="F4" s="12"/>
    </row>
    <row r="5" spans="1:6" ht="15" customHeight="1" x14ac:dyDescent="0.2">
      <c r="A5" s="13" t="s">
        <v>474</v>
      </c>
      <c r="B5" s="63">
        <f>'S&amp;U'!B12</f>
        <v>69456</v>
      </c>
      <c r="F5" s="47" t="s">
        <v>475</v>
      </c>
    </row>
    <row r="6" spans="1:6" ht="15" customHeight="1" x14ac:dyDescent="0.2">
      <c r="A6" s="14" t="s">
        <v>476</v>
      </c>
      <c r="B6" s="18">
        <f>FOX_HIST!D57</f>
        <v>20793</v>
      </c>
      <c r="F6" s="47" t="s">
        <v>477</v>
      </c>
    </row>
    <row r="7" spans="1:6" ht="15" customHeight="1" x14ac:dyDescent="0.2">
      <c r="A7" s="14" t="s">
        <v>478</v>
      </c>
      <c r="B7" s="18">
        <f>FOX_HIST!D59</f>
        <v>470</v>
      </c>
    </row>
    <row r="8" spans="1:6" ht="15" customHeight="1" x14ac:dyDescent="0.2">
      <c r="A8" s="14" t="s">
        <v>479</v>
      </c>
      <c r="B8" s="28">
        <v>-7584</v>
      </c>
      <c r="F8" s="47" t="s">
        <v>480</v>
      </c>
    </row>
    <row r="9" spans="1:6" ht="15" customHeight="1" x14ac:dyDescent="0.2">
      <c r="A9" s="14" t="s">
        <v>481</v>
      </c>
      <c r="B9" s="28">
        <v>-3111</v>
      </c>
    </row>
    <row r="10" spans="1:6" ht="15" customHeight="1" x14ac:dyDescent="0.2">
      <c r="A10" s="14" t="s">
        <v>482</v>
      </c>
      <c r="B10" s="28">
        <v>-376</v>
      </c>
    </row>
    <row r="11" spans="1:6" ht="15" customHeight="1" x14ac:dyDescent="0.2">
      <c r="A11" s="14" t="s">
        <v>483</v>
      </c>
      <c r="B11" s="28">
        <v>-4832</v>
      </c>
    </row>
    <row r="12" spans="1:6" ht="15" customHeight="1" x14ac:dyDescent="0.2">
      <c r="A12" s="14" t="s">
        <v>484</v>
      </c>
      <c r="B12" s="28">
        <v>10442</v>
      </c>
      <c r="F12" s="47" t="s">
        <v>485</v>
      </c>
    </row>
    <row r="13" spans="1:6" ht="15" customHeight="1" x14ac:dyDescent="0.2">
      <c r="A13" s="14" t="s">
        <v>486</v>
      </c>
      <c r="B13" s="28">
        <v>25732</v>
      </c>
      <c r="F13" s="47" t="s">
        <v>487</v>
      </c>
    </row>
    <row r="14" spans="1:6" ht="15" customHeight="1" x14ac:dyDescent="0.2">
      <c r="A14" s="14" t="s">
        <v>488</v>
      </c>
      <c r="B14" s="28">
        <v>4500</v>
      </c>
      <c r="F14" s="47" t="s">
        <v>489</v>
      </c>
    </row>
    <row r="15" spans="1:6" ht="15" customHeight="1" x14ac:dyDescent="0.2">
      <c r="A15" s="14" t="s">
        <v>490</v>
      </c>
      <c r="B15" s="28">
        <v>1272</v>
      </c>
      <c r="F15" s="47" t="s">
        <v>489</v>
      </c>
    </row>
    <row r="16" spans="1:6" ht="15" customHeight="1" x14ac:dyDescent="0.2">
      <c r="A16" s="14" t="s">
        <v>491</v>
      </c>
      <c r="B16" s="28">
        <v>529</v>
      </c>
      <c r="F16" s="47" t="s">
        <v>492</v>
      </c>
    </row>
    <row r="17" spans="1:6" ht="15" customHeight="1" x14ac:dyDescent="0.2">
      <c r="A17" s="14" t="s">
        <v>493</v>
      </c>
      <c r="B17" s="28">
        <v>-3601</v>
      </c>
      <c r="F17" s="47" t="s">
        <v>494</v>
      </c>
    </row>
    <row r="18" spans="1:6" ht="15" customHeight="1" x14ac:dyDescent="0.2">
      <c r="A18" s="14" t="s">
        <v>495</v>
      </c>
      <c r="B18" s="28">
        <v>-5843</v>
      </c>
      <c r="F18" s="47" t="s">
        <v>496</v>
      </c>
    </row>
    <row r="19" spans="1:6" ht="15" customHeight="1" x14ac:dyDescent="0.2">
      <c r="A19" s="14" t="s">
        <v>497</v>
      </c>
      <c r="B19" s="28">
        <v>-2747</v>
      </c>
      <c r="F19" s="47" t="s">
        <v>498</v>
      </c>
    </row>
    <row r="20" spans="1:6" ht="15" customHeight="1" x14ac:dyDescent="0.2">
      <c r="A20" s="14" t="s">
        <v>499</v>
      </c>
      <c r="B20" s="28">
        <v>-1085</v>
      </c>
      <c r="F20" s="47" t="s">
        <v>498</v>
      </c>
    </row>
    <row r="21" spans="1:6" ht="15" customHeight="1" x14ac:dyDescent="0.2">
      <c r="A21" s="13" t="s">
        <v>500</v>
      </c>
      <c r="B21" s="48">
        <f>B6+B7+SUM(B8:B20)</f>
        <v>34559</v>
      </c>
    </row>
    <row r="22" spans="1:6" ht="15" customHeight="1" x14ac:dyDescent="0.2">
      <c r="A22" s="13" t="s">
        <v>933</v>
      </c>
      <c r="B22" s="30">
        <f>B5-B21</f>
        <v>34897</v>
      </c>
    </row>
    <row r="23" spans="1:6" ht="15" customHeight="1" x14ac:dyDescent="0.2">
      <c r="A23" s="14" t="s">
        <v>501</v>
      </c>
      <c r="B23" s="52">
        <f>B21+(-B19)+(-B20)</f>
        <v>38391</v>
      </c>
    </row>
    <row r="24" spans="1:6" ht="15" customHeight="1" x14ac:dyDescent="0.2">
      <c r="A24" s="14" t="s">
        <v>502</v>
      </c>
      <c r="B24" s="52">
        <f>B5+(-B19)+(-B20)-B23</f>
        <v>34897</v>
      </c>
    </row>
    <row r="25" spans="1:6" ht="15" customHeight="1" x14ac:dyDescent="0.2">
      <c r="A25" s="60" t="s">
        <v>503</v>
      </c>
      <c r="B25" s="51">
        <f>B22-B24</f>
        <v>0</v>
      </c>
    </row>
    <row r="27" spans="1:6" ht="15" customHeight="1" x14ac:dyDescent="0.2">
      <c r="A27" s="12" t="s">
        <v>934</v>
      </c>
      <c r="B27" s="12"/>
      <c r="C27" s="12"/>
      <c r="D27" s="12"/>
      <c r="E27" s="12"/>
      <c r="F27" s="12"/>
    </row>
    <row r="28" spans="1:6" ht="15" customHeight="1" x14ac:dyDescent="0.2">
      <c r="A28" s="14" t="s">
        <v>504</v>
      </c>
      <c r="B28" s="28">
        <v>9000</v>
      </c>
      <c r="F28" s="47" t="s">
        <v>505</v>
      </c>
    </row>
    <row r="29" spans="1:6" ht="15" customHeight="1" x14ac:dyDescent="0.2">
      <c r="A29" s="14" t="s">
        <v>506</v>
      </c>
      <c r="B29" s="28">
        <v>4500</v>
      </c>
    </row>
    <row r="30" spans="1:6" ht="15" customHeight="1" x14ac:dyDescent="0.2">
      <c r="A30" s="14" t="s">
        <v>507</v>
      </c>
      <c r="B30" s="28">
        <v>1500</v>
      </c>
    </row>
    <row r="31" spans="1:6" ht="15" customHeight="1" x14ac:dyDescent="0.2">
      <c r="A31" s="13" t="s">
        <v>508</v>
      </c>
      <c r="B31" s="30">
        <f>B28+B29+B30</f>
        <v>15000</v>
      </c>
    </row>
    <row r="32" spans="1:6" ht="15" customHeight="1" x14ac:dyDescent="0.2">
      <c r="A32" s="14" t="s">
        <v>509</v>
      </c>
      <c r="B32" s="28">
        <v>-2226</v>
      </c>
    </row>
    <row r="33" spans="1:6" ht="15" customHeight="1" x14ac:dyDescent="0.2">
      <c r="A33" s="13" t="s">
        <v>935</v>
      </c>
      <c r="B33" s="30">
        <f>B31+B32</f>
        <v>12774</v>
      </c>
    </row>
    <row r="34" spans="1:6" ht="15" customHeight="1" x14ac:dyDescent="0.2">
      <c r="A34" s="14" t="s">
        <v>510</v>
      </c>
      <c r="B34" s="28">
        <v>4669</v>
      </c>
      <c r="F34" s="47" t="s">
        <v>511</v>
      </c>
    </row>
    <row r="36" spans="1:6" ht="15" customHeight="1" x14ac:dyDescent="0.2">
      <c r="A36" s="13" t="s">
        <v>512</v>
      </c>
      <c r="B36" s="48">
        <f>B22+B33</f>
        <v>47671</v>
      </c>
    </row>
    <row r="38" spans="1:6" ht="15" customHeight="1" x14ac:dyDescent="0.2">
      <c r="A38" s="13" t="s">
        <v>335</v>
      </c>
      <c r="B38" s="54" t="str">
        <f>IF(ABS(B25)&lt;1,"OK","CHECK")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3"/>
  <sheetViews>
    <sheetView showGridLines="0" zoomScaleNormal="100" workbookViewId="0">
      <selection activeCell="P17" sqref="P17"/>
    </sheetView>
  </sheetViews>
  <sheetFormatPr baseColWidth="10" defaultColWidth="8.6640625" defaultRowHeight="15" x14ac:dyDescent="0.2"/>
  <cols>
    <col min="1" max="1" width="40" customWidth="1"/>
    <col min="2" max="9" width="12" customWidth="1"/>
  </cols>
  <sheetData>
    <row r="1" spans="1:11" ht="15.75" customHeight="1" x14ac:dyDescent="0.2">
      <c r="A1" s="26" t="s">
        <v>937</v>
      </c>
      <c r="B1" s="2"/>
      <c r="C1" s="2"/>
      <c r="D1" s="2"/>
      <c r="E1" s="2"/>
      <c r="F1" s="2"/>
      <c r="G1" s="2"/>
      <c r="H1" s="2"/>
      <c r="I1" s="2"/>
      <c r="J1" s="27"/>
      <c r="K1" s="27"/>
    </row>
    <row r="2" spans="1:11" ht="15" customHeight="1" x14ac:dyDescent="0.2">
      <c r="A2" s="10" t="s">
        <v>938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">
      <c r="A4" s="37" t="s">
        <v>513</v>
      </c>
      <c r="B4" s="38" t="s">
        <v>514</v>
      </c>
      <c r="C4" s="38" t="s">
        <v>515</v>
      </c>
      <c r="D4" s="38" t="s">
        <v>159</v>
      </c>
      <c r="E4" s="38" t="s">
        <v>160</v>
      </c>
      <c r="F4" s="38" t="s">
        <v>161</v>
      </c>
      <c r="G4" s="38" t="s">
        <v>162</v>
      </c>
      <c r="H4" s="38" t="s">
        <v>163</v>
      </c>
      <c r="I4" s="37" t="s">
        <v>516</v>
      </c>
      <c r="J4" s="27"/>
      <c r="K4" s="27"/>
    </row>
    <row r="5" spans="1:11" ht="15" customHeight="1" x14ac:dyDescent="0.2">
      <c r="A5" s="12" t="s">
        <v>517</v>
      </c>
      <c r="B5" s="12"/>
      <c r="C5" s="12"/>
      <c r="D5" s="12"/>
      <c r="E5" s="12"/>
      <c r="F5" s="12"/>
      <c r="G5" s="12"/>
      <c r="H5" s="12"/>
      <c r="I5" s="12"/>
      <c r="J5" s="27"/>
      <c r="K5" s="27"/>
    </row>
    <row r="6" spans="1:11" ht="15" customHeight="1" x14ac:dyDescent="0.2">
      <c r="A6" s="14" t="s">
        <v>518</v>
      </c>
      <c r="B6" s="18">
        <f>PPA!B13</f>
        <v>25732</v>
      </c>
      <c r="C6" s="64">
        <f>ASSUMPTIONS!F76</f>
        <v>11</v>
      </c>
      <c r="D6" s="52">
        <f>$B$6/$C$6</f>
        <v>2339.2727272727275</v>
      </c>
      <c r="E6" s="52">
        <f>$B$6/$C$6</f>
        <v>2339.2727272727275</v>
      </c>
      <c r="F6" s="52">
        <f>$B$6/$C$6</f>
        <v>2339.2727272727275</v>
      </c>
      <c r="G6" s="52">
        <f>$B$6/$C$6</f>
        <v>2339.2727272727275</v>
      </c>
      <c r="H6" s="52">
        <f>$B$6/$C$6</f>
        <v>2339.2727272727275</v>
      </c>
      <c r="I6" s="29" t="s">
        <v>519</v>
      </c>
      <c r="J6" s="27"/>
      <c r="K6" s="27"/>
    </row>
    <row r="7" spans="1:11" ht="15" customHeight="1" x14ac:dyDescent="0.2">
      <c r="A7" s="12" t="s">
        <v>520</v>
      </c>
      <c r="B7" s="12"/>
      <c r="C7" s="12"/>
      <c r="D7" s="12"/>
      <c r="E7" s="12"/>
      <c r="F7" s="12"/>
      <c r="G7" s="12"/>
      <c r="H7" s="12"/>
      <c r="I7" s="12"/>
      <c r="J7" s="27"/>
      <c r="K7" s="27"/>
    </row>
    <row r="8" spans="1:11" ht="15" customHeight="1" x14ac:dyDescent="0.2">
      <c r="A8" s="14" t="s">
        <v>521</v>
      </c>
      <c r="B8" s="18">
        <f>PPA!B12</f>
        <v>10442</v>
      </c>
      <c r="C8" s="27"/>
      <c r="D8" s="27"/>
      <c r="E8" s="27"/>
      <c r="F8" s="27"/>
      <c r="G8" s="27"/>
      <c r="H8" s="27"/>
      <c r="I8" s="29" t="s">
        <v>522</v>
      </c>
      <c r="J8" s="27"/>
      <c r="K8" s="27"/>
    </row>
    <row r="9" spans="1:11" ht="15" customHeight="1" x14ac:dyDescent="0.2">
      <c r="A9" s="14" t="s">
        <v>523</v>
      </c>
      <c r="B9" s="35">
        <v>0.5</v>
      </c>
      <c r="C9" s="27"/>
      <c r="D9" s="27"/>
      <c r="E9" s="27"/>
      <c r="F9" s="27"/>
      <c r="G9" s="27"/>
      <c r="H9" s="27"/>
      <c r="I9" s="29" t="s">
        <v>524</v>
      </c>
      <c r="J9" s="27"/>
      <c r="K9" s="27"/>
    </row>
    <row r="10" spans="1:11" ht="15" customHeight="1" x14ac:dyDescent="0.2">
      <c r="A10" s="14" t="s">
        <v>939</v>
      </c>
      <c r="B10" s="52">
        <f>$B$8*$B$9</f>
        <v>5221</v>
      </c>
      <c r="C10" s="64">
        <f>ASSUMPTIONS!F77</f>
        <v>8</v>
      </c>
      <c r="D10" s="52">
        <f>$B$10*($C$10-0)/($C$10*($C$10+1)/2)</f>
        <v>1160.2222222222222</v>
      </c>
      <c r="E10" s="52">
        <f>$B$10*($C$10-1)/($C$10*($C$10+1)/2)</f>
        <v>1015.1944444444445</v>
      </c>
      <c r="F10" s="52">
        <f>$B$10*($C$10-2)/($C$10*($C$10+1)/2)</f>
        <v>870.16666666666663</v>
      </c>
      <c r="G10" s="52">
        <f>$B$10*($C$10-3)/($C$10*($C$10+1)/2)</f>
        <v>725.13888888888891</v>
      </c>
      <c r="H10" s="52">
        <f>$B$10*($C$10-4)/($C$10*($C$10+1)/2)</f>
        <v>580.11111111111109</v>
      </c>
      <c r="I10" s="29" t="s">
        <v>525</v>
      </c>
      <c r="J10" s="27"/>
      <c r="K10" s="27"/>
    </row>
    <row r="11" spans="1:11" ht="15" customHeight="1" x14ac:dyDescent="0.2">
      <c r="A11" s="14" t="s">
        <v>940</v>
      </c>
      <c r="B11" s="52">
        <f>$B$8*(1-$B$9)</f>
        <v>5221</v>
      </c>
      <c r="C11" s="64">
        <f>ASSUMPTIONS!F78</f>
        <v>9</v>
      </c>
      <c r="D11" s="52">
        <f>$B$11/$C$11</f>
        <v>580.11111111111109</v>
      </c>
      <c r="E11" s="52">
        <f>$B$11/$C$11</f>
        <v>580.11111111111109</v>
      </c>
      <c r="F11" s="52">
        <f>$B$11/$C$11</f>
        <v>580.11111111111109</v>
      </c>
      <c r="G11" s="52">
        <f>$B$11/$C$11</f>
        <v>580.11111111111109</v>
      </c>
      <c r="H11" s="52">
        <f>$B$11/$C$11</f>
        <v>580.11111111111109</v>
      </c>
      <c r="I11" s="29" t="s">
        <v>526</v>
      </c>
      <c r="J11" s="27"/>
      <c r="K11" s="27"/>
    </row>
    <row r="12" spans="1:11" ht="15" customHeight="1" x14ac:dyDescent="0.2">
      <c r="A12" s="12" t="s">
        <v>527</v>
      </c>
      <c r="B12" s="12"/>
      <c r="C12" s="12"/>
      <c r="D12" s="12"/>
      <c r="E12" s="12"/>
      <c r="F12" s="12"/>
      <c r="G12" s="12"/>
      <c r="H12" s="12"/>
      <c r="I12" s="12"/>
    </row>
    <row r="13" spans="1:11" ht="15" customHeight="1" x14ac:dyDescent="0.2">
      <c r="A13" s="14" t="s">
        <v>528</v>
      </c>
      <c r="B13" s="28">
        <v>2324</v>
      </c>
      <c r="C13" s="64">
        <f>ASSUMPTIONS!F79</f>
        <v>10</v>
      </c>
      <c r="D13" s="52">
        <f>$B$13/$C$13</f>
        <v>232.4</v>
      </c>
      <c r="E13" s="52">
        <f>$B$13/$C$13</f>
        <v>232.4</v>
      </c>
      <c r="F13" s="52">
        <f>$B$13/$C$13</f>
        <v>232.4</v>
      </c>
      <c r="G13" s="52">
        <f>$B$13/$C$13</f>
        <v>232.4</v>
      </c>
      <c r="H13" s="52">
        <f>$B$13/$C$13</f>
        <v>232.4</v>
      </c>
      <c r="I13" s="29" t="s">
        <v>529</v>
      </c>
    </row>
    <row r="14" spans="1:11" ht="15" customHeight="1" x14ac:dyDescent="0.2">
      <c r="A14" s="12" t="s">
        <v>530</v>
      </c>
      <c r="B14" s="12"/>
      <c r="C14" s="12"/>
      <c r="D14" s="12"/>
      <c r="E14" s="12"/>
      <c r="F14" s="12"/>
      <c r="G14" s="12"/>
      <c r="H14" s="12"/>
      <c r="I14" s="12"/>
    </row>
    <row r="15" spans="1:11" ht="15" customHeight="1" x14ac:dyDescent="0.2">
      <c r="A15" s="13" t="s">
        <v>531</v>
      </c>
      <c r="D15" s="48">
        <f>D6+D10+D11+D13</f>
        <v>4312.0060606060606</v>
      </c>
      <c r="E15" s="48">
        <f>E6+E10+E11+E13</f>
        <v>4166.9782828282823</v>
      </c>
      <c r="F15" s="48">
        <f>F6+F10+F11+F13</f>
        <v>4021.9505050505054</v>
      </c>
      <c r="G15" s="48">
        <f>G6+G10+G11+G13</f>
        <v>3876.922727272728</v>
      </c>
      <c r="H15" s="48">
        <f>H6+H10+H11+H13</f>
        <v>3731.8949494949497</v>
      </c>
    </row>
    <row r="16" spans="1:11" ht="15" customHeight="1" x14ac:dyDescent="0.2">
      <c r="A16" s="12" t="s">
        <v>941</v>
      </c>
      <c r="B16" s="12"/>
      <c r="C16" s="12"/>
      <c r="D16" s="12"/>
      <c r="E16" s="12"/>
      <c r="F16" s="12"/>
      <c r="G16" s="12"/>
      <c r="H16" s="12"/>
      <c r="I16" s="12"/>
    </row>
    <row r="17" spans="1:9" ht="15" customHeight="1" x14ac:dyDescent="0.2">
      <c r="A17" s="14" t="s">
        <v>532</v>
      </c>
      <c r="B17" s="18">
        <f>PPA!B17</f>
        <v>-3601</v>
      </c>
      <c r="I17" s="29" t="s">
        <v>533</v>
      </c>
    </row>
    <row r="18" spans="1:9" ht="15" customHeight="1" x14ac:dyDescent="0.2">
      <c r="A18" s="14" t="s">
        <v>534</v>
      </c>
      <c r="D18" s="18">
        <f>ASSUMPTIONS!$F$70</f>
        <v>205</v>
      </c>
      <c r="E18" s="18">
        <f>ASSUMPTIONS!$F$70</f>
        <v>205</v>
      </c>
      <c r="F18" s="18">
        <f>ASSUMPTIONS!$F$70</f>
        <v>205</v>
      </c>
      <c r="G18" s="18">
        <f>ASSUMPTIONS!$F$70</f>
        <v>205</v>
      </c>
      <c r="H18" s="18">
        <f>ASSUMPTIONS!$F$70</f>
        <v>205</v>
      </c>
      <c r="I18" s="29" t="s">
        <v>535</v>
      </c>
    </row>
    <row r="19" spans="1:9" ht="15" customHeight="1" x14ac:dyDescent="0.2">
      <c r="A19" s="12" t="s">
        <v>536</v>
      </c>
      <c r="B19" s="12"/>
      <c r="C19" s="12"/>
      <c r="D19" s="12"/>
      <c r="E19" s="12"/>
      <c r="F19" s="12"/>
      <c r="G19" s="12"/>
      <c r="H19" s="12"/>
      <c r="I19" s="12"/>
    </row>
    <row r="20" spans="1:9" ht="15" customHeight="1" x14ac:dyDescent="0.2">
      <c r="A20" s="13" t="s">
        <v>537</v>
      </c>
      <c r="D20" s="30">
        <f>-D15</f>
        <v>-4312.0060606060606</v>
      </c>
      <c r="E20" s="30">
        <f>-E15</f>
        <v>-4166.9782828282823</v>
      </c>
      <c r="F20" s="30">
        <f>-F15</f>
        <v>-4021.9505050505054</v>
      </c>
      <c r="G20" s="30">
        <f>-G15</f>
        <v>-3876.922727272728</v>
      </c>
      <c r="H20" s="30">
        <f>-H15</f>
        <v>-3731.8949494949497</v>
      </c>
    </row>
    <row r="21" spans="1:9" ht="15" customHeight="1" x14ac:dyDescent="0.2">
      <c r="A21" s="14" t="s">
        <v>538</v>
      </c>
      <c r="D21" s="52">
        <f>D18</f>
        <v>205</v>
      </c>
      <c r="E21" s="52">
        <f>E18</f>
        <v>205</v>
      </c>
      <c r="F21" s="52">
        <f>F18</f>
        <v>205</v>
      </c>
      <c r="G21" s="52">
        <f>G18</f>
        <v>205</v>
      </c>
      <c r="H21" s="52">
        <f>H18</f>
        <v>205</v>
      </c>
    </row>
    <row r="22" spans="1:9" ht="15" customHeight="1" x14ac:dyDescent="0.2">
      <c r="A22" s="13" t="s">
        <v>539</v>
      </c>
      <c r="D22" s="48">
        <f>D20+D21</f>
        <v>-4107.0060606060606</v>
      </c>
      <c r="E22" s="48">
        <f>E20+E21</f>
        <v>-3961.9782828282823</v>
      </c>
      <c r="F22" s="48">
        <f>F20+F21</f>
        <v>-3816.9505050505054</v>
      </c>
      <c r="G22" s="48">
        <f>G20+G21</f>
        <v>-3671.922727272728</v>
      </c>
      <c r="H22" s="48">
        <f>H20+H21</f>
        <v>-3526.8949494949497</v>
      </c>
    </row>
    <row r="23" spans="1:9" ht="15" customHeight="1" x14ac:dyDescent="0.2">
      <c r="A23" s="14" t="s">
        <v>540</v>
      </c>
      <c r="D23" s="19">
        <f>ASSUMPTIONS!$F$80</f>
        <v>0.24</v>
      </c>
      <c r="E23" s="19">
        <f>ASSUMPTIONS!$F$80</f>
        <v>0.24</v>
      </c>
      <c r="F23" s="19">
        <f>ASSUMPTIONS!$F$80</f>
        <v>0.24</v>
      </c>
      <c r="G23" s="19">
        <f>ASSUMPTIONS!$F$80</f>
        <v>0.24</v>
      </c>
      <c r="H23" s="19">
        <f>ASSUMPTIONS!$F$80</f>
        <v>0.24</v>
      </c>
    </row>
    <row r="24" spans="1:9" ht="15" customHeight="1" x14ac:dyDescent="0.2">
      <c r="A24" s="13" t="s">
        <v>541</v>
      </c>
      <c r="D24" s="48">
        <f>D22*(1-D23)</f>
        <v>-3121.3246060606061</v>
      </c>
      <c r="E24" s="48">
        <f>E22*(1-E23)</f>
        <v>-3011.1034949494947</v>
      </c>
      <c r="F24" s="48">
        <f>F22*(1-F23)</f>
        <v>-2900.8823838383842</v>
      </c>
      <c r="G24" s="48">
        <f>G22*(1-G23)</f>
        <v>-2790.6612727272732</v>
      </c>
      <c r="H24" s="48">
        <f>H22*(1-H23)</f>
        <v>-2680.4401616161617</v>
      </c>
    </row>
    <row r="25" spans="1:9" ht="15" customHeight="1" x14ac:dyDescent="0.2">
      <c r="A25" s="12" t="s">
        <v>376</v>
      </c>
      <c r="B25" s="12"/>
      <c r="C25" s="12"/>
      <c r="D25" s="12"/>
      <c r="E25" s="12"/>
      <c r="F25" s="12"/>
      <c r="G25" s="12"/>
      <c r="H25" s="12"/>
      <c r="I25" s="12"/>
    </row>
    <row r="26" spans="1:9" ht="15" customHeight="1" x14ac:dyDescent="0.2">
      <c r="A26" s="45" t="s">
        <v>542</v>
      </c>
      <c r="B26" s="51">
        <f>D6*C6-B6</f>
        <v>0</v>
      </c>
    </row>
    <row r="27" spans="1:9" ht="15" customHeight="1" x14ac:dyDescent="0.2">
      <c r="A27" s="45" t="s">
        <v>543</v>
      </c>
      <c r="B27" s="51">
        <f>D11*C11-B11</f>
        <v>0</v>
      </c>
    </row>
    <row r="28" spans="1:9" ht="15" customHeight="1" x14ac:dyDescent="0.2">
      <c r="A28" s="45" t="s">
        <v>544</v>
      </c>
      <c r="B28" s="51">
        <f>D13*C13-B13</f>
        <v>0</v>
      </c>
    </row>
    <row r="29" spans="1:9" ht="15" customHeight="1" x14ac:dyDescent="0.2">
      <c r="A29" s="45" t="s">
        <v>545</v>
      </c>
      <c r="B29" s="51">
        <f>D10-B10*C10/(C10*(C10+1)/2)</f>
        <v>0</v>
      </c>
    </row>
    <row r="30" spans="1:9" ht="15" customHeight="1" x14ac:dyDescent="0.2">
      <c r="A30" s="45" t="s">
        <v>546</v>
      </c>
      <c r="B30" s="51">
        <f>B10+B11-B8</f>
        <v>0</v>
      </c>
    </row>
    <row r="31" spans="1:9" ht="15" customHeight="1" x14ac:dyDescent="0.2">
      <c r="A31" s="45" t="s">
        <v>547</v>
      </c>
      <c r="B31" s="51">
        <f>D15-(D6+D10+D11+D13)</f>
        <v>0</v>
      </c>
    </row>
    <row r="33" spans="1:2" ht="15" customHeight="1" x14ac:dyDescent="0.2">
      <c r="A33" s="13" t="s">
        <v>335</v>
      </c>
      <c r="B33" s="54" t="str">
        <f>IF(AND(ABS(B26)&lt;1,ABS(B27)&lt;1,ABS(B28)&lt;1,ABS(B29)&lt;1,ABS(B30)&lt;1,ABS(B31)&lt;1),"OK","CHECK")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6"/>
  <sheetViews>
    <sheetView showGridLines="0" zoomScaleNormal="100" workbookViewId="0">
      <selection activeCell="O13" sqref="O13"/>
    </sheetView>
  </sheetViews>
  <sheetFormatPr baseColWidth="10" defaultColWidth="8.6640625" defaultRowHeight="15" x14ac:dyDescent="0.2"/>
  <cols>
    <col min="1" max="1" width="44" customWidth="1"/>
    <col min="2" max="9" width="12" customWidth="1"/>
  </cols>
  <sheetData>
    <row r="1" spans="1:10" ht="15.75" customHeight="1" x14ac:dyDescent="0.2">
      <c r="A1" s="26" t="s">
        <v>942</v>
      </c>
      <c r="B1" s="2"/>
      <c r="C1" s="2"/>
      <c r="D1" s="2"/>
      <c r="E1" s="2"/>
      <c r="F1" s="2"/>
      <c r="G1" s="2"/>
      <c r="H1" s="2"/>
      <c r="I1" s="27"/>
      <c r="J1" s="27"/>
    </row>
    <row r="2" spans="1:10" ht="15" customHeight="1" x14ac:dyDescent="0.2">
      <c r="A2" s="10" t="s">
        <v>943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ht="15" customHeight="1" x14ac:dyDescent="0.2">
      <c r="A4" s="37" t="s">
        <v>548</v>
      </c>
      <c r="B4" s="38" t="s">
        <v>549</v>
      </c>
      <c r="C4" s="38" t="s">
        <v>159</v>
      </c>
      <c r="D4" s="38" t="s">
        <v>160</v>
      </c>
      <c r="E4" s="38" t="s">
        <v>161</v>
      </c>
      <c r="F4" s="38" t="s">
        <v>162</v>
      </c>
      <c r="G4" s="38" t="s">
        <v>163</v>
      </c>
      <c r="H4" s="37" t="s">
        <v>338</v>
      </c>
      <c r="I4" s="27"/>
      <c r="J4" s="27"/>
    </row>
    <row r="5" spans="1:10" ht="15" customHeight="1" x14ac:dyDescent="0.2">
      <c r="A5" s="12" t="s">
        <v>550</v>
      </c>
      <c r="B5" s="12"/>
      <c r="C5" s="12"/>
      <c r="D5" s="12"/>
      <c r="E5" s="12"/>
      <c r="F5" s="12"/>
      <c r="G5" s="12"/>
      <c r="H5" s="12"/>
      <c r="I5" s="27"/>
      <c r="J5" s="27"/>
    </row>
    <row r="6" spans="1:10" ht="15" customHeight="1" x14ac:dyDescent="0.2">
      <c r="A6" s="14" t="s">
        <v>551</v>
      </c>
      <c r="B6" s="18">
        <f>ASSUMPTIONS!C61</f>
        <v>2000</v>
      </c>
      <c r="C6" s="27"/>
      <c r="D6" s="27"/>
      <c r="E6" s="27"/>
      <c r="F6" s="27"/>
      <c r="G6" s="27"/>
      <c r="H6" s="29" t="s">
        <v>552</v>
      </c>
      <c r="I6" s="27"/>
      <c r="J6" s="27"/>
    </row>
    <row r="7" spans="1:10" ht="15" customHeight="1" x14ac:dyDescent="0.2">
      <c r="A7" s="14" t="s">
        <v>553</v>
      </c>
      <c r="B7" s="18">
        <f>ASSUMPTIONS!D61</f>
        <v>2500</v>
      </c>
      <c r="C7" s="27"/>
      <c r="D7" s="27"/>
      <c r="E7" s="27"/>
      <c r="F7" s="27"/>
      <c r="G7" s="27"/>
      <c r="H7" s="27"/>
      <c r="I7" s="27"/>
      <c r="J7" s="27"/>
    </row>
    <row r="8" spans="1:10" ht="15" customHeight="1" x14ac:dyDescent="0.2">
      <c r="A8" s="14" t="s">
        <v>554</v>
      </c>
      <c r="B8" s="18">
        <f>ASSUMPTIONS!E61</f>
        <v>1500</v>
      </c>
      <c r="C8" s="27"/>
      <c r="D8" s="27"/>
      <c r="E8" s="27"/>
      <c r="F8" s="27"/>
      <c r="G8" s="27"/>
      <c r="H8" s="27"/>
      <c r="I8" s="27"/>
      <c r="J8" s="27"/>
    </row>
    <row r="9" spans="1:10" ht="15" customHeight="1" x14ac:dyDescent="0.2">
      <c r="A9" s="13" t="s">
        <v>555</v>
      </c>
      <c r="B9" s="65">
        <f>ASSUMPTIONS!F61</f>
        <v>2000</v>
      </c>
      <c r="C9" s="27"/>
      <c r="D9" s="27"/>
      <c r="E9" s="27"/>
      <c r="F9" s="27"/>
      <c r="G9" s="27"/>
      <c r="H9" s="29" t="s">
        <v>556</v>
      </c>
      <c r="I9" s="27"/>
      <c r="J9" s="27"/>
    </row>
    <row r="10" spans="1:10" ht="15" customHeight="1" x14ac:dyDescent="0.2">
      <c r="A10" s="12" t="s">
        <v>557</v>
      </c>
      <c r="B10" s="12"/>
      <c r="C10" s="12"/>
      <c r="D10" s="12"/>
      <c r="E10" s="12"/>
      <c r="F10" s="12"/>
      <c r="G10" s="12"/>
      <c r="H10" s="12"/>
      <c r="I10" s="27"/>
      <c r="J10" s="27"/>
    </row>
    <row r="11" spans="1:10" ht="15" customHeight="1" x14ac:dyDescent="0.2">
      <c r="A11" s="14" t="s">
        <v>558</v>
      </c>
      <c r="B11" s="27"/>
      <c r="C11" s="19">
        <f>ASSUMPTIONS!C65</f>
        <v>0.1</v>
      </c>
      <c r="D11" s="19">
        <f>ASSUMPTIONS!D65</f>
        <v>0.5</v>
      </c>
      <c r="E11" s="19">
        <f>ASSUMPTIONS!E65</f>
        <v>0.9</v>
      </c>
      <c r="F11" s="19">
        <f>ASSUMPTIONS!F65</f>
        <v>1</v>
      </c>
      <c r="G11" s="19">
        <f>ASSUMPTIONS!G65</f>
        <v>1</v>
      </c>
      <c r="H11" s="29" t="s">
        <v>559</v>
      </c>
      <c r="I11" s="27"/>
      <c r="J11" s="27"/>
    </row>
    <row r="12" spans="1:10" ht="15" customHeight="1" x14ac:dyDescent="0.2">
      <c r="A12" s="14" t="s">
        <v>560</v>
      </c>
      <c r="B12" s="27"/>
      <c r="C12" s="19">
        <f>ASSUMPTIONS!C66</f>
        <v>0.4</v>
      </c>
      <c r="D12" s="19">
        <f>ASSUMPTIONS!D66</f>
        <v>0.4</v>
      </c>
      <c r="E12" s="19">
        <f>ASSUMPTIONS!E66</f>
        <v>0.2</v>
      </c>
      <c r="F12" s="19">
        <f>ASSUMPTIONS!F66</f>
        <v>0</v>
      </c>
      <c r="G12" s="19">
        <f>ASSUMPTIONS!G66</f>
        <v>0</v>
      </c>
      <c r="H12" s="29" t="s">
        <v>561</v>
      </c>
      <c r="I12" s="27"/>
      <c r="J12" s="27"/>
    </row>
    <row r="13" spans="1:10" ht="15" customHeight="1" x14ac:dyDescent="0.2">
      <c r="A13" s="12" t="s">
        <v>562</v>
      </c>
      <c r="B13" s="12"/>
      <c r="C13" s="12"/>
      <c r="D13" s="12"/>
      <c r="E13" s="12"/>
      <c r="F13" s="12"/>
      <c r="G13" s="12"/>
      <c r="H13" s="12"/>
      <c r="I13" s="27"/>
      <c r="J13" s="27"/>
    </row>
    <row r="14" spans="1:10" ht="15" customHeight="1" x14ac:dyDescent="0.2">
      <c r="A14" s="14" t="s">
        <v>563</v>
      </c>
      <c r="B14" s="18">
        <f>ASSUMPTIONS!F61</f>
        <v>2000</v>
      </c>
    </row>
    <row r="15" spans="1:10" ht="15" customHeight="1" x14ac:dyDescent="0.2">
      <c r="A15" s="13" t="s">
        <v>564</v>
      </c>
      <c r="C15" s="30">
        <f>$B$14*C11</f>
        <v>200</v>
      </c>
      <c r="D15" s="30">
        <f>$B$14*D11</f>
        <v>1000</v>
      </c>
      <c r="E15" s="30">
        <f>$B$14*E11</f>
        <v>1800</v>
      </c>
      <c r="F15" s="30">
        <f>$B$14*F11</f>
        <v>2000</v>
      </c>
      <c r="G15" s="30">
        <f>$B$14*G11</f>
        <v>2000</v>
      </c>
    </row>
    <row r="16" spans="1:10" ht="15" customHeight="1" x14ac:dyDescent="0.2">
      <c r="A16" s="12" t="s">
        <v>565</v>
      </c>
      <c r="B16" s="12"/>
      <c r="C16" s="12"/>
      <c r="D16" s="12"/>
      <c r="E16" s="12"/>
      <c r="F16" s="12"/>
      <c r="G16" s="12"/>
      <c r="H16" s="12"/>
    </row>
    <row r="17" spans="1:8" ht="15" customHeight="1" x14ac:dyDescent="0.2">
      <c r="A17" s="14" t="s">
        <v>566</v>
      </c>
      <c r="B17" s="18">
        <f>ASSUMPTIONS!F63</f>
        <v>0</v>
      </c>
      <c r="H17" s="29" t="s">
        <v>567</v>
      </c>
    </row>
    <row r="18" spans="1:8" ht="15" customHeight="1" x14ac:dyDescent="0.2">
      <c r="A18" s="14" t="s">
        <v>568</v>
      </c>
      <c r="C18" s="52">
        <f>$B$17*C11</f>
        <v>0</v>
      </c>
      <c r="D18" s="52">
        <f>$B$17*D11</f>
        <v>0</v>
      </c>
      <c r="E18" s="52">
        <f>$B$17*E11</f>
        <v>0</v>
      </c>
      <c r="F18" s="52">
        <f>$B$17*F11</f>
        <v>0</v>
      </c>
      <c r="G18" s="52">
        <f>$B$17*G11</f>
        <v>0</v>
      </c>
    </row>
    <row r="19" spans="1:8" ht="15" customHeight="1" x14ac:dyDescent="0.2">
      <c r="A19" s="12" t="s">
        <v>569</v>
      </c>
      <c r="B19" s="12"/>
      <c r="C19" s="12"/>
      <c r="D19" s="12"/>
      <c r="E19" s="12"/>
      <c r="F19" s="12"/>
      <c r="G19" s="12"/>
      <c r="H19" s="12"/>
    </row>
    <row r="20" spans="1:8" ht="15" customHeight="1" x14ac:dyDescent="0.2">
      <c r="A20" s="14" t="s">
        <v>570</v>
      </c>
      <c r="B20" s="18">
        <f>ASSUMPTIONS!F62</f>
        <v>1400</v>
      </c>
    </row>
    <row r="21" spans="1:8" ht="15" customHeight="1" x14ac:dyDescent="0.2">
      <c r="A21" s="14" t="s">
        <v>571</v>
      </c>
      <c r="C21" s="52">
        <f>$B$20*C12</f>
        <v>560</v>
      </c>
      <c r="D21" s="52">
        <f>$B$20*D12</f>
        <v>560</v>
      </c>
      <c r="E21" s="52">
        <f>$B$20*E12</f>
        <v>280</v>
      </c>
      <c r="F21" s="52">
        <f>$B$20*F12</f>
        <v>0</v>
      </c>
      <c r="G21" s="52">
        <f>$B$20*G12</f>
        <v>0</v>
      </c>
    </row>
    <row r="22" spans="1:8" ht="15" customHeight="1" x14ac:dyDescent="0.2">
      <c r="A22" s="12" t="s">
        <v>536</v>
      </c>
      <c r="B22" s="12"/>
      <c r="C22" s="12"/>
      <c r="D22" s="12"/>
      <c r="E22" s="12"/>
      <c r="F22" s="12"/>
      <c r="G22" s="12"/>
      <c r="H22" s="12"/>
    </row>
    <row r="23" spans="1:8" ht="15" customHeight="1" x14ac:dyDescent="0.2">
      <c r="A23" s="13" t="s">
        <v>572</v>
      </c>
      <c r="C23" s="30">
        <f>C15+C18</f>
        <v>200</v>
      </c>
      <c r="D23" s="30">
        <f>D15+D18</f>
        <v>1000</v>
      </c>
      <c r="E23" s="30">
        <f>E15+E18</f>
        <v>1800</v>
      </c>
      <c r="F23" s="30">
        <f>F15+F18</f>
        <v>2000</v>
      </c>
      <c r="G23" s="30">
        <f>G15+G18</f>
        <v>2000</v>
      </c>
    </row>
    <row r="24" spans="1:8" ht="15" customHeight="1" x14ac:dyDescent="0.2">
      <c r="A24" s="13" t="s">
        <v>573</v>
      </c>
      <c r="C24" s="30">
        <f>C23</f>
        <v>200</v>
      </c>
      <c r="D24" s="30">
        <f>D23</f>
        <v>1000</v>
      </c>
      <c r="E24" s="30">
        <f>E23</f>
        <v>1800</v>
      </c>
      <c r="F24" s="30">
        <f>F23</f>
        <v>2000</v>
      </c>
      <c r="G24" s="30">
        <f>G23</f>
        <v>2000</v>
      </c>
      <c r="H24" s="29" t="s">
        <v>574</v>
      </c>
    </row>
    <row r="25" spans="1:8" ht="15" customHeight="1" x14ac:dyDescent="0.2">
      <c r="A25" s="14" t="s">
        <v>575</v>
      </c>
      <c r="C25" s="52">
        <f>-C21</f>
        <v>-560</v>
      </c>
      <c r="D25" s="52">
        <f>-D21</f>
        <v>-560</v>
      </c>
      <c r="E25" s="52">
        <f>-E21</f>
        <v>-280</v>
      </c>
      <c r="F25" s="52">
        <f>-F21</f>
        <v>0</v>
      </c>
      <c r="G25" s="52">
        <f>-G21</f>
        <v>0</v>
      </c>
    </row>
    <row r="26" spans="1:8" ht="15" customHeight="1" x14ac:dyDescent="0.2">
      <c r="A26" s="13" t="s">
        <v>576</v>
      </c>
      <c r="C26" s="48">
        <f>C24+C25</f>
        <v>-360</v>
      </c>
      <c r="D26" s="48">
        <f>D24+D25</f>
        <v>440</v>
      </c>
      <c r="E26" s="48">
        <f>E24+E25</f>
        <v>1520</v>
      </c>
      <c r="F26" s="48">
        <f>F24+F25</f>
        <v>2000</v>
      </c>
      <c r="G26" s="48">
        <f>G24+G25</f>
        <v>2000</v>
      </c>
    </row>
    <row r="27" spans="1:8" ht="15" customHeight="1" x14ac:dyDescent="0.2">
      <c r="A27" s="14" t="s">
        <v>577</v>
      </c>
      <c r="C27" s="19">
        <f>ASSUMPTIONS!$F$84</f>
        <v>0.24</v>
      </c>
      <c r="D27" s="19">
        <f>ASSUMPTIONS!$F$84</f>
        <v>0.24</v>
      </c>
      <c r="E27" s="19">
        <f>ASSUMPTIONS!$F$84</f>
        <v>0.24</v>
      </c>
      <c r="F27" s="19">
        <f>ASSUMPTIONS!$F$84</f>
        <v>0.24</v>
      </c>
      <c r="G27" s="19">
        <f>ASSUMPTIONS!$F$84</f>
        <v>0.24</v>
      </c>
    </row>
    <row r="28" spans="1:8" ht="15" customHeight="1" x14ac:dyDescent="0.2">
      <c r="A28" s="13" t="s">
        <v>578</v>
      </c>
      <c r="C28" s="48">
        <f>C26*(1-C27)</f>
        <v>-273.60000000000002</v>
      </c>
      <c r="D28" s="48">
        <f>D26*(1-D27)</f>
        <v>334.4</v>
      </c>
      <c r="E28" s="48">
        <f>E26*(1-E27)</f>
        <v>1155.2</v>
      </c>
      <c r="F28" s="48">
        <f>F26*(1-F27)</f>
        <v>1520</v>
      </c>
      <c r="G28" s="48">
        <f>G26*(1-G27)</f>
        <v>1520</v>
      </c>
    </row>
    <row r="29" spans="1:8" ht="15" customHeight="1" x14ac:dyDescent="0.2">
      <c r="A29" s="12" t="s">
        <v>376</v>
      </c>
      <c r="B29" s="12"/>
      <c r="C29" s="12"/>
      <c r="D29" s="12"/>
      <c r="E29" s="12"/>
      <c r="F29" s="12"/>
      <c r="G29" s="12"/>
      <c r="H29" s="12"/>
    </row>
    <row r="30" spans="1:8" ht="15" customHeight="1" x14ac:dyDescent="0.2">
      <c r="A30" s="45" t="s">
        <v>579</v>
      </c>
      <c r="B30" s="51">
        <f>G15-B14</f>
        <v>0</v>
      </c>
    </row>
    <row r="31" spans="1:8" ht="15" customHeight="1" x14ac:dyDescent="0.2">
      <c r="A31" s="45" t="s">
        <v>580</v>
      </c>
      <c r="B31" s="51">
        <f>SUM(C21:G21)-B20</f>
        <v>0</v>
      </c>
    </row>
    <row r="32" spans="1:8" ht="15" customHeight="1" x14ac:dyDescent="0.2">
      <c r="A32" s="45" t="s">
        <v>581</v>
      </c>
      <c r="B32" s="51">
        <f>G11-1</f>
        <v>0</v>
      </c>
    </row>
    <row r="33" spans="1:2" ht="15" customHeight="1" x14ac:dyDescent="0.2">
      <c r="A33" s="45" t="s">
        <v>582</v>
      </c>
      <c r="B33" s="51">
        <f>SUM(C12:G12)-1</f>
        <v>0</v>
      </c>
    </row>
    <row r="34" spans="1:2" ht="15" customHeight="1" x14ac:dyDescent="0.2">
      <c r="A34" s="45" t="s">
        <v>583</v>
      </c>
      <c r="B34" s="51">
        <f>IF(OR(B9=B6,B9=B7,B9=B8),0,1)</f>
        <v>0</v>
      </c>
    </row>
    <row r="36" spans="1:2" ht="15" customHeight="1" x14ac:dyDescent="0.2">
      <c r="A36" s="13" t="s">
        <v>335</v>
      </c>
      <c r="B36" s="54" t="str">
        <f>IF(AND(ABS(B30)&lt;1,ABS(B31)&lt;1,ABS(B32)&lt;0.001,ABS(B33)&lt;0.001,B34=0),"OK","CHECK")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4"/>
  <sheetViews>
    <sheetView showGridLines="0" zoomScaleNormal="100" workbookViewId="0">
      <selection activeCell="O15" sqref="O15"/>
    </sheetView>
  </sheetViews>
  <sheetFormatPr baseColWidth="10" defaultColWidth="8.6640625" defaultRowHeight="15" x14ac:dyDescent="0.2"/>
  <cols>
    <col min="1" max="1" width="40" customWidth="1"/>
    <col min="2" max="9" width="12" customWidth="1"/>
  </cols>
  <sheetData>
    <row r="1" spans="1:11" ht="15.75" customHeight="1" x14ac:dyDescent="0.2">
      <c r="A1" s="26" t="s">
        <v>944</v>
      </c>
      <c r="B1" s="2"/>
      <c r="C1" s="2"/>
      <c r="D1" s="2"/>
      <c r="E1" s="2"/>
      <c r="F1" s="2"/>
      <c r="G1" s="2"/>
      <c r="H1" s="2"/>
      <c r="I1" s="27"/>
      <c r="J1" s="27"/>
      <c r="K1" s="27"/>
    </row>
    <row r="2" spans="1:11" ht="15" customHeight="1" x14ac:dyDescent="0.2">
      <c r="A2" s="10" t="s">
        <v>584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">
      <c r="A4" s="37" t="s">
        <v>585</v>
      </c>
      <c r="B4" s="38" t="s">
        <v>586</v>
      </c>
      <c r="C4" s="38" t="s">
        <v>159</v>
      </c>
      <c r="D4" s="38" t="s">
        <v>160</v>
      </c>
      <c r="E4" s="38" t="s">
        <v>161</v>
      </c>
      <c r="F4" s="38" t="s">
        <v>162</v>
      </c>
      <c r="G4" s="38" t="s">
        <v>163</v>
      </c>
      <c r="H4" s="37" t="s">
        <v>587</v>
      </c>
      <c r="I4" s="27"/>
      <c r="J4" s="27"/>
      <c r="K4" s="27"/>
    </row>
    <row r="5" spans="1:11" ht="15" customHeight="1" x14ac:dyDescent="0.2">
      <c r="A5" s="12" t="s">
        <v>588</v>
      </c>
      <c r="B5" s="12"/>
      <c r="C5" s="12"/>
      <c r="D5" s="12"/>
      <c r="E5" s="12"/>
      <c r="F5" s="12"/>
      <c r="G5" s="12"/>
      <c r="H5" s="12"/>
      <c r="I5" s="27"/>
      <c r="J5" s="27"/>
      <c r="K5" s="27"/>
    </row>
    <row r="6" spans="1:11" ht="15" customHeight="1" x14ac:dyDescent="0.2">
      <c r="A6" s="14" t="s">
        <v>589</v>
      </c>
      <c r="B6" s="18">
        <f>'S&amp;U'!B18</f>
        <v>19603</v>
      </c>
      <c r="C6" s="27"/>
      <c r="D6" s="27"/>
      <c r="E6" s="27"/>
      <c r="F6" s="27"/>
      <c r="G6" s="27"/>
      <c r="H6" s="60" t="s">
        <v>590</v>
      </c>
      <c r="I6" s="27"/>
      <c r="J6" s="27"/>
      <c r="K6" s="27"/>
    </row>
    <row r="7" spans="1:11" ht="15" customHeight="1" x14ac:dyDescent="0.2">
      <c r="A7" s="14" t="s">
        <v>591</v>
      </c>
      <c r="B7" s="18">
        <f>ASSUMPTIONS!B15</f>
        <v>19208</v>
      </c>
      <c r="C7" s="27"/>
      <c r="D7" s="27"/>
      <c r="E7" s="27"/>
      <c r="F7" s="27"/>
      <c r="G7" s="27"/>
      <c r="H7" s="60" t="s">
        <v>592</v>
      </c>
      <c r="I7" s="27"/>
      <c r="J7" s="27"/>
      <c r="K7" s="27"/>
    </row>
    <row r="8" spans="1:11" ht="15" customHeight="1" x14ac:dyDescent="0.2">
      <c r="A8" s="13" t="s">
        <v>593</v>
      </c>
      <c r="B8" s="48">
        <f>B6+B7</f>
        <v>38811</v>
      </c>
      <c r="C8" s="27"/>
      <c r="D8" s="27"/>
      <c r="E8" s="27"/>
      <c r="F8" s="27"/>
      <c r="G8" s="27"/>
      <c r="H8" s="27"/>
      <c r="I8" s="27"/>
      <c r="J8" s="27"/>
      <c r="K8" s="27"/>
    </row>
    <row r="9" spans="1:11" ht="15" customHeight="1" x14ac:dyDescent="0.2">
      <c r="A9" s="12" t="s">
        <v>945</v>
      </c>
      <c r="B9" s="12"/>
      <c r="C9" s="12"/>
      <c r="D9" s="12"/>
      <c r="E9" s="12"/>
      <c r="F9" s="12"/>
      <c r="G9" s="12"/>
      <c r="H9" s="12"/>
      <c r="I9" s="27"/>
      <c r="J9" s="27"/>
      <c r="K9" s="27"/>
    </row>
    <row r="10" spans="1:11" ht="15" customHeight="1" x14ac:dyDescent="0.2">
      <c r="A10" s="14" t="s">
        <v>594</v>
      </c>
      <c r="B10" s="27"/>
      <c r="C10" s="52">
        <f>B6</f>
        <v>19603</v>
      </c>
      <c r="D10" s="52">
        <f>C14</f>
        <v>188.48539382551826</v>
      </c>
      <c r="E10" s="52">
        <f>D14</f>
        <v>0</v>
      </c>
      <c r="F10" s="52">
        <f>E14</f>
        <v>0</v>
      </c>
      <c r="G10" s="52">
        <f>F14</f>
        <v>0</v>
      </c>
      <c r="H10" s="27"/>
      <c r="I10" s="27"/>
      <c r="J10" s="27"/>
      <c r="K10" s="27"/>
    </row>
    <row r="11" spans="1:11" ht="15" customHeight="1" x14ac:dyDescent="0.2">
      <c r="A11" s="14" t="s">
        <v>595</v>
      </c>
      <c r="B11" s="27"/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7"/>
      <c r="I11" s="27"/>
      <c r="J11" s="27"/>
      <c r="K11" s="27"/>
    </row>
    <row r="12" spans="1:11" ht="15" customHeight="1" x14ac:dyDescent="0.2">
      <c r="A12" s="14" t="s">
        <v>596</v>
      </c>
      <c r="B12" s="27"/>
      <c r="C12" s="52">
        <f>-MIN(C10,C39)</f>
        <v>-13070</v>
      </c>
      <c r="D12" s="52">
        <f>-MIN(D10,D39)</f>
        <v>0</v>
      </c>
      <c r="E12" s="52">
        <f>-MIN(E10,E39)</f>
        <v>0</v>
      </c>
      <c r="F12" s="52">
        <f>-MIN(F10,F39)</f>
        <v>0</v>
      </c>
      <c r="G12" s="52">
        <f>-MIN(G10,G39)</f>
        <v>0</v>
      </c>
      <c r="H12" s="27"/>
      <c r="I12" s="27"/>
      <c r="J12" s="27"/>
      <c r="K12" s="27"/>
    </row>
    <row r="13" spans="1:11" ht="15" customHeight="1" x14ac:dyDescent="0.2">
      <c r="A13" s="14" t="s">
        <v>597</v>
      </c>
      <c r="B13" s="27"/>
      <c r="C13" s="52">
        <f>-MIN(C10+C12,C38)</f>
        <v>-6344.5146061744817</v>
      </c>
      <c r="D13" s="52">
        <f>-MIN(D10+D12,D38)</f>
        <v>-188.48539382551826</v>
      </c>
      <c r="E13" s="52">
        <f>-MIN(E10+E12,E38)</f>
        <v>0</v>
      </c>
      <c r="F13" s="52">
        <f>-MIN(F10+F12,F38)</f>
        <v>0</v>
      </c>
      <c r="G13" s="52">
        <f>-MIN(G10+G12,G38)</f>
        <v>0</v>
      </c>
      <c r="H13" s="27"/>
      <c r="I13" s="27"/>
      <c r="J13" s="27"/>
      <c r="K13" s="27"/>
    </row>
    <row r="14" spans="1:11" ht="15" customHeight="1" x14ac:dyDescent="0.2">
      <c r="A14" s="13" t="s">
        <v>598</v>
      </c>
      <c r="B14" s="27"/>
      <c r="C14" s="66">
        <f>C10+C11+C12+C13</f>
        <v>188.48539382551826</v>
      </c>
      <c r="D14" s="66">
        <f>D10+D11+D12+D13</f>
        <v>0</v>
      </c>
      <c r="E14" s="66">
        <f>E10+E11+E12+E13</f>
        <v>0</v>
      </c>
      <c r="F14" s="66">
        <f>F10+F11+F12+F13</f>
        <v>0</v>
      </c>
      <c r="G14" s="66">
        <f>G10+G11+G12+G13</f>
        <v>0</v>
      </c>
      <c r="H14" s="27"/>
      <c r="I14" s="27"/>
      <c r="J14" s="27"/>
      <c r="K14" s="27"/>
    </row>
    <row r="15" spans="1:11" ht="15" customHeight="1" x14ac:dyDescent="0.2">
      <c r="A15" s="12" t="s">
        <v>946</v>
      </c>
      <c r="B15" s="12"/>
      <c r="C15" s="12"/>
      <c r="D15" s="12"/>
      <c r="E15" s="12"/>
      <c r="F15" s="12"/>
      <c r="G15" s="12"/>
      <c r="H15" s="12"/>
      <c r="I15" s="27"/>
      <c r="J15" s="27"/>
      <c r="K15" s="27"/>
    </row>
    <row r="16" spans="1:11" ht="15" customHeight="1" x14ac:dyDescent="0.2">
      <c r="A16" s="14" t="s">
        <v>594</v>
      </c>
      <c r="B16" s="27"/>
      <c r="C16" s="52">
        <f>B7</f>
        <v>19208</v>
      </c>
      <c r="D16" s="52">
        <f>C19</f>
        <v>19208</v>
      </c>
      <c r="E16" s="52">
        <f>D19</f>
        <v>12164.073853401151</v>
      </c>
      <c r="F16" s="52">
        <f>E19</f>
        <v>4112.4839329901997</v>
      </c>
      <c r="G16" s="52">
        <f>F19</f>
        <v>0</v>
      </c>
      <c r="H16" s="27"/>
      <c r="I16" s="27"/>
      <c r="J16" s="27"/>
      <c r="K16" s="27"/>
    </row>
    <row r="17" spans="1:11" ht="15" customHeight="1" x14ac:dyDescent="0.2">
      <c r="A17" s="14" t="s">
        <v>595</v>
      </c>
      <c r="B17" s="27"/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7"/>
      <c r="I17" s="27"/>
      <c r="J17" s="27"/>
      <c r="K17" s="27"/>
    </row>
    <row r="18" spans="1:11" ht="15" customHeight="1" x14ac:dyDescent="0.2">
      <c r="A18" s="14" t="s">
        <v>599</v>
      </c>
      <c r="B18" s="27"/>
      <c r="C18" s="52">
        <f>-MIN(C16,MAX(0,C40-C10))</f>
        <v>0</v>
      </c>
      <c r="D18" s="52">
        <f>-MIN(D16,MAX(0,D40-D10))</f>
        <v>-7043.9261465988502</v>
      </c>
      <c r="E18" s="52">
        <f>-MIN(E16,MAX(0,E40-E10))</f>
        <v>-8051.589920410951</v>
      </c>
      <c r="F18" s="52">
        <f>-MIN(F16,MAX(0,F40-F10))</f>
        <v>-4112.4839329901997</v>
      </c>
      <c r="G18" s="52">
        <f>-MIN(G16,MAX(0,G40-G10))</f>
        <v>0</v>
      </c>
      <c r="H18" s="27"/>
      <c r="I18" s="27"/>
      <c r="J18" s="27"/>
      <c r="K18" s="27"/>
    </row>
    <row r="19" spans="1:11" ht="15" customHeight="1" x14ac:dyDescent="0.2">
      <c r="A19" s="13" t="s">
        <v>598</v>
      </c>
      <c r="B19" s="27"/>
      <c r="C19" s="66">
        <f>C16+C17+C18</f>
        <v>19208</v>
      </c>
      <c r="D19" s="66">
        <f>D16+D17+D18</f>
        <v>12164.073853401151</v>
      </c>
      <c r="E19" s="66">
        <f>E16+E17+E18</f>
        <v>4112.4839329901997</v>
      </c>
      <c r="F19" s="66">
        <f>F16+F17+F18</f>
        <v>0</v>
      </c>
      <c r="G19" s="66">
        <f>G16+G17+G18</f>
        <v>0</v>
      </c>
      <c r="H19" s="27"/>
      <c r="I19" s="27"/>
      <c r="J19" s="27"/>
      <c r="K19" s="27"/>
    </row>
    <row r="20" spans="1:11" ht="15" customHeight="1" x14ac:dyDescent="0.2">
      <c r="A20" s="12" t="s">
        <v>600</v>
      </c>
      <c r="B20" s="12"/>
      <c r="C20" s="12"/>
      <c r="D20" s="12"/>
      <c r="E20" s="12"/>
      <c r="F20" s="12"/>
      <c r="G20" s="12"/>
      <c r="H20" s="12"/>
      <c r="I20" s="27"/>
      <c r="J20" s="27"/>
      <c r="K20" s="27"/>
    </row>
    <row r="21" spans="1:11" ht="15" customHeight="1" x14ac:dyDescent="0.2">
      <c r="A21" s="14" t="s">
        <v>594</v>
      </c>
      <c r="B21" s="27"/>
      <c r="C21" s="52">
        <f t="shared" ref="C21:G22" si="0">C10+C16</f>
        <v>38811</v>
      </c>
      <c r="D21" s="52">
        <f t="shared" si="0"/>
        <v>19396.485393825518</v>
      </c>
      <c r="E21" s="52">
        <f t="shared" si="0"/>
        <v>12164.073853401151</v>
      </c>
      <c r="F21" s="52">
        <f t="shared" si="0"/>
        <v>4112.4839329901997</v>
      </c>
      <c r="G21" s="52">
        <f t="shared" si="0"/>
        <v>0</v>
      </c>
      <c r="H21" s="27"/>
      <c r="I21" s="27"/>
      <c r="J21" s="27"/>
      <c r="K21" s="27"/>
    </row>
    <row r="22" spans="1:11" ht="15" customHeight="1" x14ac:dyDescent="0.2">
      <c r="A22" s="14" t="s">
        <v>595</v>
      </c>
      <c r="B22" s="27"/>
      <c r="C22" s="52">
        <f t="shared" si="0"/>
        <v>0</v>
      </c>
      <c r="D22" s="52">
        <f t="shared" si="0"/>
        <v>0</v>
      </c>
      <c r="E22" s="52">
        <f t="shared" si="0"/>
        <v>0</v>
      </c>
      <c r="F22" s="52">
        <f t="shared" si="0"/>
        <v>0</v>
      </c>
      <c r="G22" s="52">
        <f t="shared" si="0"/>
        <v>0</v>
      </c>
      <c r="H22" s="27"/>
      <c r="I22" s="27"/>
      <c r="J22" s="27"/>
      <c r="K22" s="27"/>
    </row>
    <row r="23" spans="1:11" ht="15" customHeight="1" x14ac:dyDescent="0.2">
      <c r="A23" s="14" t="s">
        <v>601</v>
      </c>
      <c r="B23" s="27"/>
      <c r="C23" s="52">
        <f>C12+C13+C18</f>
        <v>-19414.514606174482</v>
      </c>
      <c r="D23" s="52">
        <f>D12+D13+D18</f>
        <v>-7232.4115404243685</v>
      </c>
      <c r="E23" s="52">
        <f>E12+E13+E18</f>
        <v>-8051.589920410951</v>
      </c>
      <c r="F23" s="52">
        <f>F12+F13+F18</f>
        <v>-4112.4839329901997</v>
      </c>
      <c r="G23" s="52">
        <f>G12+G13+G18</f>
        <v>0</v>
      </c>
      <c r="H23" s="27"/>
      <c r="I23" s="27"/>
      <c r="J23" s="27"/>
      <c r="K23" s="27"/>
    </row>
    <row r="24" spans="1:11" ht="15" customHeight="1" x14ac:dyDescent="0.2">
      <c r="A24" s="13" t="s">
        <v>598</v>
      </c>
      <c r="B24" s="27"/>
      <c r="C24" s="66">
        <f>C14+C19</f>
        <v>19396.485393825518</v>
      </c>
      <c r="D24" s="66">
        <f>D14+D19</f>
        <v>12164.073853401151</v>
      </c>
      <c r="E24" s="66">
        <f>E14+E19</f>
        <v>4112.4839329901997</v>
      </c>
      <c r="F24" s="66">
        <f>F14+F19</f>
        <v>0</v>
      </c>
      <c r="G24" s="66">
        <f>G14+G19</f>
        <v>0</v>
      </c>
      <c r="H24" s="27"/>
      <c r="I24" s="27"/>
      <c r="J24" s="27"/>
      <c r="K24" s="27"/>
    </row>
    <row r="25" spans="1:11" ht="15" customHeight="1" x14ac:dyDescent="0.2">
      <c r="A25" s="41" t="s">
        <v>602</v>
      </c>
      <c r="B25" s="27"/>
      <c r="C25" s="67">
        <f>(C21+C24)/2</f>
        <v>29103.742696912759</v>
      </c>
      <c r="D25" s="67">
        <f>(D21+D24)/2</f>
        <v>15780.279623613334</v>
      </c>
      <c r="E25" s="67">
        <f>(E21+E24)/2</f>
        <v>8138.2788931956748</v>
      </c>
      <c r="F25" s="67">
        <f>(F21+F24)/2</f>
        <v>2056.2419664950999</v>
      </c>
      <c r="G25" s="67">
        <f>(G21+G24)/2</f>
        <v>0</v>
      </c>
      <c r="H25" s="27"/>
      <c r="I25" s="27"/>
      <c r="J25" s="27"/>
      <c r="K25" s="27"/>
    </row>
    <row r="26" spans="1:11" ht="15" customHeight="1" x14ac:dyDescent="0.2">
      <c r="A26" s="12" t="s">
        <v>603</v>
      </c>
      <c r="B26" s="12"/>
      <c r="C26" s="12"/>
      <c r="D26" s="12"/>
      <c r="E26" s="12"/>
      <c r="F26" s="12"/>
      <c r="G26" s="12"/>
      <c r="H26" s="12"/>
      <c r="I26" s="27"/>
      <c r="J26" s="27"/>
      <c r="K26" s="27"/>
    </row>
    <row r="27" spans="1:11" ht="15" customHeight="1" x14ac:dyDescent="0.2">
      <c r="A27" s="14" t="s">
        <v>604</v>
      </c>
      <c r="B27" s="27"/>
      <c r="C27" s="52">
        <f>C10*ASSUMPTIONS!F68</f>
        <v>646.899</v>
      </c>
      <c r="D27" s="52">
        <f>D10*ASSUMPTIONS!F68</f>
        <v>6.2200179962421025</v>
      </c>
      <c r="E27" s="52">
        <f>E10*ASSUMPTIONS!F68</f>
        <v>0</v>
      </c>
      <c r="F27" s="52">
        <f>F10*ASSUMPTIONS!F68</f>
        <v>0</v>
      </c>
      <c r="G27" s="52">
        <f>G10*ASSUMPTIONS!F68</f>
        <v>0</v>
      </c>
      <c r="H27" s="60" t="s">
        <v>605</v>
      </c>
      <c r="I27" s="27"/>
      <c r="J27" s="27"/>
      <c r="K27" s="27"/>
    </row>
    <row r="28" spans="1:11" ht="15" customHeight="1" x14ac:dyDescent="0.2">
      <c r="A28" s="14" t="s">
        <v>606</v>
      </c>
      <c r="B28" s="27"/>
      <c r="C28" s="52">
        <f>C16*ASSUMPTIONS!F69</f>
        <v>1152.48</v>
      </c>
      <c r="D28" s="52">
        <f>D16*ASSUMPTIONS!F69</f>
        <v>1152.48</v>
      </c>
      <c r="E28" s="52">
        <f>E16*ASSUMPTIONS!F69</f>
        <v>729.844431204069</v>
      </c>
      <c r="F28" s="52">
        <f>F16*ASSUMPTIONS!F69</f>
        <v>246.74903597941199</v>
      </c>
      <c r="G28" s="52">
        <f>G16*ASSUMPTIONS!F69</f>
        <v>0</v>
      </c>
      <c r="H28" s="27"/>
      <c r="I28" s="27"/>
      <c r="J28" s="27"/>
      <c r="K28" s="27"/>
    </row>
    <row r="29" spans="1:11" ht="15" customHeight="1" x14ac:dyDescent="0.2">
      <c r="A29" s="14" t="s">
        <v>607</v>
      </c>
      <c r="B29" s="27"/>
      <c r="C29" s="52">
        <f>-ASSUMPTIONS!F70*IF(C16&gt;0,1,0)</f>
        <v>-205</v>
      </c>
      <c r="D29" s="52">
        <f>-ASSUMPTIONS!F70*IF(D16&gt;0,1,0)</f>
        <v>-205</v>
      </c>
      <c r="E29" s="52">
        <f>-ASSUMPTIONS!F70*IF(E16&gt;0,1,0)</f>
        <v>-205</v>
      </c>
      <c r="F29" s="52">
        <f>-ASSUMPTIONS!F70*IF(F16&gt;0,1,0)</f>
        <v>-205</v>
      </c>
      <c r="G29" s="52">
        <f>-ASSUMPTIONS!F70*IF(G16&gt;0,1,0)</f>
        <v>0</v>
      </c>
      <c r="H29" s="27"/>
      <c r="I29" s="27"/>
      <c r="J29" s="27"/>
      <c r="K29" s="27"/>
    </row>
    <row r="30" spans="1:11" ht="15" customHeight="1" x14ac:dyDescent="0.2">
      <c r="A30" s="13" t="s">
        <v>608</v>
      </c>
      <c r="B30" s="27"/>
      <c r="C30" s="66">
        <f>C27+C28+C29</f>
        <v>1594.3789999999999</v>
      </c>
      <c r="D30" s="66">
        <f>D27+D28+D29</f>
        <v>953.7000179962422</v>
      </c>
      <c r="E30" s="66">
        <f>E27+E28+E29</f>
        <v>524.844431204069</v>
      </c>
      <c r="F30" s="66">
        <f>F27+F28+F29</f>
        <v>41.749035979411985</v>
      </c>
      <c r="G30" s="66">
        <f>G27+G28+G29</f>
        <v>0</v>
      </c>
      <c r="H30" s="27"/>
      <c r="I30" s="27"/>
      <c r="J30" s="27"/>
      <c r="K30" s="27"/>
    </row>
    <row r="31" spans="1:11" ht="15" customHeight="1" x14ac:dyDescent="0.2">
      <c r="A31" s="41" t="s">
        <v>609</v>
      </c>
      <c r="B31" s="27"/>
      <c r="C31" s="68">
        <f>IF(C25=0,0,C30/C25)</f>
        <v>5.4782610491162946E-2</v>
      </c>
      <c r="D31" s="68">
        <f>IF(D25=0,0,D30/D25)</f>
        <v>6.0436192560817628E-2</v>
      </c>
      <c r="E31" s="68">
        <f>IF(E25=0,0,E30/E25)</f>
        <v>6.4490838676330653E-2</v>
      </c>
      <c r="F31" s="68">
        <f>IF(F25=0,0,F30/F25)</f>
        <v>2.030356186659002E-2</v>
      </c>
      <c r="G31" s="68">
        <f>IF(G25=0,0,G30/G25)</f>
        <v>0</v>
      </c>
      <c r="H31" s="27"/>
      <c r="I31" s="27"/>
      <c r="J31" s="27"/>
      <c r="K31" s="27"/>
    </row>
    <row r="32" spans="1:11" ht="15" customHeight="1" x14ac:dyDescent="0.2">
      <c r="A32" s="12" t="s">
        <v>610</v>
      </c>
      <c r="B32" s="12"/>
      <c r="C32" s="12"/>
      <c r="D32" s="12"/>
      <c r="E32" s="12"/>
      <c r="F32" s="12"/>
      <c r="G32" s="12"/>
      <c r="H32" s="12"/>
      <c r="I32" s="27"/>
      <c r="J32" s="27"/>
      <c r="K32" s="27"/>
    </row>
    <row r="33" spans="1:11" ht="15" customHeight="1" x14ac:dyDescent="0.2">
      <c r="A33" s="14" t="s">
        <v>611</v>
      </c>
      <c r="B33" s="27"/>
      <c r="C33" s="18">
        <f>PF_IS!C15</f>
        <v>22884.928005722319</v>
      </c>
      <c r="D33" s="18">
        <f>PF_IS!D15</f>
        <v>24527.337593534055</v>
      </c>
      <c r="E33" s="18">
        <f>PF_IS!E15</f>
        <v>26210.581155991833</v>
      </c>
      <c r="F33" s="18">
        <f>PF_IS!F15</f>
        <v>27336.624630409031</v>
      </c>
      <c r="G33" s="18">
        <f>PF_IS!G15</f>
        <v>28307.537846871615</v>
      </c>
      <c r="H33" s="60" t="s">
        <v>612</v>
      </c>
      <c r="I33" s="27"/>
      <c r="J33" s="27"/>
      <c r="K33" s="27"/>
    </row>
    <row r="34" spans="1:11" ht="15" customHeight="1" x14ac:dyDescent="0.2">
      <c r="A34" s="14" t="s">
        <v>613</v>
      </c>
      <c r="B34" s="27"/>
      <c r="C34" s="18">
        <f>-(DIS_PROJ!C52+FOX_PROJ!C44)</f>
        <v>-4752.8976000000002</v>
      </c>
      <c r="D34" s="18">
        <f>-(DIS_PROJ!D52+FOX_PROJ!D44)</f>
        <v>-4937.0647100000006</v>
      </c>
      <c r="E34" s="18">
        <f>-(DIS_PROJ!E52+FOX_PROJ!E44)</f>
        <v>-5130.3316310999999</v>
      </c>
      <c r="F34" s="18">
        <f>-(DIS_PROJ!F52+FOX_PROJ!F44)</f>
        <v>-5333.1519625442006</v>
      </c>
      <c r="G34" s="18">
        <f>-(DIS_PROJ!G52+FOX_PROJ!G44)</f>
        <v>-5546.0038985934061</v>
      </c>
      <c r="H34" s="27"/>
      <c r="I34" s="27"/>
      <c r="J34" s="27"/>
      <c r="K34" s="27"/>
    </row>
    <row r="35" spans="1:11" ht="15" customHeight="1" x14ac:dyDescent="0.2">
      <c r="A35" s="14" t="s">
        <v>614</v>
      </c>
      <c r="B35" s="27"/>
      <c r="C35" s="18">
        <f>PF_IS!C33</f>
        <v>-3848.6221933733555</v>
      </c>
      <c r="D35" s="18">
        <f>PF_IS!D33</f>
        <v>-4171.7497846890747</v>
      </c>
      <c r="E35" s="18">
        <f>PF_IS!E33</f>
        <v>-4452.2252528658628</v>
      </c>
      <c r="F35" s="18">
        <f>PF_IS!F33</f>
        <v>-4754.295319537493</v>
      </c>
      <c r="G35" s="18">
        <f>PF_IS!G33</f>
        <v>-5008.6314562531952</v>
      </c>
      <c r="H35" s="27"/>
      <c r="I35" s="27"/>
      <c r="J35" s="27"/>
      <c r="K35" s="27"/>
    </row>
    <row r="36" spans="1:11" ht="15" customHeight="1" x14ac:dyDescent="0.2">
      <c r="A36" s="14" t="s">
        <v>615</v>
      </c>
      <c r="B36" s="27"/>
      <c r="C36" s="52">
        <f>-C30</f>
        <v>-1594.3789999999999</v>
      </c>
      <c r="D36" s="52">
        <f>-D30</f>
        <v>-953.7000179962422</v>
      </c>
      <c r="E36" s="52">
        <f>-E30</f>
        <v>-524.844431204069</v>
      </c>
      <c r="F36" s="52">
        <f>-F30</f>
        <v>-41.749035979411985</v>
      </c>
      <c r="G36" s="52">
        <f>-G30</f>
        <v>0</v>
      </c>
      <c r="H36" s="27"/>
      <c r="I36" s="27"/>
      <c r="J36" s="27"/>
      <c r="K36" s="27"/>
    </row>
    <row r="37" spans="1:11" ht="15" customHeight="1" x14ac:dyDescent="0.2">
      <c r="A37" s="13" t="s">
        <v>616</v>
      </c>
      <c r="B37" s="27"/>
      <c r="C37" s="66">
        <f>C33+C34+C35+C36</f>
        <v>12689.029212348963</v>
      </c>
      <c r="D37" s="66">
        <f>D33+D34+D35+D36</f>
        <v>14464.823080848737</v>
      </c>
      <c r="E37" s="66">
        <f>E33+E34+E35+E36</f>
        <v>16103.179840821902</v>
      </c>
      <c r="F37" s="66">
        <f>F33+F34+F35+F36</f>
        <v>17207.428312347922</v>
      </c>
      <c r="G37" s="66">
        <f>G33+G34+G35+G36</f>
        <v>17752.902492025012</v>
      </c>
      <c r="H37" s="27"/>
      <c r="I37" s="27"/>
      <c r="J37" s="27"/>
      <c r="K37" s="27"/>
    </row>
    <row r="38" spans="1:11" ht="15" customHeight="1" x14ac:dyDescent="0.2">
      <c r="A38" s="14" t="s">
        <v>617</v>
      </c>
      <c r="B38" s="27"/>
      <c r="C38" s="52">
        <f>ASSUMPTIONS!F74*MAX(0,C37)</f>
        <v>6344.5146061744817</v>
      </c>
      <c r="D38" s="52">
        <f>ASSUMPTIONS!F74*MAX(0,D37)</f>
        <v>7232.4115404243685</v>
      </c>
      <c r="E38" s="52">
        <f>ASSUMPTIONS!F74*MAX(0,E37)</f>
        <v>8051.589920410951</v>
      </c>
      <c r="F38" s="52">
        <f>ASSUMPTIONS!F74*MAX(0,F37)</f>
        <v>8603.7141561739609</v>
      </c>
      <c r="G38" s="52">
        <f>ASSUMPTIONS!F74*MAX(0,G37)</f>
        <v>8876.4512460125061</v>
      </c>
      <c r="H38" s="27"/>
      <c r="I38" s="27"/>
      <c r="J38" s="27"/>
      <c r="K38" s="27"/>
    </row>
    <row r="39" spans="1:11" ht="15" customHeight="1" x14ac:dyDescent="0.2">
      <c r="A39" s="14" t="s">
        <v>618</v>
      </c>
      <c r="B39" s="27"/>
      <c r="C39" s="52">
        <f>ASSUMPTIONS!F71*ASSUMPTIONS!F72</f>
        <v>13070</v>
      </c>
      <c r="D39" s="28">
        <v>0</v>
      </c>
      <c r="E39" s="28">
        <v>0</v>
      </c>
      <c r="F39" s="28">
        <v>0</v>
      </c>
      <c r="G39" s="28">
        <v>0</v>
      </c>
      <c r="H39" s="27"/>
      <c r="I39" s="27"/>
      <c r="J39" s="27"/>
      <c r="K39" s="27"/>
    </row>
    <row r="40" spans="1:11" ht="15" customHeight="1" x14ac:dyDescent="0.2">
      <c r="A40" s="13" t="s">
        <v>619</v>
      </c>
      <c r="B40" s="27"/>
      <c r="C40" s="66">
        <f>C38+C39</f>
        <v>19414.514606174482</v>
      </c>
      <c r="D40" s="66">
        <f>D38+D39</f>
        <v>7232.4115404243685</v>
      </c>
      <c r="E40" s="66">
        <f>E38+E39</f>
        <v>8051.589920410951</v>
      </c>
      <c r="F40" s="66">
        <f>F38+F39</f>
        <v>8603.7141561739609</v>
      </c>
      <c r="G40" s="66">
        <f>G38+G39</f>
        <v>8876.4512460125061</v>
      </c>
      <c r="H40" s="27"/>
      <c r="I40" s="27"/>
      <c r="J40" s="27"/>
      <c r="K40" s="27"/>
    </row>
    <row r="41" spans="1:11" ht="15" customHeight="1" x14ac:dyDescent="0.2">
      <c r="A41" s="12" t="s">
        <v>620</v>
      </c>
      <c r="B41" s="12"/>
      <c r="C41" s="12"/>
      <c r="D41" s="12"/>
      <c r="E41" s="12"/>
      <c r="F41" s="12"/>
      <c r="G41" s="12"/>
      <c r="H41" s="12"/>
      <c r="I41" s="27"/>
      <c r="J41" s="27"/>
      <c r="K41" s="27"/>
    </row>
    <row r="42" spans="1:11" ht="15" customHeight="1" x14ac:dyDescent="0.2">
      <c r="A42" s="14" t="s">
        <v>621</v>
      </c>
      <c r="B42" s="27"/>
      <c r="C42" s="69">
        <f>IF(C33=0,0,C24/C33)</f>
        <v>0.84756593461755592</v>
      </c>
      <c r="D42" s="69">
        <f>IF(D33=0,0,D24/D33)</f>
        <v>0.49593943113531685</v>
      </c>
      <c r="E42" s="69">
        <f>IF(E33=0,0,E24/E33)</f>
        <v>0.15690166915852879</v>
      </c>
      <c r="F42" s="69">
        <f>IF(F33=0,0,F24/F33)</f>
        <v>0</v>
      </c>
      <c r="G42" s="69">
        <f>IF(G33=0,0,G24/G33)</f>
        <v>0</v>
      </c>
      <c r="H42" s="27"/>
      <c r="I42" s="27"/>
      <c r="J42" s="27"/>
      <c r="K42" s="27"/>
    </row>
    <row r="43" spans="1:11" ht="15" customHeight="1" x14ac:dyDescent="0.2">
      <c r="A43" s="14" t="s">
        <v>622</v>
      </c>
      <c r="B43" s="27"/>
      <c r="C43" s="18">
        <f>ASSUMPTIONS!F73</f>
        <v>4000</v>
      </c>
      <c r="D43" s="18">
        <f>ASSUMPTIONS!F73</f>
        <v>4000</v>
      </c>
      <c r="E43" s="18">
        <f>ASSUMPTIONS!F73</f>
        <v>4000</v>
      </c>
      <c r="F43" s="18">
        <f>ASSUMPTIONS!F73</f>
        <v>4000</v>
      </c>
      <c r="G43" s="18">
        <f>ASSUMPTIONS!F73</f>
        <v>4000</v>
      </c>
      <c r="H43" s="27"/>
      <c r="I43" s="27"/>
      <c r="J43" s="27"/>
      <c r="K43" s="27"/>
    </row>
    <row r="44" spans="1:11" ht="15" customHeight="1" x14ac:dyDescent="0.2">
      <c r="A44" s="14" t="s">
        <v>623</v>
      </c>
      <c r="B44" s="27"/>
      <c r="C44" s="69">
        <f>IF(C33=0,0,(C24-C43)/C33)</f>
        <v>0.67277840638063913</v>
      </c>
      <c r="D44" s="69">
        <f>IF(D33=0,0,(D24-D43)/D33)</f>
        <v>0.33285609668264116</v>
      </c>
      <c r="E44" s="69">
        <f>IF(E33=0,0,(E24-E43)/E33)</f>
        <v>4.2915466971431681E-3</v>
      </c>
      <c r="F44" s="69">
        <f>IF(F33=0,0,(F24-F43)/F33)</f>
        <v>-0.14632384407658119</v>
      </c>
      <c r="G44" s="69">
        <f>IF(G33=0,0,(G24-G43)/G33)</f>
        <v>-0.14130511885695693</v>
      </c>
      <c r="H44" s="27"/>
      <c r="I44" s="27"/>
      <c r="J44" s="27"/>
      <c r="K44" s="27"/>
    </row>
    <row r="45" spans="1:11" ht="15" customHeight="1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spans="1:11" ht="15" customHeight="1" x14ac:dyDescent="0.2">
      <c r="A46" s="12" t="s">
        <v>376</v>
      </c>
      <c r="B46" s="12"/>
      <c r="C46" s="12"/>
      <c r="D46" s="12"/>
      <c r="E46" s="12"/>
      <c r="F46" s="12"/>
      <c r="G46" s="12"/>
      <c r="H46" s="12"/>
      <c r="I46" s="27"/>
      <c r="J46" s="27"/>
      <c r="K46" s="27"/>
    </row>
    <row r="47" spans="1:11" ht="15" customHeight="1" x14ac:dyDescent="0.2">
      <c r="A47" s="45" t="s">
        <v>624</v>
      </c>
      <c r="B47" s="27"/>
      <c r="C47" s="51">
        <f>C24-(C21+C22+C23)</f>
        <v>0</v>
      </c>
      <c r="D47" s="27"/>
      <c r="E47" s="27"/>
      <c r="F47" s="27"/>
      <c r="G47" s="27"/>
      <c r="H47" s="27"/>
      <c r="I47" s="27"/>
      <c r="J47" s="27"/>
      <c r="K47" s="27"/>
    </row>
    <row r="48" spans="1:11" ht="15" customHeight="1" x14ac:dyDescent="0.2">
      <c r="A48" s="45" t="s">
        <v>625</v>
      </c>
      <c r="C48" s="51">
        <f>B8-(B6+B7)</f>
        <v>0</v>
      </c>
    </row>
    <row r="49" spans="1:3" ht="15" customHeight="1" x14ac:dyDescent="0.2">
      <c r="A49" s="45" t="s">
        <v>626</v>
      </c>
      <c r="C49" s="51">
        <f>MAX(ABS(C24-C14-C19),ABS(G24-G14-G19))</f>
        <v>0</v>
      </c>
    </row>
    <row r="50" spans="1:3" ht="15" customHeight="1" x14ac:dyDescent="0.2">
      <c r="A50" s="45" t="s">
        <v>627</v>
      </c>
      <c r="C50" s="51">
        <f>C30-(C27+C28+C29)</f>
        <v>0</v>
      </c>
    </row>
    <row r="51" spans="1:3" ht="15" customHeight="1" x14ac:dyDescent="0.2">
      <c r="A51" s="45" t="s">
        <v>628</v>
      </c>
      <c r="C51" s="51">
        <f>C42*C33-C24</f>
        <v>0</v>
      </c>
    </row>
    <row r="52" spans="1:3" ht="15" customHeight="1" x14ac:dyDescent="0.2">
      <c r="A52" s="45" t="s">
        <v>629</v>
      </c>
      <c r="C52" s="51">
        <f>MIN(C14:G14,C19:G19)</f>
        <v>0</v>
      </c>
    </row>
    <row r="54" spans="1:3" ht="15" customHeight="1" x14ac:dyDescent="0.2">
      <c r="A54" s="13" t="s">
        <v>335</v>
      </c>
      <c r="B54" s="54" t="str">
        <f>IF(AND(ABS(C47)&lt;1,ABS(B48)&lt;1,C49&lt;1,ABS(C50)&lt;1,ABS(C51)&lt;1,C52&gt;=-0.5),"OK","CHECK")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showGridLines="0" zoomScaleNormal="100" workbookViewId="0"/>
  </sheetViews>
  <sheetFormatPr baseColWidth="10" defaultColWidth="8.6640625" defaultRowHeight="15" x14ac:dyDescent="0.2"/>
  <cols>
    <col min="1" max="1" width="46" customWidth="1"/>
    <col min="2" max="9" width="13" customWidth="1"/>
  </cols>
  <sheetData>
    <row r="1" spans="1:8" ht="15.75" customHeight="1" x14ac:dyDescent="0.2">
      <c r="A1" s="26" t="s">
        <v>630</v>
      </c>
      <c r="B1" s="2"/>
      <c r="C1" s="2"/>
      <c r="D1" s="2"/>
      <c r="E1" s="2"/>
      <c r="F1" s="2"/>
      <c r="G1" s="2"/>
      <c r="H1" s="2"/>
    </row>
    <row r="2" spans="1:8" ht="15" customHeight="1" x14ac:dyDescent="0.2">
      <c r="A2" s="10" t="s">
        <v>631</v>
      </c>
    </row>
    <row r="4" spans="1:8" ht="15" customHeight="1" x14ac:dyDescent="0.2">
      <c r="A4" s="12" t="s">
        <v>632</v>
      </c>
      <c r="B4" s="12"/>
      <c r="C4" s="12"/>
      <c r="D4" s="12"/>
      <c r="E4" s="12"/>
      <c r="F4" s="12"/>
      <c r="G4" s="12"/>
      <c r="H4" s="12"/>
    </row>
    <row r="5" spans="1:8" ht="15" customHeight="1" x14ac:dyDescent="0.2">
      <c r="A5" s="14" t="s">
        <v>504</v>
      </c>
      <c r="B5" s="18">
        <f>PPA!B28</f>
        <v>9000</v>
      </c>
    </row>
    <row r="6" spans="1:8" ht="15" customHeight="1" x14ac:dyDescent="0.2">
      <c r="A6" s="14" t="s">
        <v>633</v>
      </c>
      <c r="B6" s="18">
        <f>PPA!B29</f>
        <v>4500</v>
      </c>
    </row>
    <row r="7" spans="1:8" ht="15" customHeight="1" x14ac:dyDescent="0.2">
      <c r="A7" s="14" t="s">
        <v>634</v>
      </c>
      <c r="B7" s="18">
        <f>PPA!B30</f>
        <v>1500</v>
      </c>
    </row>
    <row r="8" spans="1:8" ht="15" customHeight="1" x14ac:dyDescent="0.2">
      <c r="A8" s="13" t="s">
        <v>508</v>
      </c>
      <c r="B8" s="48">
        <f>B5+B6+B7</f>
        <v>15000</v>
      </c>
    </row>
    <row r="9" spans="1:8" ht="15" customHeight="1" x14ac:dyDescent="0.2">
      <c r="A9" s="14" t="s">
        <v>635</v>
      </c>
      <c r="B9" s="18">
        <f>PPA!B33</f>
        <v>12774</v>
      </c>
    </row>
    <row r="10" spans="1:8" ht="15" customHeight="1" x14ac:dyDescent="0.2">
      <c r="A10" s="14" t="s">
        <v>636</v>
      </c>
      <c r="B10" s="18">
        <f>PPA!B34</f>
        <v>4669</v>
      </c>
    </row>
    <row r="12" spans="1:8" ht="15" customHeight="1" x14ac:dyDescent="0.2">
      <c r="A12" s="70" t="s">
        <v>637</v>
      </c>
    </row>
    <row r="13" spans="1:8" ht="15" customHeight="1" x14ac:dyDescent="0.2">
      <c r="A13" s="71" t="s">
        <v>638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"/>
  <sheetViews>
    <sheetView showGridLines="0" zoomScaleNormal="100" workbookViewId="0"/>
  </sheetViews>
  <sheetFormatPr baseColWidth="10" defaultColWidth="8.6640625" defaultRowHeight="15" x14ac:dyDescent="0.2"/>
  <cols>
    <col min="1" max="1" width="46" customWidth="1"/>
    <col min="2" max="9" width="13" customWidth="1"/>
  </cols>
  <sheetData>
    <row r="1" spans="1:8" ht="15.75" customHeight="1" x14ac:dyDescent="0.2">
      <c r="A1" s="26" t="s">
        <v>639</v>
      </c>
      <c r="B1" s="2"/>
      <c r="C1" s="2"/>
      <c r="D1" s="2"/>
      <c r="E1" s="2"/>
      <c r="F1" s="2"/>
      <c r="G1" s="2"/>
      <c r="H1" s="2"/>
    </row>
    <row r="2" spans="1:8" ht="15" customHeight="1" x14ac:dyDescent="0.2">
      <c r="A2" s="10" t="s">
        <v>640</v>
      </c>
    </row>
    <row r="4" spans="1:8" ht="15" customHeight="1" x14ac:dyDescent="0.2">
      <c r="A4" s="12" t="s">
        <v>641</v>
      </c>
      <c r="B4" s="12"/>
      <c r="C4" s="12"/>
      <c r="D4" s="12"/>
      <c r="E4" s="12"/>
      <c r="F4" s="12"/>
      <c r="G4" s="12"/>
      <c r="H4" s="12"/>
    </row>
    <row r="5" spans="1:8" ht="15" customHeight="1" x14ac:dyDescent="0.2">
      <c r="A5" s="14" t="s">
        <v>642</v>
      </c>
      <c r="B5" s="18">
        <f>FOX_HIST!D39</f>
        <v>4331</v>
      </c>
    </row>
    <row r="6" spans="1:8" ht="15" customHeight="1" x14ac:dyDescent="0.2">
      <c r="A6" s="14" t="s">
        <v>643</v>
      </c>
      <c r="B6" s="18">
        <f>FOX_HIST!D40</f>
        <v>2013</v>
      </c>
    </row>
    <row r="7" spans="1:8" ht="15" customHeight="1" x14ac:dyDescent="0.2">
      <c r="A7" s="14" t="s">
        <v>644</v>
      </c>
      <c r="B7" s="28">
        <v>12848</v>
      </c>
      <c r="F7" s="29" t="s">
        <v>645</v>
      </c>
    </row>
    <row r="8" spans="1:8" ht="15" customHeight="1" x14ac:dyDescent="0.2">
      <c r="A8" s="14" t="s">
        <v>646</v>
      </c>
      <c r="B8" s="28">
        <v>13070</v>
      </c>
    </row>
    <row r="10" spans="1:8" ht="15" customHeight="1" x14ac:dyDescent="0.2">
      <c r="A10" s="70" t="s">
        <v>637</v>
      </c>
    </row>
    <row r="11" spans="1:8" ht="15" customHeight="1" x14ac:dyDescent="0.2">
      <c r="A11" s="71" t="s">
        <v>647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75"/>
  <sheetViews>
    <sheetView showGridLines="0" zoomScaleNormal="100" workbookViewId="0">
      <selection activeCell="O13" sqref="O13"/>
    </sheetView>
  </sheetViews>
  <sheetFormatPr baseColWidth="10" defaultColWidth="8.6640625" defaultRowHeight="15" x14ac:dyDescent="0.2"/>
  <cols>
    <col min="1" max="1" width="42" customWidth="1"/>
    <col min="2" max="9" width="12" customWidth="1"/>
  </cols>
  <sheetData>
    <row r="1" spans="1:11" ht="15.75" customHeight="1" x14ac:dyDescent="0.2">
      <c r="A1" s="26" t="s">
        <v>947</v>
      </c>
      <c r="B1" s="2"/>
      <c r="C1" s="2"/>
      <c r="D1" s="2"/>
      <c r="E1" s="2"/>
      <c r="F1" s="2"/>
      <c r="G1" s="2"/>
      <c r="H1" s="2"/>
      <c r="I1" s="27"/>
      <c r="J1" s="27"/>
      <c r="K1" s="27"/>
    </row>
    <row r="2" spans="1:11" ht="15" customHeight="1" x14ac:dyDescent="0.2">
      <c r="A2" s="10" t="s">
        <v>648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">
      <c r="A4" s="72" t="s">
        <v>649</v>
      </c>
      <c r="B4" s="12"/>
      <c r="C4" s="72" t="s">
        <v>159</v>
      </c>
      <c r="D4" s="72" t="s">
        <v>160</v>
      </c>
      <c r="E4" s="72" t="s">
        <v>161</v>
      </c>
      <c r="F4" s="72" t="s">
        <v>162</v>
      </c>
      <c r="G4" s="72" t="s">
        <v>163</v>
      </c>
      <c r="H4" s="12"/>
      <c r="I4" s="27"/>
      <c r="J4" s="27"/>
      <c r="K4" s="27"/>
    </row>
    <row r="5" spans="1:11" ht="15" customHeight="1" x14ac:dyDescent="0.2">
      <c r="A5" s="14" t="s">
        <v>650</v>
      </c>
      <c r="B5" s="27"/>
      <c r="C5" s="18">
        <f>DIS_PROJ!C23</f>
        <v>61693.22</v>
      </c>
      <c r="D5" s="18">
        <f>DIS_PROJ!D23</f>
        <v>64065.395199999999</v>
      </c>
      <c r="E5" s="18">
        <f>DIS_PROJ!E23</f>
        <v>66556.172995999994</v>
      </c>
      <c r="F5" s="18">
        <f>DIS_PROJ!F23</f>
        <v>69171.509976040004</v>
      </c>
      <c r="G5" s="18">
        <f>DIS_PROJ!G23</f>
        <v>71917.689305505191</v>
      </c>
      <c r="H5" s="27"/>
      <c r="I5" s="27"/>
      <c r="J5" s="27"/>
      <c r="K5" s="27"/>
    </row>
    <row r="6" spans="1:11" ht="15" customHeight="1" x14ac:dyDescent="0.2">
      <c r="A6" s="14" t="s">
        <v>651</v>
      </c>
      <c r="B6" s="27"/>
      <c r="C6" s="18">
        <f>FOX_PROJ!C10</f>
        <v>21718.61</v>
      </c>
      <c r="D6" s="18">
        <f>FOX_PROJ!D10</f>
        <v>22624.352300000002</v>
      </c>
      <c r="E6" s="18">
        <f>FOX_PROJ!E10</f>
        <v>23569.976069000004</v>
      </c>
      <c r="F6" s="18">
        <f>FOX_PROJ!F10</f>
        <v>24557.313211070003</v>
      </c>
      <c r="G6" s="18">
        <f>FOX_PROJ!G10</f>
        <v>25588.282360402103</v>
      </c>
      <c r="H6" s="27"/>
      <c r="I6" s="27"/>
      <c r="J6" s="27"/>
      <c r="K6" s="27"/>
    </row>
    <row r="7" spans="1:11" ht="15" customHeight="1" x14ac:dyDescent="0.2">
      <c r="A7" s="14" t="s">
        <v>652</v>
      </c>
      <c r="B7" s="27"/>
      <c r="C7" s="18">
        <f>SYNERGIES!C18</f>
        <v>0</v>
      </c>
      <c r="D7" s="18">
        <f>SYNERGIES!D18</f>
        <v>0</v>
      </c>
      <c r="E7" s="18">
        <f>SYNERGIES!E18</f>
        <v>0</v>
      </c>
      <c r="F7" s="18">
        <f>SYNERGIES!F18</f>
        <v>0</v>
      </c>
      <c r="G7" s="18">
        <f>SYNERGIES!G18</f>
        <v>0</v>
      </c>
      <c r="H7" s="27"/>
      <c r="I7" s="27"/>
      <c r="J7" s="27"/>
      <c r="K7" s="27"/>
    </row>
    <row r="8" spans="1:11" ht="15" customHeight="1" x14ac:dyDescent="0.2">
      <c r="A8" s="14" t="s">
        <v>653</v>
      </c>
      <c r="B8" s="27"/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7"/>
      <c r="I8" s="27"/>
      <c r="J8" s="27"/>
      <c r="K8" s="27"/>
    </row>
    <row r="9" spans="1:11" ht="15" customHeight="1" x14ac:dyDescent="0.2">
      <c r="A9" s="13" t="s">
        <v>654</v>
      </c>
      <c r="B9" s="27"/>
      <c r="C9" s="48">
        <f>C5+C6+C7+C8</f>
        <v>83411.83</v>
      </c>
      <c r="D9" s="48">
        <f>D5+D6+D7+D8</f>
        <v>86689.747499999998</v>
      </c>
      <c r="E9" s="48">
        <f>E5+E6+E7+E8</f>
        <v>90126.149065000005</v>
      </c>
      <c r="F9" s="48">
        <f>F5+F6+F7+F8</f>
        <v>93728.823187110014</v>
      </c>
      <c r="G9" s="48">
        <f>G5+G6+G7+G8</f>
        <v>97505.971665907302</v>
      </c>
      <c r="H9" s="27"/>
      <c r="I9" s="27"/>
      <c r="J9" s="27"/>
      <c r="K9" s="27"/>
    </row>
    <row r="10" spans="1:11" ht="15" customHeight="1" x14ac:dyDescent="0.2">
      <c r="A10" s="12" t="s">
        <v>356</v>
      </c>
      <c r="B10" s="12"/>
      <c r="C10" s="12"/>
      <c r="D10" s="12"/>
      <c r="E10" s="12"/>
      <c r="F10" s="12"/>
      <c r="G10" s="12"/>
      <c r="H10" s="12"/>
      <c r="I10" s="27"/>
      <c r="J10" s="27"/>
      <c r="K10" s="27"/>
    </row>
    <row r="11" spans="1:11" ht="15" customHeight="1" x14ac:dyDescent="0.2">
      <c r="A11" s="14" t="s">
        <v>650</v>
      </c>
      <c r="B11" s="27"/>
      <c r="C11" s="18">
        <f>DIS_PROJ!C28</f>
        <v>18232.612955722318</v>
      </c>
      <c r="D11" s="18">
        <f>DIS_PROJ!D28</f>
        <v>18889.345372034055</v>
      </c>
      <c r="E11" s="18">
        <f>DIS_PROJ!E28</f>
        <v>19578.736061846834</v>
      </c>
      <c r="F11" s="18">
        <f>DIS_PROJ!F28</f>
        <v>20302.375422139681</v>
      </c>
      <c r="G11" s="18">
        <f>DIS_PROJ!G28</f>
        <v>21061.939962989185</v>
      </c>
      <c r="H11" s="27"/>
      <c r="I11" s="27"/>
      <c r="J11" s="27"/>
      <c r="K11" s="27"/>
    </row>
    <row r="12" spans="1:11" ht="15" customHeight="1" x14ac:dyDescent="0.2">
      <c r="A12" s="14" t="s">
        <v>651</v>
      </c>
      <c r="B12" s="27"/>
      <c r="C12" s="18">
        <f>FOX_PROJ!C20</f>
        <v>4452.3150500000002</v>
      </c>
      <c r="D12" s="18">
        <f>FOX_PROJ!D20</f>
        <v>4637.9922215000006</v>
      </c>
      <c r="E12" s="18">
        <f>FOX_PROJ!E20</f>
        <v>4831.8450941450001</v>
      </c>
      <c r="F12" s="18">
        <f>FOX_PROJ!F20</f>
        <v>5034.2492082693507</v>
      </c>
      <c r="G12" s="18">
        <f>FOX_PROJ!G20</f>
        <v>5245.5978838824303</v>
      </c>
      <c r="H12" s="27"/>
      <c r="I12" s="27"/>
      <c r="J12" s="27"/>
      <c r="K12" s="27"/>
    </row>
    <row r="13" spans="1:11" ht="15" customHeight="1" x14ac:dyDescent="0.2">
      <c r="A13" s="14" t="s">
        <v>652</v>
      </c>
      <c r="B13" s="27"/>
      <c r="C13" s="18">
        <f>SYNERGIES!C23</f>
        <v>200</v>
      </c>
      <c r="D13" s="18">
        <f>SYNERGIES!D23</f>
        <v>1000</v>
      </c>
      <c r="E13" s="18">
        <f>SYNERGIES!E23</f>
        <v>1800</v>
      </c>
      <c r="F13" s="18">
        <f>SYNERGIES!F23</f>
        <v>2000</v>
      </c>
      <c r="G13" s="18">
        <f>SYNERGIES!G23</f>
        <v>2000</v>
      </c>
      <c r="H13" s="27"/>
      <c r="I13" s="27"/>
      <c r="J13" s="27"/>
      <c r="K13" s="27"/>
    </row>
    <row r="14" spans="1:11" ht="15" customHeight="1" x14ac:dyDescent="0.2">
      <c r="A14" s="14" t="s">
        <v>653</v>
      </c>
      <c r="B14" s="27"/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7"/>
      <c r="I14" s="27"/>
      <c r="J14" s="27"/>
      <c r="K14" s="27"/>
    </row>
    <row r="15" spans="1:11" ht="15" customHeight="1" x14ac:dyDescent="0.2">
      <c r="A15" s="13" t="s">
        <v>655</v>
      </c>
      <c r="B15" s="27"/>
      <c r="C15" s="48">
        <f>C11+C12+C13+C14</f>
        <v>22884.928005722319</v>
      </c>
      <c r="D15" s="48">
        <f>D11+D12+D13+D14</f>
        <v>24527.337593534055</v>
      </c>
      <c r="E15" s="48">
        <f>E11+E12+E13+E14</f>
        <v>26210.581155991833</v>
      </c>
      <c r="F15" s="48">
        <f>F11+F12+F13+F14</f>
        <v>27336.624630409031</v>
      </c>
      <c r="G15" s="48">
        <f>G11+G12+G13+G14</f>
        <v>28307.537846871615</v>
      </c>
      <c r="H15" s="27"/>
      <c r="I15" s="27"/>
      <c r="J15" s="27"/>
      <c r="K15" s="27"/>
    </row>
    <row r="16" spans="1:11" ht="15" customHeight="1" x14ac:dyDescent="0.2">
      <c r="A16" s="12" t="s">
        <v>370</v>
      </c>
      <c r="B16" s="12"/>
      <c r="C16" s="12"/>
      <c r="D16" s="12"/>
      <c r="E16" s="12"/>
      <c r="F16" s="12"/>
      <c r="G16" s="12"/>
      <c r="H16" s="12"/>
      <c r="I16" s="27"/>
      <c r="J16" s="27"/>
      <c r="K16" s="27"/>
    </row>
    <row r="17" spans="1:11" ht="15" customHeight="1" x14ac:dyDescent="0.2">
      <c r="A17" s="14" t="s">
        <v>650</v>
      </c>
      <c r="B17" s="27"/>
      <c r="C17" s="18">
        <f>DIS_PROJ!C26</f>
        <v>15147.951955722316</v>
      </c>
      <c r="D17" s="18">
        <f>DIS_PROJ!D26</f>
        <v>15686.075612034054</v>
      </c>
      <c r="E17" s="18">
        <f>DIS_PROJ!E26</f>
        <v>16250.927412046833</v>
      </c>
      <c r="F17" s="18">
        <f>DIS_PROJ!F26</f>
        <v>16843.79992333768</v>
      </c>
      <c r="G17" s="18">
        <f>DIS_PROJ!G26</f>
        <v>17466.055497713925</v>
      </c>
      <c r="H17" s="27"/>
      <c r="I17" s="27"/>
      <c r="J17" s="27"/>
      <c r="K17" s="27"/>
    </row>
    <row r="18" spans="1:11" ht="15" customHeight="1" x14ac:dyDescent="0.2">
      <c r="A18" s="14" t="s">
        <v>651</v>
      </c>
      <c r="B18" s="27"/>
      <c r="C18" s="18">
        <f>FOX_PROJ!C19</f>
        <v>4017.9428500000004</v>
      </c>
      <c r="D18" s="18">
        <f>FOX_PROJ!D19</f>
        <v>4185.5051755000004</v>
      </c>
      <c r="E18" s="18">
        <f>FOX_PROJ!E19</f>
        <v>4360.4455727650002</v>
      </c>
      <c r="F18" s="18">
        <f>FOX_PROJ!F19</f>
        <v>4543.1029440479506</v>
      </c>
      <c r="G18" s="18">
        <f>FOX_PROJ!G19</f>
        <v>4733.8322366743887</v>
      </c>
      <c r="H18" s="27"/>
      <c r="I18" s="27"/>
      <c r="J18" s="27"/>
      <c r="K18" s="27"/>
    </row>
    <row r="19" spans="1:11" ht="15" customHeight="1" x14ac:dyDescent="0.2">
      <c r="A19" s="14" t="s">
        <v>652</v>
      </c>
      <c r="C19" s="18">
        <f>SYNERGIES!C26</f>
        <v>-360</v>
      </c>
      <c r="D19" s="18">
        <f>SYNERGIES!D26</f>
        <v>440</v>
      </c>
      <c r="E19" s="18">
        <f>SYNERGIES!E26</f>
        <v>1520</v>
      </c>
      <c r="F19" s="18">
        <f>SYNERGIES!F26</f>
        <v>2000</v>
      </c>
      <c r="G19" s="18">
        <f>SYNERGIES!G26</f>
        <v>2000</v>
      </c>
    </row>
    <row r="20" spans="1:11" ht="15" customHeight="1" x14ac:dyDescent="0.2">
      <c r="A20" s="14" t="s">
        <v>653</v>
      </c>
      <c r="C20" s="18">
        <f>PPA_DA!D20</f>
        <v>-4312.0060606060606</v>
      </c>
      <c r="D20" s="18">
        <f>PPA_DA!E20</f>
        <v>-4166.9782828282823</v>
      </c>
      <c r="E20" s="18">
        <f>PPA_DA!F20</f>
        <v>-4021.9505050505054</v>
      </c>
      <c r="F20" s="18">
        <f>PPA_DA!G20</f>
        <v>-3876.922727272728</v>
      </c>
      <c r="G20" s="18">
        <f>PPA_DA!H20</f>
        <v>-3731.8949494949497</v>
      </c>
    </row>
    <row r="21" spans="1:11" ht="15" customHeight="1" x14ac:dyDescent="0.2">
      <c r="A21" s="13" t="s">
        <v>656</v>
      </c>
      <c r="C21" s="48">
        <f>C17+C18+C19+C20</f>
        <v>14493.888745116255</v>
      </c>
      <c r="D21" s="48">
        <f>D17+D18+D19+D20</f>
        <v>16144.602504705772</v>
      </c>
      <c r="E21" s="48">
        <f>E17+E18+E19+E20</f>
        <v>18109.422479761324</v>
      </c>
      <c r="F21" s="48">
        <f>F17+F18+F19+F20</f>
        <v>19509.980140112901</v>
      </c>
      <c r="G21" s="48">
        <f>G17+G18+G19+G20</f>
        <v>20467.992784893366</v>
      </c>
    </row>
    <row r="22" spans="1:11" ht="15" customHeight="1" x14ac:dyDescent="0.2">
      <c r="A22" s="12" t="s">
        <v>371</v>
      </c>
      <c r="B22" s="12"/>
      <c r="C22" s="12"/>
      <c r="D22" s="12"/>
      <c r="E22" s="12"/>
      <c r="F22" s="12"/>
      <c r="G22" s="12"/>
      <c r="H22" s="12"/>
    </row>
    <row r="23" spans="1:11" ht="15" customHeight="1" x14ac:dyDescent="0.2">
      <c r="A23" s="14" t="s">
        <v>650</v>
      </c>
      <c r="C23" s="18">
        <f>DIS_PROJ!C35</f>
        <v>14417.361955722316</v>
      </c>
      <c r="D23" s="18">
        <f>DIS_PROJ!D35</f>
        <v>14955.485612034054</v>
      </c>
      <c r="E23" s="18">
        <f>DIS_PROJ!E35</f>
        <v>15520.337412046832</v>
      </c>
      <c r="F23" s="18">
        <f>DIS_PROJ!F35</f>
        <v>16113.209923337679</v>
      </c>
      <c r="G23" s="18">
        <f>DIS_PROJ!G35</f>
        <v>16735.465497713925</v>
      </c>
    </row>
    <row r="24" spans="1:11" ht="15" customHeight="1" x14ac:dyDescent="0.2">
      <c r="A24" s="14" t="s">
        <v>651</v>
      </c>
      <c r="C24" s="18">
        <f>FOX_PROJ!C27</f>
        <v>2265.4628500000003</v>
      </c>
      <c r="D24" s="18">
        <f>FOX_PROJ!D27</f>
        <v>2433.0251755000004</v>
      </c>
      <c r="E24" s="18">
        <f>FOX_PROJ!E27</f>
        <v>2607.9655727650002</v>
      </c>
      <c r="F24" s="18">
        <f>FOX_PROJ!F27</f>
        <v>2790.6229440479506</v>
      </c>
      <c r="G24" s="18">
        <f>FOX_PROJ!G27</f>
        <v>2981.3522366743887</v>
      </c>
    </row>
    <row r="25" spans="1:11" ht="15" customHeight="1" x14ac:dyDescent="0.2">
      <c r="A25" s="14" t="s">
        <v>652</v>
      </c>
      <c r="C25" s="18">
        <f>SYNERGIES!C26</f>
        <v>-360</v>
      </c>
      <c r="D25" s="18">
        <f>SYNERGIES!D26</f>
        <v>440</v>
      </c>
      <c r="E25" s="18">
        <f>SYNERGIES!E26</f>
        <v>1520</v>
      </c>
      <c r="F25" s="18">
        <f>SYNERGIES!F26</f>
        <v>2000</v>
      </c>
      <c r="G25" s="18">
        <f>SYNERGIES!G26</f>
        <v>2000</v>
      </c>
    </row>
    <row r="26" spans="1:11" ht="15" customHeight="1" x14ac:dyDescent="0.2">
      <c r="A26" s="14" t="s">
        <v>653</v>
      </c>
      <c r="C26" s="18">
        <f>PPA_DA!D22</f>
        <v>-4107.0060606060606</v>
      </c>
      <c r="D26" s="18">
        <f>PPA_DA!E22</f>
        <v>-3961.9782828282823</v>
      </c>
      <c r="E26" s="18">
        <f>PPA_DA!F22</f>
        <v>-3816.9505050505054</v>
      </c>
      <c r="F26" s="18">
        <f>PPA_DA!G22</f>
        <v>-3671.922727272728</v>
      </c>
      <c r="G26" s="18">
        <f>PPA_DA!H22</f>
        <v>-3526.8949494949497</v>
      </c>
    </row>
    <row r="27" spans="1:11" ht="15" customHeight="1" x14ac:dyDescent="0.2">
      <c r="A27" s="13" t="s">
        <v>657</v>
      </c>
      <c r="C27" s="48">
        <f>C23+C24+C25+C26+C66</f>
        <v>11568.919745116256</v>
      </c>
      <c r="D27" s="48">
        <f>D23+D24+D25+D26+D66</f>
        <v>13860.31248670953</v>
      </c>
      <c r="E27" s="48">
        <f>E23+E24+E25+E26+E66</f>
        <v>16253.988048557258</v>
      </c>
      <c r="F27" s="48">
        <f>F23+F24+F25+F26+F66</f>
        <v>18137.64110413349</v>
      </c>
      <c r="G27" s="48">
        <f>G23+G24+G25+G26+G66</f>
        <v>19342.402784893366</v>
      </c>
    </row>
    <row r="28" spans="1:11" ht="15" customHeight="1" x14ac:dyDescent="0.2">
      <c r="A28" s="12" t="s">
        <v>658</v>
      </c>
      <c r="B28" s="12"/>
      <c r="C28" s="12"/>
      <c r="D28" s="12"/>
      <c r="E28" s="12"/>
      <c r="F28" s="12"/>
      <c r="G28" s="12"/>
      <c r="H28" s="12"/>
    </row>
    <row r="29" spans="1:11" ht="15" customHeight="1" x14ac:dyDescent="0.2">
      <c r="A29" s="14" t="s">
        <v>650</v>
      </c>
      <c r="C29" s="18">
        <f>DIS_PROJ!C37</f>
        <v>-3460.1668693733554</v>
      </c>
      <c r="D29" s="18">
        <f>DIS_PROJ!D37</f>
        <v>-3589.316546888173</v>
      </c>
      <c r="E29" s="18">
        <f>DIS_PROJ!E37</f>
        <v>-3724.8809788912395</v>
      </c>
      <c r="F29" s="18">
        <f>DIS_PROJ!F37</f>
        <v>-3867.1703816010431</v>
      </c>
      <c r="G29" s="18">
        <f>DIS_PROJ!G37</f>
        <v>-4016.5117194513418</v>
      </c>
    </row>
    <row r="30" spans="1:11" ht="15" customHeight="1" x14ac:dyDescent="0.2">
      <c r="A30" s="14" t="s">
        <v>651</v>
      </c>
      <c r="C30" s="18">
        <f>FOX_PROJ!C29</f>
        <v>-543.71108400000003</v>
      </c>
      <c r="D30" s="18">
        <f>FOX_PROJ!D29</f>
        <v>-583.92604212000003</v>
      </c>
      <c r="E30" s="18">
        <f>FOX_PROJ!E29</f>
        <v>-625.91173746360005</v>
      </c>
      <c r="F30" s="18">
        <f>FOX_PROJ!F29</f>
        <v>-669.74950657150816</v>
      </c>
      <c r="G30" s="18">
        <f>FOX_PROJ!G29</f>
        <v>-715.52453680185329</v>
      </c>
    </row>
    <row r="31" spans="1:11" ht="15" customHeight="1" x14ac:dyDescent="0.2">
      <c r="A31" s="14" t="s">
        <v>652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</row>
    <row r="32" spans="1:11" ht="15" customHeight="1" x14ac:dyDescent="0.2">
      <c r="A32" s="14" t="s">
        <v>653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</row>
    <row r="33" spans="1:8" ht="15" customHeight="1" x14ac:dyDescent="0.2">
      <c r="A33" s="13" t="s">
        <v>659</v>
      </c>
      <c r="C33" s="48">
        <f>C29+C30+C31+C32+C67</f>
        <v>-3848.6221933733555</v>
      </c>
      <c r="D33" s="48">
        <f>D29+D30+D31+D32+D67</f>
        <v>-4171.7497846890747</v>
      </c>
      <c r="E33" s="48">
        <f>E29+E30+E31+E32+E67</f>
        <v>-4452.2252528658628</v>
      </c>
      <c r="F33" s="48">
        <f>F29+F30+F31+F32+F67</f>
        <v>-4754.295319537493</v>
      </c>
      <c r="G33" s="48">
        <f>G29+G30+G31+G32+G67</f>
        <v>-5008.6314562531952</v>
      </c>
    </row>
    <row r="34" spans="1:8" ht="15" customHeight="1" x14ac:dyDescent="0.2">
      <c r="A34" s="12" t="s">
        <v>660</v>
      </c>
      <c r="B34" s="12"/>
      <c r="C34" s="12"/>
      <c r="D34" s="12"/>
      <c r="E34" s="12"/>
      <c r="F34" s="12"/>
      <c r="G34" s="12"/>
      <c r="H34" s="12"/>
    </row>
    <row r="35" spans="1:8" ht="15" customHeight="1" x14ac:dyDescent="0.2">
      <c r="A35" s="14" t="s">
        <v>650</v>
      </c>
      <c r="C35" s="18">
        <f>DIS_PROJ!C38</f>
        <v>10957.19508634896</v>
      </c>
      <c r="D35" s="18">
        <f>DIS_PROJ!D38</f>
        <v>11366.169065145881</v>
      </c>
      <c r="E35" s="18">
        <f>DIS_PROJ!E38</f>
        <v>11795.456433155592</v>
      </c>
      <c r="F35" s="18">
        <f>DIS_PROJ!F38</f>
        <v>12246.039541736636</v>
      </c>
      <c r="G35" s="18">
        <f>DIS_PROJ!G38</f>
        <v>12718.953778262583</v>
      </c>
    </row>
    <row r="36" spans="1:8" ht="15" customHeight="1" x14ac:dyDescent="0.2">
      <c r="A36" s="14" t="s">
        <v>651</v>
      </c>
      <c r="C36" s="18">
        <f>FOX_PROJ!C30</f>
        <v>1721.7517660000003</v>
      </c>
      <c r="D36" s="18">
        <f>FOX_PROJ!D30</f>
        <v>1849.0991333800002</v>
      </c>
      <c r="E36" s="18">
        <f>FOX_PROJ!E30</f>
        <v>1982.0538353014001</v>
      </c>
      <c r="F36" s="18">
        <f>FOX_PROJ!F30</f>
        <v>2120.8734374764426</v>
      </c>
      <c r="G36" s="18">
        <f>FOX_PROJ!G30</f>
        <v>2265.8276998725355</v>
      </c>
    </row>
    <row r="37" spans="1:8" ht="15" customHeight="1" x14ac:dyDescent="0.2">
      <c r="A37" s="14" t="s">
        <v>652</v>
      </c>
      <c r="C37" s="18">
        <f>SYNERGIES!C28</f>
        <v>-273.60000000000002</v>
      </c>
      <c r="D37" s="18">
        <f>SYNERGIES!D28</f>
        <v>334.4</v>
      </c>
      <c r="E37" s="18">
        <f>SYNERGIES!E28</f>
        <v>1155.2</v>
      </c>
      <c r="F37" s="18">
        <f>SYNERGIES!F28</f>
        <v>1520</v>
      </c>
      <c r="G37" s="18">
        <f>SYNERGIES!G28</f>
        <v>1520</v>
      </c>
    </row>
    <row r="38" spans="1:8" ht="15" customHeight="1" x14ac:dyDescent="0.2">
      <c r="A38" s="14" t="s">
        <v>653</v>
      </c>
      <c r="C38" s="18">
        <f>PPA_DA!D24</f>
        <v>-3121.3246060606061</v>
      </c>
      <c r="D38" s="18">
        <f>PPA_DA!E24</f>
        <v>-3011.1034949494947</v>
      </c>
      <c r="E38" s="18">
        <f>PPA_DA!F24</f>
        <v>-2900.8823838383842</v>
      </c>
      <c r="F38" s="18">
        <f>PPA_DA!G24</f>
        <v>-2790.6612727272732</v>
      </c>
      <c r="G38" s="18">
        <f>PPA_DA!H24</f>
        <v>-2680.4401616161617</v>
      </c>
    </row>
    <row r="39" spans="1:8" ht="15" customHeight="1" x14ac:dyDescent="0.2">
      <c r="A39" s="13" t="s">
        <v>661</v>
      </c>
      <c r="C39" s="48">
        <f>C35+C36+C37+C38+C68</f>
        <v>8792.3790062883545</v>
      </c>
      <c r="D39" s="48">
        <f>D35+D36+D37+D38+D68</f>
        <v>10533.837489899242</v>
      </c>
      <c r="E39" s="48">
        <f>E35+E36+E37+E38+E68</f>
        <v>12353.030916903515</v>
      </c>
      <c r="F39" s="48">
        <f>F35+F36+F37+F38+F68</f>
        <v>13784.607239141453</v>
      </c>
      <c r="G39" s="48">
        <f>G35+G36+G37+G38+G68</f>
        <v>14700.226116518957</v>
      </c>
    </row>
    <row r="40" spans="1:8" ht="15" customHeight="1" x14ac:dyDescent="0.2">
      <c r="A40" s="14" t="s">
        <v>650</v>
      </c>
      <c r="C40" s="18">
        <f>DIS_PROJ!C39</f>
        <v>-392.46650087335934</v>
      </c>
      <c r="D40" s="18">
        <f>DIS_PROJ!D39</f>
        <v>-407.11519382276686</v>
      </c>
      <c r="E40" s="18">
        <f>DIS_PROJ!E39</f>
        <v>-422.49147487500511</v>
      </c>
      <c r="F40" s="18">
        <f>DIS_PROJ!F39</f>
        <v>-438.63053004230409</v>
      </c>
      <c r="G40" s="18">
        <f>DIS_PROJ!G39</f>
        <v>-455.56944498904704</v>
      </c>
    </row>
    <row r="41" spans="1:8" ht="15" customHeight="1" x14ac:dyDescent="0.2">
      <c r="A41" s="14" t="s">
        <v>651</v>
      </c>
      <c r="C41" s="18">
        <f>FOX_PROJ!C31</f>
        <v>-267.85121299152547</v>
      </c>
      <c r="D41" s="18">
        <f>FOX_PROJ!D31</f>
        <v>-287.6625165125061</v>
      </c>
      <c r="E41" s="18">
        <f>FOX_PROJ!E31</f>
        <v>-308.34614750148904</v>
      </c>
      <c r="F41" s="18">
        <f>FOX_PROJ!F31</f>
        <v>-329.94217520063307</v>
      </c>
      <c r="G41" s="18">
        <f>FOX_PROJ!G31</f>
        <v>-352.49256590026738</v>
      </c>
    </row>
    <row r="42" spans="1:8" ht="15" customHeight="1" x14ac:dyDescent="0.2">
      <c r="A42" s="14" t="s">
        <v>652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</row>
    <row r="43" spans="1:8" ht="15" customHeight="1" x14ac:dyDescent="0.2">
      <c r="A43" s="14" t="s">
        <v>653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</row>
    <row r="44" spans="1:8" ht="15" customHeight="1" x14ac:dyDescent="0.2">
      <c r="A44" s="13" t="s">
        <v>662</v>
      </c>
      <c r="C44" s="48">
        <f>C40+C41+C42+C43</f>
        <v>-660.31771386488481</v>
      </c>
      <c r="D44" s="48">
        <f>D40+D41+D42+D43</f>
        <v>-694.77771033527301</v>
      </c>
      <c r="E44" s="48">
        <f>E40+E41+E42+E43</f>
        <v>-730.83762237649421</v>
      </c>
      <c r="F44" s="48">
        <f>F40+F41+F42+F43</f>
        <v>-768.57270524293722</v>
      </c>
      <c r="G44" s="48">
        <f>G40+G41+G42+G43</f>
        <v>-808.06201088931448</v>
      </c>
    </row>
    <row r="45" spans="1:8" ht="15" customHeight="1" x14ac:dyDescent="0.2">
      <c r="A45" s="13" t="s">
        <v>663</v>
      </c>
      <c r="C45" s="48">
        <f>C39+C44</f>
        <v>8132.0612924234701</v>
      </c>
      <c r="D45" s="48">
        <f>D39+D44</f>
        <v>9839.0597795639696</v>
      </c>
      <c r="E45" s="48">
        <f>E39+E44</f>
        <v>11622.193294527022</v>
      </c>
      <c r="F45" s="48">
        <f>F39+F44</f>
        <v>13016.034533898515</v>
      </c>
      <c r="G45" s="48">
        <f>G39+G44</f>
        <v>13892.164105629643</v>
      </c>
    </row>
    <row r="46" spans="1:8" ht="15" customHeight="1" x14ac:dyDescent="0.2">
      <c r="A46" s="12" t="s">
        <v>664</v>
      </c>
      <c r="B46" s="12"/>
      <c r="C46" s="12"/>
      <c r="D46" s="12"/>
      <c r="E46" s="12"/>
      <c r="F46" s="12"/>
      <c r="G46" s="12"/>
      <c r="H46" s="12"/>
    </row>
    <row r="47" spans="1:8" ht="15" customHeight="1" x14ac:dyDescent="0.2">
      <c r="A47" s="14" t="s">
        <v>665</v>
      </c>
      <c r="C47" s="18">
        <f>DIS_PROJ!C41</f>
        <v>1488</v>
      </c>
      <c r="D47" s="18">
        <f>DIS_PROJ!D41</f>
        <v>1488</v>
      </c>
      <c r="E47" s="18">
        <f>DIS_PROJ!E41</f>
        <v>1488</v>
      </c>
      <c r="F47" s="18">
        <f>DIS_PROJ!F41</f>
        <v>1488</v>
      </c>
      <c r="G47" s="18">
        <f>DIS_PROJ!G41</f>
        <v>1488</v>
      </c>
    </row>
    <row r="48" spans="1:8" ht="15" customHeight="1" x14ac:dyDescent="0.2">
      <c r="A48" s="14" t="s">
        <v>666</v>
      </c>
      <c r="C48" s="18">
        <f>'S&amp;U'!$B$31</f>
        <v>307</v>
      </c>
      <c r="D48" s="18">
        <f>'S&amp;U'!$B$31</f>
        <v>307</v>
      </c>
      <c r="E48" s="18">
        <f>'S&amp;U'!$B$31</f>
        <v>307</v>
      </c>
      <c r="F48" s="18">
        <f>'S&amp;U'!$B$31</f>
        <v>307</v>
      </c>
      <c r="G48" s="18">
        <f>'S&amp;U'!$B$31</f>
        <v>307</v>
      </c>
    </row>
    <row r="49" spans="1:8" ht="15" customHeight="1" x14ac:dyDescent="0.2">
      <c r="A49" s="13" t="s">
        <v>667</v>
      </c>
      <c r="C49" s="48">
        <f>C47+C48</f>
        <v>1795</v>
      </c>
      <c r="D49" s="48">
        <f>D47+D48</f>
        <v>1795</v>
      </c>
      <c r="E49" s="48">
        <f>E47+E48</f>
        <v>1795</v>
      </c>
      <c r="F49" s="48">
        <f>F47+F48</f>
        <v>1795</v>
      </c>
      <c r="G49" s="48">
        <f>G47+G48</f>
        <v>1795</v>
      </c>
    </row>
    <row r="50" spans="1:8" ht="15" customHeight="1" x14ac:dyDescent="0.2">
      <c r="A50" s="12" t="s">
        <v>668</v>
      </c>
      <c r="B50" s="12"/>
      <c r="C50" s="12"/>
      <c r="D50" s="12"/>
      <c r="E50" s="12"/>
      <c r="F50" s="12"/>
      <c r="G50" s="12"/>
      <c r="H50" s="12"/>
    </row>
    <row r="51" spans="1:8" ht="15" customHeight="1" x14ac:dyDescent="0.2">
      <c r="A51" s="14" t="s">
        <v>669</v>
      </c>
      <c r="C51" s="57">
        <f>DIS_PROJ!C42</f>
        <v>7.099952006368011</v>
      </c>
      <c r="D51" s="57">
        <f>DIS_PROJ!D42</f>
        <v>7.3649555586848887</v>
      </c>
      <c r="E51" s="57">
        <f>DIS_PROJ!E42</f>
        <v>7.6431216117477065</v>
      </c>
      <c r="F51" s="57">
        <f>DIS_PROJ!F42</f>
        <v>7.9350867014074806</v>
      </c>
      <c r="G51" s="57">
        <f>DIS_PROJ!G42</f>
        <v>8.2415217293504952</v>
      </c>
    </row>
    <row r="52" spans="1:8" ht="15" customHeight="1" x14ac:dyDescent="0.2">
      <c r="A52" s="13" t="s">
        <v>670</v>
      </c>
      <c r="C52" s="73">
        <f>C45/C49</f>
        <v>4.530396263188563</v>
      </c>
      <c r="D52" s="73">
        <f>D45/D49</f>
        <v>5.4813703507320168</v>
      </c>
      <c r="E52" s="73">
        <f>E45/E49</f>
        <v>6.4747594955582297</v>
      </c>
      <c r="F52" s="73">
        <f>F45/F49</f>
        <v>7.2512727208348275</v>
      </c>
      <c r="G52" s="73">
        <f>G45/G49</f>
        <v>7.7393671897658178</v>
      </c>
    </row>
    <row r="54" spans="1:8" ht="15" customHeight="1" x14ac:dyDescent="0.2">
      <c r="A54" s="12" t="s">
        <v>376</v>
      </c>
      <c r="B54" s="12"/>
      <c r="C54" s="12"/>
      <c r="D54" s="12"/>
      <c r="E54" s="12"/>
      <c r="F54" s="12"/>
      <c r="G54" s="12"/>
      <c r="H54" s="12"/>
    </row>
    <row r="55" spans="1:8" ht="15" customHeight="1" x14ac:dyDescent="0.2">
      <c r="A55" s="45" t="s">
        <v>671</v>
      </c>
      <c r="C55" s="51">
        <f>C9-(C5+C6+C7+C8)</f>
        <v>0</v>
      </c>
    </row>
    <row r="56" spans="1:8" ht="15" customHeight="1" x14ac:dyDescent="0.2">
      <c r="A56" s="45" t="s">
        <v>672</v>
      </c>
      <c r="C56" s="51">
        <f>C21-(C17+C18+C19+C20)</f>
        <v>0</v>
      </c>
    </row>
    <row r="57" spans="1:8" ht="15" customHeight="1" x14ac:dyDescent="0.2">
      <c r="A57" s="45" t="s">
        <v>673</v>
      </c>
      <c r="C57" s="51">
        <f>C45-(DIS_PROJ!C40+FOX_PROJ!C32+SYNERGIES!C28+PPA_DA!D24+C68)</f>
        <v>0</v>
      </c>
    </row>
    <row r="58" spans="1:8" ht="15" customHeight="1" x14ac:dyDescent="0.2">
      <c r="A58" s="45" t="s">
        <v>674</v>
      </c>
      <c r="C58" s="51">
        <f>C52*C49-C45</f>
        <v>0</v>
      </c>
    </row>
    <row r="60" spans="1:8" ht="15" customHeight="1" x14ac:dyDescent="0.2">
      <c r="A60" s="13" t="s">
        <v>335</v>
      </c>
      <c r="B60" s="54" t="str">
        <f>IF(AND(ABS(C55)&lt;1,ABS(C56)&lt;1,ABS(C57)&lt;1,ABS(C58)&lt;1,ABS(C75)&lt;0.01),"OK","CHECK")</f>
        <v>OK</v>
      </c>
    </row>
    <row r="62" spans="1:8" ht="15" customHeight="1" x14ac:dyDescent="0.2">
      <c r="A62" s="12" t="s">
        <v>675</v>
      </c>
      <c r="B62" s="12"/>
      <c r="C62" s="12"/>
      <c r="D62" s="12"/>
      <c r="E62" s="12"/>
      <c r="F62" s="12"/>
      <c r="G62" s="12"/>
      <c r="H62" s="12"/>
    </row>
    <row r="63" spans="1:8" ht="15" customHeight="1" x14ac:dyDescent="0.2">
      <c r="A63" s="14" t="s">
        <v>676</v>
      </c>
      <c r="C63" s="18">
        <f>-FOX_PROJ!C24</f>
        <v>1152.48</v>
      </c>
      <c r="D63" s="18">
        <f>-FOX_PROJ!D24</f>
        <v>1152.48</v>
      </c>
      <c r="E63" s="18">
        <f>-FOX_PROJ!E24</f>
        <v>1152.48</v>
      </c>
      <c r="F63" s="18">
        <f>-FOX_PROJ!F24</f>
        <v>1152.48</v>
      </c>
      <c r="G63" s="18">
        <f>-FOX_PROJ!G24</f>
        <v>1152.48</v>
      </c>
      <c r="H63" s="60" t="s">
        <v>677</v>
      </c>
    </row>
    <row r="64" spans="1:8" ht="15" customHeight="1" x14ac:dyDescent="0.2">
      <c r="A64" s="14" t="s">
        <v>678</v>
      </c>
      <c r="C64" s="18">
        <f>-DEBT!C27</f>
        <v>-646.899</v>
      </c>
      <c r="D64" s="18">
        <f>-DEBT!D27</f>
        <v>-6.2200179962421025</v>
      </c>
      <c r="E64" s="18">
        <f>-DEBT!E27</f>
        <v>0</v>
      </c>
      <c r="F64" s="18">
        <f>-DEBT!F27</f>
        <v>0</v>
      </c>
      <c r="G64" s="18">
        <f>-DEBT!G27</f>
        <v>0</v>
      </c>
    </row>
    <row r="65" spans="1:8" ht="15" customHeight="1" x14ac:dyDescent="0.2">
      <c r="A65" s="14" t="s">
        <v>679</v>
      </c>
      <c r="C65" s="18">
        <f>-DEBT!C28</f>
        <v>-1152.48</v>
      </c>
      <c r="D65" s="18">
        <f>-DEBT!D28</f>
        <v>-1152.48</v>
      </c>
      <c r="E65" s="18">
        <f>-DEBT!E28</f>
        <v>-729.844431204069</v>
      </c>
      <c r="F65" s="18">
        <f>-DEBT!F28</f>
        <v>-246.74903597941199</v>
      </c>
      <c r="G65" s="18">
        <f>-DEBT!G28</f>
        <v>0</v>
      </c>
      <c r="H65" s="60" t="s">
        <v>680</v>
      </c>
    </row>
    <row r="66" spans="1:8" ht="15" customHeight="1" x14ac:dyDescent="0.2">
      <c r="A66" s="13" t="s">
        <v>948</v>
      </c>
      <c r="C66" s="66">
        <f>C63+C64+C65</f>
        <v>-646.899</v>
      </c>
      <c r="D66" s="66">
        <f>D63+D64+D65</f>
        <v>-6.2200179962421771</v>
      </c>
      <c r="E66" s="66">
        <f>E63+E64+E65</f>
        <v>422.63556879593102</v>
      </c>
      <c r="F66" s="66">
        <f>F63+F64+F65</f>
        <v>905.73096402058809</v>
      </c>
      <c r="G66" s="66">
        <f>G63+G64+G65</f>
        <v>1152.48</v>
      </c>
    </row>
    <row r="67" spans="1:8" ht="15" customHeight="1" x14ac:dyDescent="0.2">
      <c r="A67" s="14" t="s">
        <v>681</v>
      </c>
      <c r="C67" s="52">
        <f>-C66*ASSUMPTIONS!F84</f>
        <v>155.25575999999998</v>
      </c>
      <c r="D67" s="52">
        <f>-D66*ASSUMPTIONS!F84</f>
        <v>1.4928043190981224</v>
      </c>
      <c r="E67" s="52">
        <f>-E66*ASSUMPTIONS!F84</f>
        <v>-101.43253651102344</v>
      </c>
      <c r="F67" s="52">
        <f>-F66*ASSUMPTIONS!F84</f>
        <v>-217.37543136494114</v>
      </c>
      <c r="G67" s="52">
        <f>-G66*ASSUMPTIONS!F84</f>
        <v>-276.59519999999998</v>
      </c>
    </row>
    <row r="68" spans="1:8" ht="15" customHeight="1" x14ac:dyDescent="0.2">
      <c r="A68" s="13" t="s">
        <v>949</v>
      </c>
      <c r="C68" s="48">
        <f>C66+C67</f>
        <v>-491.64323999999999</v>
      </c>
      <c r="D68" s="48">
        <f>D66+D67</f>
        <v>-4.7272136771440545</v>
      </c>
      <c r="E68" s="48">
        <f>E66+E67</f>
        <v>321.20303228490758</v>
      </c>
      <c r="F68" s="48">
        <f>F66+F67</f>
        <v>688.35553265564693</v>
      </c>
      <c r="G68" s="48">
        <f>G66+G67</f>
        <v>875.88480000000004</v>
      </c>
    </row>
    <row r="70" spans="1:8" ht="15" customHeight="1" x14ac:dyDescent="0.2">
      <c r="A70" s="12" t="s">
        <v>682</v>
      </c>
      <c r="B70" s="12"/>
      <c r="C70" s="12"/>
      <c r="D70" s="12"/>
      <c r="E70" s="12"/>
      <c r="F70" s="12"/>
      <c r="G70" s="12"/>
      <c r="H70" s="12"/>
    </row>
    <row r="71" spans="1:8" ht="15" customHeight="1" x14ac:dyDescent="0.2">
      <c r="A71" s="14" t="s">
        <v>950</v>
      </c>
      <c r="C71" s="50">
        <f>(C45-C68)/C49</f>
        <v>4.8042922186203176</v>
      </c>
      <c r="D71" s="50">
        <f>(D45-D68)/D49</f>
        <v>5.484003895956052</v>
      </c>
      <c r="E71" s="50">
        <f>(E45-E68)/E49</f>
        <v>6.2958163020847433</v>
      </c>
      <c r="F71" s="50">
        <f>(F45-F68)/F49</f>
        <v>6.8677877444249962</v>
      </c>
      <c r="G71" s="50">
        <f>(G45-G68)/G49</f>
        <v>7.2514090839162355</v>
      </c>
    </row>
    <row r="72" spans="1:8" ht="15" customHeight="1" x14ac:dyDescent="0.2">
      <c r="A72" s="14" t="s">
        <v>683</v>
      </c>
      <c r="C72" s="50">
        <f>C68/C49</f>
        <v>-0.27389595543175488</v>
      </c>
      <c r="D72" s="50">
        <f>D68/D49</f>
        <v>-2.6335452240356851E-3</v>
      </c>
      <c r="E72" s="50">
        <f>E68/E49</f>
        <v>0.17894319347348611</v>
      </c>
      <c r="F72" s="50">
        <f>F68/F49</f>
        <v>0.38348497640983115</v>
      </c>
      <c r="G72" s="50">
        <f>G68/G49</f>
        <v>0.48795810584958221</v>
      </c>
    </row>
    <row r="73" spans="1:8" ht="15" customHeight="1" x14ac:dyDescent="0.2">
      <c r="A73" s="13" t="s">
        <v>951</v>
      </c>
      <c r="C73" s="73">
        <f>C45/C49</f>
        <v>4.530396263188563</v>
      </c>
      <c r="D73" s="73">
        <f>D45/D49</f>
        <v>5.4813703507320168</v>
      </c>
      <c r="E73" s="73">
        <f>E45/E49</f>
        <v>6.4747594955582297</v>
      </c>
      <c r="F73" s="73">
        <f>F45/F49</f>
        <v>7.2512727208348275</v>
      </c>
      <c r="G73" s="73">
        <f>G45/G49</f>
        <v>7.7393671897658178</v>
      </c>
    </row>
    <row r="75" spans="1:8" ht="15" customHeight="1" x14ac:dyDescent="0.2">
      <c r="A75" s="45" t="s">
        <v>684</v>
      </c>
      <c r="C75" s="74">
        <f>C71+C72-C73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4"/>
  <sheetViews>
    <sheetView showGridLines="0" zoomScaleNormal="100" workbookViewId="0"/>
  </sheetViews>
  <sheetFormatPr baseColWidth="10" defaultColWidth="8.6640625" defaultRowHeight="15" x14ac:dyDescent="0.2"/>
  <cols>
    <col min="1" max="1" width="46" customWidth="1"/>
    <col min="2" max="9" width="13" customWidth="1"/>
  </cols>
  <sheetData>
    <row r="1" spans="1:9" ht="15.75" customHeight="1" x14ac:dyDescent="0.2">
      <c r="A1" s="26" t="s">
        <v>685</v>
      </c>
      <c r="B1" s="2"/>
      <c r="C1" s="2"/>
      <c r="D1" s="2"/>
      <c r="E1" s="2"/>
      <c r="F1" s="2"/>
      <c r="G1" s="2"/>
      <c r="H1" s="2"/>
    </row>
    <row r="2" spans="1:9" ht="15" customHeight="1" x14ac:dyDescent="0.2">
      <c r="A2" s="10" t="s">
        <v>686</v>
      </c>
    </row>
    <row r="4" spans="1:9" ht="15" customHeight="1" x14ac:dyDescent="0.2">
      <c r="A4" s="37" t="s">
        <v>217</v>
      </c>
      <c r="B4" s="38" t="s">
        <v>687</v>
      </c>
      <c r="C4" s="38" t="s">
        <v>688</v>
      </c>
      <c r="D4" s="38" t="s">
        <v>689</v>
      </c>
      <c r="E4" s="38" t="s">
        <v>690</v>
      </c>
      <c r="F4" s="38" t="s">
        <v>691</v>
      </c>
      <c r="G4" s="38" t="s">
        <v>692</v>
      </c>
      <c r="H4" s="38" t="s">
        <v>67</v>
      </c>
      <c r="I4" s="38" t="s">
        <v>693</v>
      </c>
    </row>
    <row r="5" spans="1:9" ht="15" customHeight="1" x14ac:dyDescent="0.2">
      <c r="A5" s="12" t="s">
        <v>694</v>
      </c>
      <c r="B5" s="12"/>
      <c r="C5" s="12"/>
      <c r="D5" s="12"/>
      <c r="E5" s="12"/>
      <c r="F5" s="12"/>
      <c r="G5" s="12"/>
      <c r="H5" s="12"/>
    </row>
    <row r="6" spans="1:9" ht="15" customHeight="1" x14ac:dyDescent="0.2">
      <c r="A6" s="14" t="s">
        <v>246</v>
      </c>
    </row>
    <row r="7" spans="1:9" ht="15" customHeight="1" x14ac:dyDescent="0.2">
      <c r="A7" s="14" t="s">
        <v>248</v>
      </c>
    </row>
    <row r="8" spans="1:9" ht="15" customHeight="1" x14ac:dyDescent="0.2">
      <c r="A8" s="14" t="s">
        <v>695</v>
      </c>
    </row>
    <row r="9" spans="1:9" ht="15" customHeight="1" x14ac:dyDescent="0.2">
      <c r="A9" s="14" t="s">
        <v>254</v>
      </c>
    </row>
    <row r="10" spans="1:9" ht="15" customHeight="1" x14ac:dyDescent="0.2">
      <c r="A10" s="14" t="s">
        <v>696</v>
      </c>
    </row>
    <row r="11" spans="1:9" ht="15" customHeight="1" x14ac:dyDescent="0.2">
      <c r="A11" s="14" t="s">
        <v>697</v>
      </c>
    </row>
    <row r="12" spans="1:9" ht="15" customHeight="1" x14ac:dyDescent="0.2">
      <c r="A12" s="14" t="s">
        <v>261</v>
      </c>
    </row>
    <row r="13" spans="1:9" ht="15" customHeight="1" x14ac:dyDescent="0.2">
      <c r="A13" s="14" t="s">
        <v>262</v>
      </c>
    </row>
    <row r="14" spans="1:9" ht="15" customHeight="1" x14ac:dyDescent="0.2">
      <c r="A14" s="13" t="s">
        <v>263</v>
      </c>
    </row>
    <row r="15" spans="1:9" ht="15" customHeight="1" x14ac:dyDescent="0.2">
      <c r="A15" s="14" t="s">
        <v>301</v>
      </c>
    </row>
    <row r="16" spans="1:9" ht="15" customHeight="1" x14ac:dyDescent="0.2">
      <c r="A16" s="14" t="s">
        <v>269</v>
      </c>
    </row>
    <row r="17" spans="1:1" ht="15" customHeight="1" x14ac:dyDescent="0.2">
      <c r="A17" s="14" t="s">
        <v>698</v>
      </c>
    </row>
    <row r="18" spans="1:1" ht="15" customHeight="1" x14ac:dyDescent="0.2">
      <c r="A18" s="14" t="s">
        <v>699</v>
      </c>
    </row>
    <row r="19" spans="1:1" ht="15" customHeight="1" x14ac:dyDescent="0.2">
      <c r="A19" s="14" t="s">
        <v>279</v>
      </c>
    </row>
    <row r="20" spans="1:1" ht="15" customHeight="1" x14ac:dyDescent="0.2">
      <c r="A20" s="13" t="s">
        <v>700</v>
      </c>
    </row>
    <row r="21" spans="1:1" ht="15" customHeight="1" x14ac:dyDescent="0.2">
      <c r="A21" s="45" t="s">
        <v>281</v>
      </c>
    </row>
    <row r="23" spans="1:1" ht="15" customHeight="1" x14ac:dyDescent="0.2">
      <c r="A23" s="70" t="s">
        <v>637</v>
      </c>
    </row>
    <row r="24" spans="1:1" ht="15" customHeight="1" x14ac:dyDescent="0.2">
      <c r="A24" s="71" t="s">
        <v>701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1"/>
  <sheetViews>
    <sheetView showGridLines="0" zoomScaleNormal="100" workbookViewId="0"/>
  </sheetViews>
  <sheetFormatPr baseColWidth="10" defaultColWidth="8.6640625" defaultRowHeight="15" x14ac:dyDescent="0.2"/>
  <cols>
    <col min="1" max="1" width="46" customWidth="1"/>
    <col min="2" max="9" width="13" customWidth="1"/>
  </cols>
  <sheetData>
    <row r="1" spans="1:8" ht="15.75" customHeight="1" x14ac:dyDescent="0.2">
      <c r="A1" s="26" t="s">
        <v>702</v>
      </c>
      <c r="B1" s="2"/>
      <c r="C1" s="2"/>
      <c r="D1" s="2"/>
      <c r="E1" s="2"/>
      <c r="F1" s="2"/>
      <c r="G1" s="2"/>
      <c r="H1" s="2"/>
    </row>
    <row r="2" spans="1:8" ht="15" customHeight="1" x14ac:dyDescent="0.2">
      <c r="A2" s="10" t="s">
        <v>703</v>
      </c>
    </row>
    <row r="4" spans="1:8" ht="15" customHeight="1" x14ac:dyDescent="0.2">
      <c r="A4" s="37" t="s">
        <v>217</v>
      </c>
      <c r="B4" s="38" t="s">
        <v>159</v>
      </c>
      <c r="C4" s="38" t="s">
        <v>160</v>
      </c>
      <c r="D4" s="38" t="s">
        <v>161</v>
      </c>
      <c r="E4" s="38" t="s">
        <v>162</v>
      </c>
      <c r="F4" s="38" t="s">
        <v>163</v>
      </c>
    </row>
    <row r="5" spans="1:8" ht="15" customHeight="1" x14ac:dyDescent="0.2">
      <c r="A5" s="12" t="s">
        <v>704</v>
      </c>
      <c r="B5" s="12"/>
      <c r="C5" s="12"/>
      <c r="D5" s="12"/>
      <c r="E5" s="12"/>
      <c r="F5" s="12"/>
      <c r="G5" s="12"/>
      <c r="H5" s="12"/>
    </row>
    <row r="6" spans="1:8" ht="15" customHeight="1" x14ac:dyDescent="0.2">
      <c r="A6" s="14" t="s">
        <v>238</v>
      </c>
    </row>
    <row r="7" spans="1:8" ht="15" customHeight="1" x14ac:dyDescent="0.2">
      <c r="A7" s="14" t="s">
        <v>354</v>
      </c>
    </row>
    <row r="8" spans="1:8" ht="15" customHeight="1" x14ac:dyDescent="0.2">
      <c r="A8" s="14" t="s">
        <v>705</v>
      </c>
    </row>
    <row r="9" spans="1:8" ht="15" customHeight="1" x14ac:dyDescent="0.2">
      <c r="A9" s="14" t="s">
        <v>706</v>
      </c>
    </row>
    <row r="10" spans="1:8" ht="15" customHeight="1" x14ac:dyDescent="0.2">
      <c r="A10" s="13" t="s">
        <v>707</v>
      </c>
    </row>
    <row r="11" spans="1:8" ht="15" customHeight="1" x14ac:dyDescent="0.2">
      <c r="A11" s="14" t="s">
        <v>708</v>
      </c>
    </row>
    <row r="12" spans="1:8" ht="15" customHeight="1" x14ac:dyDescent="0.2">
      <c r="A12" s="14" t="s">
        <v>709</v>
      </c>
    </row>
    <row r="13" spans="1:8" ht="15" customHeight="1" x14ac:dyDescent="0.2">
      <c r="A13" s="13" t="s">
        <v>710</v>
      </c>
    </row>
    <row r="14" spans="1:8" ht="15" customHeight="1" x14ac:dyDescent="0.2">
      <c r="A14" s="14" t="s">
        <v>711</v>
      </c>
    </row>
    <row r="15" spans="1:8" ht="15" customHeight="1" x14ac:dyDescent="0.2">
      <c r="A15" s="14" t="s">
        <v>303</v>
      </c>
    </row>
    <row r="16" spans="1:8" ht="15" customHeight="1" x14ac:dyDescent="0.2">
      <c r="A16" s="13" t="s">
        <v>712</v>
      </c>
    </row>
    <row r="17" spans="1:1" ht="15" customHeight="1" x14ac:dyDescent="0.2">
      <c r="A17" s="14" t="s">
        <v>713</v>
      </c>
    </row>
    <row r="18" spans="1:1" ht="15" customHeight="1" x14ac:dyDescent="0.2">
      <c r="A18" s="45" t="s">
        <v>714</v>
      </c>
    </row>
    <row r="20" spans="1:1" ht="15" customHeight="1" x14ac:dyDescent="0.2">
      <c r="A20" s="70" t="s">
        <v>637</v>
      </c>
    </row>
    <row r="21" spans="1:1" ht="15" customHeight="1" x14ac:dyDescent="0.2">
      <c r="A21" s="71" t="s">
        <v>715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0"/>
  <sheetViews>
    <sheetView showGridLines="0" zoomScaleNormal="100" workbookViewId="0">
      <selection activeCell="L12" sqref="L12"/>
    </sheetView>
  </sheetViews>
  <sheetFormatPr baseColWidth="10" defaultColWidth="8.6640625" defaultRowHeight="15" x14ac:dyDescent="0.2"/>
  <cols>
    <col min="1" max="1" width="44" customWidth="1"/>
    <col min="2" max="9" width="12" customWidth="1"/>
  </cols>
  <sheetData>
    <row r="1" spans="1:11" ht="15.75" customHeight="1" x14ac:dyDescent="0.2">
      <c r="A1" s="26" t="s">
        <v>952</v>
      </c>
      <c r="B1" s="2"/>
      <c r="C1" s="2"/>
      <c r="D1" s="2"/>
      <c r="E1" s="2"/>
      <c r="F1" s="2"/>
      <c r="G1" s="2"/>
      <c r="H1" s="27"/>
      <c r="I1" s="27"/>
      <c r="J1" s="27"/>
      <c r="K1" s="27"/>
    </row>
    <row r="2" spans="1:11" ht="15" customHeight="1" x14ac:dyDescent="0.2">
      <c r="A2" s="10" t="s">
        <v>716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">
      <c r="A4" s="37" t="s">
        <v>717</v>
      </c>
      <c r="B4" s="27"/>
      <c r="C4" s="38" t="s">
        <v>159</v>
      </c>
      <c r="D4" s="38" t="s">
        <v>160</v>
      </c>
      <c r="E4" s="38" t="s">
        <v>161</v>
      </c>
      <c r="F4" s="38" t="s">
        <v>162</v>
      </c>
      <c r="G4" s="38" t="s">
        <v>163</v>
      </c>
      <c r="H4" s="27"/>
      <c r="I4" s="27"/>
      <c r="J4" s="27"/>
      <c r="K4" s="27"/>
    </row>
    <row r="5" spans="1:11" ht="15" customHeight="1" x14ac:dyDescent="0.2">
      <c r="A5" s="12" t="s">
        <v>718</v>
      </c>
      <c r="B5" s="12"/>
      <c r="C5" s="12"/>
      <c r="D5" s="12"/>
      <c r="E5" s="12"/>
      <c r="F5" s="12"/>
      <c r="G5" s="12"/>
      <c r="H5" s="27"/>
      <c r="I5" s="27"/>
      <c r="J5" s="27"/>
      <c r="K5" s="27"/>
    </row>
    <row r="6" spans="1:11" ht="15" customHeight="1" x14ac:dyDescent="0.2">
      <c r="A6" s="14" t="s">
        <v>719</v>
      </c>
      <c r="B6" s="27"/>
      <c r="C6" s="57">
        <f>DIS_PROJ!C42</f>
        <v>7.099952006368011</v>
      </c>
      <c r="D6" s="57">
        <f>DIS_PROJ!D42</f>
        <v>7.3649555586848887</v>
      </c>
      <c r="E6" s="57">
        <f>DIS_PROJ!E42</f>
        <v>7.6431216117477065</v>
      </c>
      <c r="F6" s="57">
        <f>DIS_PROJ!F42</f>
        <v>7.9350867014074806</v>
      </c>
      <c r="G6" s="57">
        <f>DIS_PROJ!G42</f>
        <v>8.2415217293504952</v>
      </c>
      <c r="H6" s="27"/>
      <c r="I6" s="27"/>
      <c r="J6" s="27"/>
      <c r="K6" s="27"/>
    </row>
    <row r="7" spans="1:11" ht="15" customHeight="1" x14ac:dyDescent="0.2">
      <c r="A7" s="14" t="s">
        <v>720</v>
      </c>
      <c r="B7" s="27"/>
      <c r="C7" s="57">
        <f>PF_IS!C52</f>
        <v>4.530396263188563</v>
      </c>
      <c r="D7" s="57">
        <f>PF_IS!D52</f>
        <v>5.4813703507320168</v>
      </c>
      <c r="E7" s="57">
        <f>PF_IS!E52</f>
        <v>6.4747594955582297</v>
      </c>
      <c r="F7" s="57">
        <f>PF_IS!F52</f>
        <v>7.2512727208348275</v>
      </c>
      <c r="G7" s="57">
        <f>PF_IS!G52</f>
        <v>7.7393671897658178</v>
      </c>
      <c r="H7" s="27"/>
      <c r="I7" s="27"/>
      <c r="J7" s="27"/>
      <c r="K7" s="27"/>
    </row>
    <row r="8" spans="1:11" ht="15" customHeight="1" x14ac:dyDescent="0.2">
      <c r="A8" s="13" t="s">
        <v>953</v>
      </c>
      <c r="B8" s="27"/>
      <c r="C8" s="75">
        <f>C7-C6</f>
        <v>-2.569555743179448</v>
      </c>
      <c r="D8" s="75">
        <f>D7-D6</f>
        <v>-1.8835852079528719</v>
      </c>
      <c r="E8" s="75">
        <f>E7-E6</f>
        <v>-1.1683621161894768</v>
      </c>
      <c r="F8" s="75">
        <f>F7-F6</f>
        <v>-0.68381398057265308</v>
      </c>
      <c r="G8" s="75">
        <f>G7-G6</f>
        <v>-0.50215453958467737</v>
      </c>
      <c r="H8" s="27"/>
      <c r="I8" s="27"/>
      <c r="J8" s="27"/>
      <c r="K8" s="27"/>
    </row>
    <row r="9" spans="1:11" ht="15" customHeight="1" x14ac:dyDescent="0.2">
      <c r="A9" s="13" t="s">
        <v>954</v>
      </c>
      <c r="B9" s="27"/>
      <c r="C9" s="76">
        <f>IF(C6=0,0,C8/C6)</f>
        <v>-0.36191170600516598</v>
      </c>
      <c r="D9" s="76">
        <f>IF(D6=0,0,D8/D6)</f>
        <v>-0.25574970452221046</v>
      </c>
      <c r="E9" s="76">
        <f>IF(E6=0,0,E8/E6)</f>
        <v>-0.15286451996180059</v>
      </c>
      <c r="F9" s="76">
        <f>IF(F6=0,0,F8/F6)</f>
        <v>-8.6175993571861287E-2</v>
      </c>
      <c r="G9" s="76">
        <f>IF(G6=0,0,G8/G6)</f>
        <v>-6.0929832629859682E-2</v>
      </c>
      <c r="H9" s="27"/>
      <c r="I9" s="27"/>
      <c r="J9" s="27"/>
      <c r="K9" s="27"/>
    </row>
    <row r="10" spans="1:11" ht="15" customHeight="1" x14ac:dyDescent="0.2">
      <c r="A10" s="60" t="s">
        <v>721</v>
      </c>
      <c r="B10" s="27"/>
      <c r="C10" s="77">
        <f>PF_IS!C49</f>
        <v>1795</v>
      </c>
      <c r="D10" s="77">
        <f>PF_IS!D49</f>
        <v>1795</v>
      </c>
      <c r="E10" s="77">
        <f>PF_IS!E49</f>
        <v>1795</v>
      </c>
      <c r="F10" s="77">
        <f>PF_IS!F49</f>
        <v>1795</v>
      </c>
      <c r="G10" s="77">
        <f>PF_IS!G49</f>
        <v>1795</v>
      </c>
      <c r="H10" s="27"/>
      <c r="I10" s="27"/>
      <c r="J10" s="27"/>
      <c r="K10" s="27"/>
    </row>
    <row r="11" spans="1:11" ht="15" customHeight="1" x14ac:dyDescent="0.2">
      <c r="A11" s="12" t="s">
        <v>722</v>
      </c>
      <c r="B11" s="12"/>
      <c r="C11" s="12"/>
      <c r="D11" s="12"/>
      <c r="E11" s="12"/>
      <c r="F11" s="12"/>
      <c r="G11" s="12"/>
      <c r="H11" s="27"/>
      <c r="I11" s="27"/>
      <c r="J11" s="27"/>
      <c r="K11" s="27"/>
    </row>
    <row r="12" spans="1:11" ht="15" customHeight="1" x14ac:dyDescent="0.2">
      <c r="A12" s="14" t="s">
        <v>723</v>
      </c>
      <c r="B12" s="27"/>
      <c r="C12" s="57">
        <f>DIS_PROJ!C42</f>
        <v>7.099952006368011</v>
      </c>
      <c r="D12" s="57">
        <f>DIS_PROJ!D42</f>
        <v>7.3649555586848887</v>
      </c>
      <c r="E12" s="57">
        <f>DIS_PROJ!E42</f>
        <v>7.6431216117477065</v>
      </c>
      <c r="F12" s="57">
        <f>DIS_PROJ!F42</f>
        <v>7.9350867014074806</v>
      </c>
      <c r="G12" s="57">
        <f>DIS_PROJ!G42</f>
        <v>8.2415217293504952</v>
      </c>
      <c r="H12" s="27"/>
      <c r="I12" s="27"/>
      <c r="J12" s="27"/>
      <c r="K12" s="27"/>
    </row>
    <row r="13" spans="1:11" ht="15" customHeight="1" x14ac:dyDescent="0.2">
      <c r="A13" s="14" t="s">
        <v>724</v>
      </c>
      <c r="C13" s="50">
        <f>DIS_PROJ!C40/PF_IS!C49-DIS_PROJ!C42</f>
        <v>-1.214309340364891</v>
      </c>
      <c r="D13" s="50">
        <f>DIS_PROJ!D40/PF_IS!D49-DIS_PROJ!D42</f>
        <v>-1.2596330676970808</v>
      </c>
      <c r="E13" s="50">
        <f>DIS_PROJ!E40/PF_IS!E49-DIS_PROJ!E42</f>
        <v>-1.3072079859646495</v>
      </c>
      <c r="F13" s="50">
        <f>DIS_PROJ!F40/PF_IS!F49-DIS_PROJ!F42</f>
        <v>-1.357142962302003</v>
      </c>
      <c r="G13" s="50">
        <f>DIS_PROJ!G40/PF_IS!G49-DIS_PROJ!G42</f>
        <v>-1.4095527414543749</v>
      </c>
    </row>
    <row r="14" spans="1:11" ht="15" customHeight="1" x14ac:dyDescent="0.2">
      <c r="A14" s="14" t="s">
        <v>725</v>
      </c>
      <c r="C14" s="50">
        <f>FOX_PROJ!C32/PF_IS!C49</f>
        <v>0.80997245292951248</v>
      </c>
      <c r="D14" s="50">
        <f>FOX_PROJ!D32/PF_IS!D49</f>
        <v>0.8698811236030608</v>
      </c>
      <c r="E14" s="50">
        <f>FOX_PROJ!E32/PF_IS!E49</f>
        <v>0.93242768122557718</v>
      </c>
      <c r="F14" s="50">
        <f>FOX_PROJ!F32/PF_IS!F49</f>
        <v>0.99773329374696906</v>
      </c>
      <c r="G14" s="50">
        <f>FOX_PROJ!G32/PF_IS!G49</f>
        <v>1.0659248657227121</v>
      </c>
    </row>
    <row r="15" spans="1:11" ht="15" customHeight="1" x14ac:dyDescent="0.2">
      <c r="A15" s="14" t="s">
        <v>726</v>
      </c>
      <c r="C15" s="50">
        <f>SYNERGIES!C24*(1-ASSUMPTIONS!F84)/PF_IS!C49</f>
        <v>8.4679665738161561E-2</v>
      </c>
      <c r="D15" s="50">
        <f>SYNERGIES!D24*(1-ASSUMPTIONS!F84)/PF_IS!D49</f>
        <v>0.42339832869080779</v>
      </c>
      <c r="E15" s="50">
        <f>SYNERGIES!E24*(1-ASSUMPTIONS!F84)/PF_IS!E49</f>
        <v>0.76211699164345403</v>
      </c>
      <c r="F15" s="50">
        <f>SYNERGIES!F24*(1-ASSUMPTIONS!F84)/PF_IS!F49</f>
        <v>0.84679665738161558</v>
      </c>
      <c r="G15" s="50">
        <f>SYNERGIES!G24*(1-ASSUMPTIONS!F84)/PF_IS!G49</f>
        <v>0.84679665738161558</v>
      </c>
    </row>
    <row r="16" spans="1:11" ht="15" customHeight="1" x14ac:dyDescent="0.2">
      <c r="A16" s="14" t="s">
        <v>727</v>
      </c>
      <c r="C16" s="50">
        <f>(SYNERGIES!C28-SYNERGIES!C24*(1-ASSUMPTIONS!F84))/PF_IS!C49</f>
        <v>-0.23710306406685239</v>
      </c>
      <c r="D16" s="50">
        <f>(SYNERGIES!D28-SYNERGIES!D24*(1-ASSUMPTIONS!F84))/PF_IS!D49</f>
        <v>-0.23710306406685239</v>
      </c>
      <c r="E16" s="50">
        <f>(SYNERGIES!E28-SYNERGIES!E24*(1-ASSUMPTIONS!F84))/PF_IS!E49</f>
        <v>-0.11855153203342615</v>
      </c>
      <c r="F16" s="50">
        <f>(SYNERGIES!F28-SYNERGIES!F24*(1-ASSUMPTIONS!F84))/PF_IS!F49</f>
        <v>0</v>
      </c>
      <c r="G16" s="50">
        <f>(SYNERGIES!G28-SYNERGIES!G24*(1-ASSUMPTIONS!F84))/PF_IS!G49</f>
        <v>0</v>
      </c>
    </row>
    <row r="17" spans="1:7" ht="15" customHeight="1" x14ac:dyDescent="0.2">
      <c r="A17" s="14" t="s">
        <v>728</v>
      </c>
      <c r="C17" s="50">
        <f>PPA_DA!D24/PF_IS!C49</f>
        <v>-1.7388995019836246</v>
      </c>
      <c r="D17" s="50">
        <f>PPA_DA!E24/PF_IS!D49</f>
        <v>-1.6774949832587713</v>
      </c>
      <c r="E17" s="50">
        <f>PPA_DA!F24/PF_IS!E49</f>
        <v>-1.6160904645339187</v>
      </c>
      <c r="F17" s="50">
        <f>PPA_DA!G24/PF_IS!F49</f>
        <v>-1.5546859458090658</v>
      </c>
      <c r="G17" s="50">
        <f>PPA_DA!H24/PF_IS!G49</f>
        <v>-1.4932814270842127</v>
      </c>
    </row>
    <row r="18" spans="1:7" ht="15" customHeight="1" x14ac:dyDescent="0.2">
      <c r="A18" s="14" t="s">
        <v>729</v>
      </c>
      <c r="C18" s="50">
        <f>PF_IS!C68/PF_IS!C49</f>
        <v>-0.27389595543175488</v>
      </c>
      <c r="D18" s="50">
        <f>PF_IS!D68/PF_IS!D49</f>
        <v>-2.6335452240356851E-3</v>
      </c>
      <c r="E18" s="50">
        <f>PF_IS!E68/PF_IS!E49</f>
        <v>0.17894319347348611</v>
      </c>
      <c r="F18" s="50">
        <f>PF_IS!F68/PF_IS!F49</f>
        <v>0.38348497640983115</v>
      </c>
      <c r="G18" s="50">
        <f>PF_IS!G68/PF_IS!G49</f>
        <v>0.48795810584958221</v>
      </c>
    </row>
    <row r="19" spans="1:7" ht="15" customHeight="1" x14ac:dyDescent="0.2">
      <c r="A19" s="13" t="s">
        <v>730</v>
      </c>
      <c r="C19" s="73">
        <f>C12+C13+C14+C15+C16+C17+C18</f>
        <v>4.530396263188563</v>
      </c>
      <c r="D19" s="73">
        <f>D12+D13+D14+D15+D16+D17+D18</f>
        <v>5.481370350732016</v>
      </c>
      <c r="E19" s="73">
        <f>E12+E13+E14+E15+E16+E17+E18</f>
        <v>6.4747594955582288</v>
      </c>
      <c r="F19" s="73">
        <f>F12+F13+F14+F15+F16+F17+F18</f>
        <v>7.2512727208348275</v>
      </c>
      <c r="G19" s="73">
        <f>G12+G13+G14+G15+G16+G17+G18</f>
        <v>7.7393671897658169</v>
      </c>
    </row>
    <row r="20" spans="1:7" ht="15" customHeight="1" x14ac:dyDescent="0.2">
      <c r="A20" s="12" t="s">
        <v>731</v>
      </c>
      <c r="B20" s="12"/>
      <c r="C20" s="12"/>
      <c r="D20" s="12"/>
      <c r="E20" s="12"/>
      <c r="F20" s="12"/>
      <c r="G20" s="12"/>
    </row>
    <row r="21" spans="1:7" ht="15" customHeight="1" x14ac:dyDescent="0.2">
      <c r="A21" s="14" t="s">
        <v>732</v>
      </c>
      <c r="C21" s="18">
        <f>DIS_PROJ!C40</f>
        <v>10564.728585475601</v>
      </c>
      <c r="D21" s="18">
        <f>DIS_PROJ!D40</f>
        <v>10959.053871323114</v>
      </c>
      <c r="E21" s="18">
        <f>DIS_PROJ!E40</f>
        <v>11372.964958280587</v>
      </c>
      <c r="F21" s="18">
        <f>DIS_PROJ!F40</f>
        <v>11807.409011694332</v>
      </c>
      <c r="G21" s="18">
        <f>DIS_PROJ!G40</f>
        <v>12263.384333273536</v>
      </c>
    </row>
    <row r="22" spans="1:7" ht="15" customHeight="1" x14ac:dyDescent="0.2">
      <c r="A22" s="14" t="s">
        <v>733</v>
      </c>
      <c r="C22" s="18">
        <f>FOX_PROJ!C32</f>
        <v>1453.9005530084748</v>
      </c>
      <c r="D22" s="18">
        <f>FOX_PROJ!D32</f>
        <v>1561.4366168674942</v>
      </c>
      <c r="E22" s="18">
        <f>FOX_PROJ!E32</f>
        <v>1673.7076877999111</v>
      </c>
      <c r="F22" s="18">
        <f>FOX_PROJ!F32</f>
        <v>1790.9312622758096</v>
      </c>
      <c r="G22" s="18">
        <f>FOX_PROJ!G32</f>
        <v>1913.3351339722681</v>
      </c>
    </row>
    <row r="23" spans="1:7" ht="15" customHeight="1" x14ac:dyDescent="0.2">
      <c r="A23" s="14" t="s">
        <v>734</v>
      </c>
      <c r="C23" s="52">
        <f>SYNERGIES!C24*(1-ASSUMPTIONS!F84)</f>
        <v>152</v>
      </c>
      <c r="D23" s="52">
        <f>SYNERGIES!D24*(1-ASSUMPTIONS!F84)</f>
        <v>760</v>
      </c>
      <c r="E23" s="52">
        <f>SYNERGIES!E24*(1-ASSUMPTIONS!F84)</f>
        <v>1368</v>
      </c>
      <c r="F23" s="52">
        <f>SYNERGIES!F24*(1-ASSUMPTIONS!F84)</f>
        <v>1520</v>
      </c>
      <c r="G23" s="52">
        <f>SYNERGIES!G24*(1-ASSUMPTIONS!F84)</f>
        <v>1520</v>
      </c>
    </row>
    <row r="24" spans="1:7" ht="15" customHeight="1" x14ac:dyDescent="0.2">
      <c r="A24" s="14" t="s">
        <v>735</v>
      </c>
      <c r="C24" s="52">
        <f>SYNERGIES!C28-SYNERGIES!C24*(1-ASSUMPTIONS!F84)</f>
        <v>-425.6</v>
      </c>
      <c r="D24" s="52">
        <f>SYNERGIES!D28-SYNERGIES!D24*(1-ASSUMPTIONS!F84)</f>
        <v>-425.6</v>
      </c>
      <c r="E24" s="52">
        <f>SYNERGIES!E28-SYNERGIES!E24*(1-ASSUMPTIONS!F84)</f>
        <v>-212.79999999999995</v>
      </c>
      <c r="F24" s="52">
        <f>SYNERGIES!F28-SYNERGIES!F24*(1-ASSUMPTIONS!F84)</f>
        <v>0</v>
      </c>
      <c r="G24" s="52">
        <f>SYNERGIES!G28-SYNERGIES!G24*(1-ASSUMPTIONS!F84)</f>
        <v>0</v>
      </c>
    </row>
    <row r="25" spans="1:7" ht="15" customHeight="1" x14ac:dyDescent="0.2">
      <c r="A25" s="14" t="s">
        <v>736</v>
      </c>
      <c r="C25" s="18">
        <f>PPA_DA!D24</f>
        <v>-3121.3246060606061</v>
      </c>
      <c r="D25" s="18">
        <f>PPA_DA!E24</f>
        <v>-3011.1034949494947</v>
      </c>
      <c r="E25" s="18">
        <f>PPA_DA!F24</f>
        <v>-2900.8823838383842</v>
      </c>
      <c r="F25" s="18">
        <f>PPA_DA!G24</f>
        <v>-2790.6612727272732</v>
      </c>
      <c r="G25" s="18">
        <f>PPA_DA!H24</f>
        <v>-2680.4401616161617</v>
      </c>
    </row>
    <row r="26" spans="1:7" ht="15" customHeight="1" x14ac:dyDescent="0.2">
      <c r="A26" s="14" t="s">
        <v>737</v>
      </c>
      <c r="C26" s="18">
        <f>PF_IS!C68</f>
        <v>-491.64323999999999</v>
      </c>
      <c r="D26" s="18">
        <f>PF_IS!D68</f>
        <v>-4.7272136771440545</v>
      </c>
      <c r="E26" s="18">
        <f>PF_IS!E68</f>
        <v>321.20303228490758</v>
      </c>
      <c r="F26" s="18">
        <f>PF_IS!F68</f>
        <v>688.35553265564693</v>
      </c>
      <c r="G26" s="18">
        <f>PF_IS!G68</f>
        <v>875.88480000000004</v>
      </c>
    </row>
    <row r="27" spans="1:7" ht="15" customHeight="1" x14ac:dyDescent="0.2">
      <c r="A27" s="13" t="s">
        <v>738</v>
      </c>
      <c r="C27" s="48">
        <f>C21+C22+C23+C24+C25+C26</f>
        <v>8132.0612924234674</v>
      </c>
      <c r="D27" s="48">
        <f>D21+D22+D23+D24+D25+D26</f>
        <v>9839.0597795639678</v>
      </c>
      <c r="E27" s="48">
        <f>E21+E22+E23+E24+E25+E26</f>
        <v>11622.193294527022</v>
      </c>
      <c r="F27" s="48">
        <f>F21+F22+F23+F24+F25+F26</f>
        <v>13016.034533898515</v>
      </c>
      <c r="G27" s="48">
        <f>G21+G22+G23+G24+G25+G26</f>
        <v>13892.164105629643</v>
      </c>
    </row>
    <row r="28" spans="1:7" ht="15" customHeight="1" x14ac:dyDescent="0.2">
      <c r="A28" s="12" t="s">
        <v>739</v>
      </c>
      <c r="B28" s="12"/>
      <c r="C28" s="12"/>
      <c r="D28" s="12"/>
      <c r="E28" s="12"/>
      <c r="F28" s="12"/>
      <c r="G28" s="12"/>
    </row>
    <row r="29" spans="1:7" ht="15" customHeight="1" x14ac:dyDescent="0.2">
      <c r="A29" s="14" t="s">
        <v>740</v>
      </c>
      <c r="C29" s="18">
        <f>PF_IS!C45</f>
        <v>8132.0612924234701</v>
      </c>
      <c r="D29" s="18">
        <f>PF_IS!D45</f>
        <v>9839.0597795639696</v>
      </c>
      <c r="E29" s="18">
        <f>PF_IS!E45</f>
        <v>11622.193294527022</v>
      </c>
      <c r="F29" s="18">
        <f>PF_IS!F45</f>
        <v>13016.034533898515</v>
      </c>
      <c r="G29" s="18">
        <f>PF_IS!G45</f>
        <v>13892.164105629643</v>
      </c>
    </row>
    <row r="30" spans="1:7" ht="15" customHeight="1" x14ac:dyDescent="0.2">
      <c r="A30" s="14" t="s">
        <v>741</v>
      </c>
      <c r="C30" s="52">
        <f>PPA_DA!D15*(1-ASSUMPTIONS!F84)</f>
        <v>3277.1246060606063</v>
      </c>
      <c r="D30" s="52">
        <f>PPA_DA!E15*(1-ASSUMPTIONS!F84)</f>
        <v>3166.9034949494944</v>
      </c>
      <c r="E30" s="52">
        <f>PPA_DA!F15*(1-ASSUMPTIONS!F84)</f>
        <v>3056.6823838383843</v>
      </c>
      <c r="F30" s="52">
        <f>PPA_DA!G15*(1-ASSUMPTIONS!F84)</f>
        <v>2946.4612727272734</v>
      </c>
      <c r="G30" s="52">
        <f>PPA_DA!H15*(1-ASSUMPTIONS!F84)</f>
        <v>2836.2401616161619</v>
      </c>
    </row>
    <row r="31" spans="1:7" ht="15" customHeight="1" x14ac:dyDescent="0.2">
      <c r="A31" s="13" t="s">
        <v>742</v>
      </c>
      <c r="C31" s="66">
        <f>C29+C30</f>
        <v>11409.185898484076</v>
      </c>
      <c r="D31" s="66">
        <f>D29+D30</f>
        <v>13005.963274513464</v>
      </c>
      <c r="E31" s="66">
        <f>E29+E30</f>
        <v>14678.875678365406</v>
      </c>
      <c r="F31" s="66">
        <f>F29+F30</f>
        <v>15962.49580662579</v>
      </c>
      <c r="G31" s="66">
        <f>G29+G30</f>
        <v>16728.404267245805</v>
      </c>
    </row>
    <row r="32" spans="1:7" ht="15" customHeight="1" x14ac:dyDescent="0.2">
      <c r="A32" s="13" t="s">
        <v>743</v>
      </c>
      <c r="C32" s="56">
        <f>C31/PF_IS!C49</f>
        <v>6.3560924225538029</v>
      </c>
      <c r="D32" s="56">
        <f>D31/PF_IS!D49</f>
        <v>7.245661991372403</v>
      </c>
      <c r="E32" s="56">
        <f>E31/PF_IS!E49</f>
        <v>8.1776466174737639</v>
      </c>
      <c r="F32" s="56">
        <f>F31/PF_IS!F49</f>
        <v>8.8927553240255097</v>
      </c>
      <c r="G32" s="56">
        <f>G31/PF_IS!G49</f>
        <v>9.3194452742316471</v>
      </c>
    </row>
    <row r="33" spans="1:7" ht="15" customHeight="1" x14ac:dyDescent="0.2">
      <c r="A33" s="14" t="s">
        <v>955</v>
      </c>
      <c r="C33" s="50">
        <f>C32-C6</f>
        <v>-0.74385958381420814</v>
      </c>
      <c r="D33" s="50">
        <f>D32-D6</f>
        <v>-0.11929356731248575</v>
      </c>
      <c r="E33" s="50">
        <f>E32-E6</f>
        <v>0.53452500572605732</v>
      </c>
      <c r="F33" s="50">
        <f>F32-F6</f>
        <v>0.9576686226180291</v>
      </c>
      <c r="G33" s="50">
        <f>G32-G6</f>
        <v>1.0779235448811519</v>
      </c>
    </row>
    <row r="34" spans="1:7" ht="15" customHeight="1" x14ac:dyDescent="0.2">
      <c r="A34" s="14" t="s">
        <v>956</v>
      </c>
      <c r="C34" s="78">
        <f>IF(C6=0,0,C33/C6)</f>
        <v>-0.10476966367477326</v>
      </c>
      <c r="D34" s="78">
        <f>IF(D6=0,0,D33/D6)</f>
        <v>-1.619745921912762E-2</v>
      </c>
      <c r="E34" s="78">
        <f>IF(E6=0,0,E33/E6)</f>
        <v>6.9935431212356527E-2</v>
      </c>
      <c r="F34" s="78">
        <f>IF(F6=0,0,F33/F6)</f>
        <v>0.12068785870331615</v>
      </c>
      <c r="G34" s="78">
        <f>IF(G6=0,0,G33/G6)</f>
        <v>0.1307918100904045</v>
      </c>
    </row>
    <row r="35" spans="1:7" ht="15" customHeight="1" x14ac:dyDescent="0.2">
      <c r="A35" s="12" t="s">
        <v>744</v>
      </c>
      <c r="B35" s="12"/>
      <c r="C35" s="12"/>
      <c r="D35" s="12"/>
      <c r="E35" s="12"/>
      <c r="F35" s="12"/>
      <c r="G35" s="12"/>
    </row>
    <row r="36" spans="1:7" ht="15" customHeight="1" x14ac:dyDescent="0.2">
      <c r="A36" s="14" t="s">
        <v>745</v>
      </c>
      <c r="C36" s="52">
        <f>PF_IS!C45-DIS_PROJ!C40</f>
        <v>-2432.6672930521308</v>
      </c>
      <c r="D36" s="52">
        <f>C36+(PF_IS!D45-DIS_PROJ!D40)</f>
        <v>-3552.6613848112756</v>
      </c>
      <c r="E36" s="52">
        <f>D36+(PF_IS!E45-DIS_PROJ!E40)</f>
        <v>-3303.4330485648406</v>
      </c>
      <c r="F36" s="52">
        <f>E36+(PF_IS!F45-DIS_PROJ!F40)</f>
        <v>-2094.807526360657</v>
      </c>
      <c r="G36" s="52">
        <f>F36+(PF_IS!G45-DIS_PROJ!G40)</f>
        <v>-466.02775400454993</v>
      </c>
    </row>
    <row r="37" spans="1:7" ht="15" customHeight="1" x14ac:dyDescent="0.2">
      <c r="A37" s="14" t="s">
        <v>746</v>
      </c>
      <c r="C37" s="52">
        <f>SYNERGIES!C28</f>
        <v>-273.60000000000002</v>
      </c>
      <c r="D37" s="52">
        <f>C37+(SYNERGIES!D28)</f>
        <v>60.799999999999955</v>
      </c>
      <c r="E37" s="52">
        <f>D37+(SYNERGIES!E28)</f>
        <v>1216</v>
      </c>
      <c r="F37" s="52">
        <f>E37+(SYNERGIES!F28)</f>
        <v>2736</v>
      </c>
      <c r="G37" s="52">
        <f>F37+(SYNERGIES!G28)</f>
        <v>4256</v>
      </c>
    </row>
    <row r="38" spans="1:7" ht="15" customHeight="1" x14ac:dyDescent="0.2">
      <c r="A38" s="14" t="s">
        <v>747</v>
      </c>
      <c r="C38" s="52">
        <f>PPA_DA!D24</f>
        <v>-3121.3246060606061</v>
      </c>
      <c r="D38" s="52">
        <f>C38+(PPA_DA!E24)</f>
        <v>-6132.4281010101004</v>
      </c>
      <c r="E38" s="52">
        <f>D38+(PPA_DA!F24)</f>
        <v>-9033.3104848484836</v>
      </c>
      <c r="F38" s="52">
        <f>E38+(PPA_DA!G24)</f>
        <v>-11823.971757575757</v>
      </c>
      <c r="G38" s="52">
        <f>F38+(PPA_DA!H24)</f>
        <v>-14504.411919191918</v>
      </c>
    </row>
    <row r="39" spans="1:7" ht="15" customHeight="1" x14ac:dyDescent="0.2">
      <c r="A39" s="14" t="s">
        <v>748</v>
      </c>
      <c r="C39" s="52">
        <f>PF_IS!C68</f>
        <v>-491.64323999999999</v>
      </c>
      <c r="D39" s="52">
        <f>C39+(PF_IS!D68)</f>
        <v>-496.37045367714404</v>
      </c>
      <c r="E39" s="52">
        <f>D39+(PF_IS!E68)</f>
        <v>-175.16742139223646</v>
      </c>
      <c r="F39" s="52">
        <f>E39+(PF_IS!F68)</f>
        <v>513.18811126341052</v>
      </c>
      <c r="G39" s="52">
        <f>F39+(PF_IS!G68)</f>
        <v>1389.0729112634106</v>
      </c>
    </row>
    <row r="40" spans="1:7" ht="15" customHeight="1" x14ac:dyDescent="0.2">
      <c r="A40" s="14" t="s">
        <v>749</v>
      </c>
      <c r="C40" s="50">
        <f>PF_IS!C52-DIS_PROJ!C42</f>
        <v>-2.569555743179448</v>
      </c>
      <c r="D40" s="50">
        <f>C40+(PF_IS!D52-DIS_PROJ!D42)</f>
        <v>-4.4531409511323199</v>
      </c>
      <c r="E40" s="50">
        <f>D40+(PF_IS!E52-DIS_PROJ!E42)</f>
        <v>-5.6215030673217967</v>
      </c>
      <c r="F40" s="50">
        <f>E40+(PF_IS!F52-DIS_PROJ!F42)</f>
        <v>-6.3053170478944498</v>
      </c>
      <c r="G40" s="50">
        <f>F40+(PF_IS!G52-DIS_PROJ!G42)</f>
        <v>-6.8074715874791272</v>
      </c>
    </row>
    <row r="41" spans="1:7" ht="15" customHeight="1" x14ac:dyDescent="0.2">
      <c r="A41" s="14" t="s">
        <v>750</v>
      </c>
      <c r="C41" s="50">
        <f>C32-C6</f>
        <v>-0.74385958381420814</v>
      </c>
      <c r="D41" s="50">
        <f>C41+(D32-D6)</f>
        <v>-0.86315315112669388</v>
      </c>
      <c r="E41" s="50">
        <f>D41+(E32-E6)</f>
        <v>-0.32862814540063656</v>
      </c>
      <c r="F41" s="50">
        <f>E41+(F32-F6)</f>
        <v>0.62904047721739254</v>
      </c>
      <c r="G41" s="50">
        <f>F41+(G32-G6)</f>
        <v>1.7069640220985445</v>
      </c>
    </row>
    <row r="43" spans="1:7" ht="15" customHeight="1" x14ac:dyDescent="0.2">
      <c r="A43" s="12" t="s">
        <v>376</v>
      </c>
      <c r="B43" s="12"/>
      <c r="C43" s="12"/>
      <c r="D43" s="12"/>
      <c r="E43" s="12"/>
      <c r="F43" s="12"/>
      <c r="G43" s="12"/>
    </row>
    <row r="44" spans="1:7" ht="15" customHeight="1" x14ac:dyDescent="0.2">
      <c r="A44" s="45" t="s">
        <v>751</v>
      </c>
      <c r="C44" s="74">
        <f>C19-PF_IS!C52</f>
        <v>0</v>
      </c>
    </row>
    <row r="45" spans="1:7" ht="15" customHeight="1" x14ac:dyDescent="0.2">
      <c r="A45" s="45" t="s">
        <v>752</v>
      </c>
      <c r="C45" s="51">
        <f>C27-PF_IS!C45</f>
        <v>0</v>
      </c>
    </row>
    <row r="46" spans="1:7" ht="15" customHeight="1" x14ac:dyDescent="0.2">
      <c r="A46" s="45" t="s">
        <v>753</v>
      </c>
      <c r="C46" s="74">
        <f>C8-(PF_IS!C52-DIS_PROJ!C42)</f>
        <v>0</v>
      </c>
    </row>
    <row r="47" spans="1:7" ht="15" customHeight="1" x14ac:dyDescent="0.2">
      <c r="A47" s="45" t="s">
        <v>754</v>
      </c>
      <c r="C47" s="51">
        <f>(C23+C24)-SYNERGIES!C28</f>
        <v>0</v>
      </c>
    </row>
    <row r="48" spans="1:7" ht="15" customHeight="1" x14ac:dyDescent="0.2">
      <c r="A48" s="45" t="s">
        <v>755</v>
      </c>
      <c r="C48" s="51">
        <f>MIN(C30:G30)</f>
        <v>2836.2401616161619</v>
      </c>
    </row>
    <row r="50" spans="1:2" ht="15" customHeight="1" x14ac:dyDescent="0.2">
      <c r="A50" s="13" t="s">
        <v>335</v>
      </c>
      <c r="B50" s="54" t="str">
        <f>IF(AND(ABS(C44)&lt;0.01,ABS(C45)&lt;1,ABS(C46)&lt;0.01,ABS(C47)&lt;1,C48&gt;=0),"OK","CHECK")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4"/>
  <sheetViews>
    <sheetView showGridLines="0" zoomScaleNormal="100" workbookViewId="0">
      <selection activeCell="N16" sqref="N16"/>
    </sheetView>
  </sheetViews>
  <sheetFormatPr baseColWidth="10" defaultColWidth="8.6640625" defaultRowHeight="15" x14ac:dyDescent="0.2"/>
  <cols>
    <col min="1" max="1" width="38" customWidth="1"/>
    <col min="2" max="9" width="13" customWidth="1"/>
  </cols>
  <sheetData>
    <row r="1" spans="1:11" ht="15.75" customHeight="1" x14ac:dyDescent="0.2">
      <c r="A1" s="11" t="s">
        <v>957</v>
      </c>
      <c r="B1" s="2"/>
      <c r="C1" s="2"/>
      <c r="D1" s="2"/>
      <c r="E1" s="2"/>
      <c r="F1" s="2"/>
      <c r="G1" s="2"/>
      <c r="H1" s="27"/>
      <c r="I1" s="27"/>
      <c r="J1" s="27"/>
      <c r="K1" s="27"/>
    </row>
    <row r="2" spans="1:11" ht="15" customHeight="1" x14ac:dyDescent="0.2">
      <c r="A2" s="10" t="s">
        <v>756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">
      <c r="A4" s="79" t="s">
        <v>958</v>
      </c>
      <c r="B4" s="79"/>
      <c r="C4" s="79"/>
      <c r="D4" s="79"/>
      <c r="E4" s="79"/>
      <c r="F4" s="79"/>
      <c r="G4" s="79"/>
      <c r="H4" s="27"/>
      <c r="I4" s="27"/>
      <c r="J4" s="27"/>
      <c r="K4" s="27"/>
    </row>
    <row r="5" spans="1:11" ht="15" customHeight="1" x14ac:dyDescent="0.2">
      <c r="A5" s="37" t="s">
        <v>757</v>
      </c>
      <c r="B5" s="27"/>
      <c r="C5" s="38" t="s">
        <v>758</v>
      </c>
      <c r="D5" s="38" t="s">
        <v>759</v>
      </c>
      <c r="E5" s="27"/>
      <c r="F5" s="27"/>
      <c r="G5" s="27"/>
      <c r="H5" s="27"/>
      <c r="I5" s="27"/>
      <c r="J5" s="27"/>
      <c r="K5" s="27"/>
    </row>
    <row r="6" spans="1:11" ht="15" customHeight="1" x14ac:dyDescent="0.2">
      <c r="A6" s="60"/>
      <c r="B6" s="35">
        <v>0.5</v>
      </c>
      <c r="C6" s="50">
        <f>(ACCR_DIL!$G$31+(SYNERGIES!$G$24*(1-ASSUMPTIONS!$F$84))*(B6-1))/PF_IS!$G$49</f>
        <v>8.8960469455408386</v>
      </c>
      <c r="D6" s="78">
        <f>C6/ACCR_DIL!$G$6-1</f>
        <v>7.9418005276790771E-2</v>
      </c>
      <c r="E6" s="27"/>
      <c r="F6" s="27"/>
      <c r="G6" s="27"/>
      <c r="H6" s="27"/>
      <c r="I6" s="27"/>
      <c r="J6" s="27"/>
      <c r="K6" s="27"/>
    </row>
    <row r="7" spans="1:11" ht="15" customHeight="1" x14ac:dyDescent="0.2">
      <c r="A7" s="60"/>
      <c r="B7" s="35">
        <v>0.75</v>
      </c>
      <c r="C7" s="50">
        <f>(ACCR_DIL!$G$31+(SYNERGIES!$G$24*(1-ASSUMPTIONS!$F$84))*(B7-1))/PF_IS!$G$49</f>
        <v>9.1077461098862429</v>
      </c>
      <c r="D7" s="78">
        <f>C7/ACCR_DIL!$G$6-1</f>
        <v>0.1051049076835977</v>
      </c>
      <c r="E7" s="27"/>
      <c r="F7" s="27"/>
      <c r="G7" s="27"/>
      <c r="H7" s="27"/>
      <c r="I7" s="27"/>
      <c r="J7" s="27"/>
      <c r="K7" s="27"/>
    </row>
    <row r="8" spans="1:11" ht="15" customHeight="1" x14ac:dyDescent="0.2">
      <c r="A8" s="60" t="s">
        <v>760</v>
      </c>
      <c r="B8" s="80">
        <v>1</v>
      </c>
      <c r="C8" s="81">
        <f>(ACCR_DIL!$G$31+(SYNERGIES!$G$24*(1-ASSUMPTIONS!$F$84))*(B8-1))/PF_IS!$G$49</f>
        <v>9.3194452742316471</v>
      </c>
      <c r="D8" s="82">
        <f>C8/ACCR_DIL!$G$6-1</f>
        <v>0.13079181009040441</v>
      </c>
      <c r="E8" s="27"/>
      <c r="F8" s="27"/>
      <c r="G8" s="27"/>
      <c r="H8" s="27"/>
      <c r="I8" s="27"/>
      <c r="J8" s="27"/>
      <c r="K8" s="27"/>
    </row>
    <row r="9" spans="1:11" ht="15" customHeight="1" x14ac:dyDescent="0.2">
      <c r="A9" s="60"/>
      <c r="B9" s="35">
        <v>1.25</v>
      </c>
      <c r="C9" s="50">
        <f>(ACCR_DIL!$G$31+(SYNERGIES!$G$24*(1-ASSUMPTIONS!$F$84))*(B9-1))/PF_IS!$G$49</f>
        <v>9.5311444385770496</v>
      </c>
      <c r="D9" s="78">
        <f>C9/ACCR_DIL!$G$6-1</f>
        <v>0.15647871249721113</v>
      </c>
      <c r="E9" s="27"/>
      <c r="F9" s="27"/>
      <c r="G9" s="27"/>
      <c r="H9" s="27"/>
      <c r="I9" s="27"/>
      <c r="J9" s="27"/>
      <c r="K9" s="27"/>
    </row>
    <row r="10" spans="1:11" ht="15" customHeight="1" x14ac:dyDescent="0.2">
      <c r="A10" s="60"/>
      <c r="B10" s="35">
        <v>1.5</v>
      </c>
      <c r="C10" s="50">
        <f>(ACCR_DIL!$G$31+(SYNERGIES!$G$24*(1-ASSUMPTIONS!$F$84))*(B10-1))/PF_IS!$G$49</f>
        <v>9.7428436029224539</v>
      </c>
      <c r="D10" s="78">
        <f>C10/ACCR_DIL!$G$6-1</f>
        <v>0.18216561490401806</v>
      </c>
      <c r="E10" s="27"/>
      <c r="F10" s="27"/>
      <c r="G10" s="27"/>
      <c r="H10" s="27"/>
      <c r="I10" s="27"/>
      <c r="J10" s="27"/>
      <c r="K10" s="27"/>
    </row>
    <row r="11" spans="1:11" ht="15" customHeight="1" x14ac:dyDescent="0.2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spans="1:11" ht="15" customHeight="1" x14ac:dyDescent="0.2">
      <c r="A12" s="79" t="s">
        <v>959</v>
      </c>
      <c r="B12" s="79"/>
      <c r="C12" s="79"/>
      <c r="D12" s="79"/>
      <c r="E12" s="79"/>
      <c r="F12" s="79"/>
      <c r="G12" s="79"/>
    </row>
    <row r="13" spans="1:11" ht="15" customHeight="1" x14ac:dyDescent="0.2">
      <c r="A13" s="37" t="s">
        <v>761</v>
      </c>
      <c r="C13" s="83" t="s">
        <v>762</v>
      </c>
      <c r="D13" s="83" t="s">
        <v>763</v>
      </c>
      <c r="E13" s="83" t="s">
        <v>764</v>
      </c>
      <c r="F13" s="83" t="s">
        <v>765</v>
      </c>
    </row>
    <row r="14" spans="1:11" ht="15" customHeight="1" x14ac:dyDescent="0.2">
      <c r="B14" s="35">
        <v>0.02</v>
      </c>
      <c r="C14" s="50">
        <f>(ACCR_DIL!$C$31-DEBT!$C$10*(B14-ASSUMPTIONS!$F$68)*(1-ASSUMPTIONS!$F$84))/PF_IS!$C$49</f>
        <v>6.46399082923904</v>
      </c>
      <c r="D14" s="78">
        <f>C14/ACCR_DIL!$C$6-1</f>
        <v>-8.957260225964514E-2</v>
      </c>
      <c r="E14" s="50">
        <f>(ACCR_DIL!$G$31-DEBT!$G$10*(B14-ASSUMPTIONS!$F$68)*(1-ASSUMPTIONS!$F$84))/PF_IS!$G$49</f>
        <v>9.3194452742316471</v>
      </c>
      <c r="F14" s="78">
        <f>E14/ACCR_DIL!$G$6-1</f>
        <v>0.13079181009040441</v>
      </c>
    </row>
    <row r="15" spans="1:11" ht="15" customHeight="1" x14ac:dyDescent="0.2">
      <c r="B15" s="84">
        <v>0.03</v>
      </c>
      <c r="C15" s="50">
        <f>(ACCR_DIL!$C$31-DEBT!$C$10*(B15-ASSUMPTIONS!$F$68)*(1-ASSUMPTIONS!$F$84))/PF_IS!$C$49</f>
        <v>6.3809920548657812</v>
      </c>
      <c r="D15" s="78">
        <f>C15/ACCR_DIL!$C$6-1</f>
        <v>-0.10126264950205133</v>
      </c>
      <c r="E15" s="50">
        <f>(ACCR_DIL!$G$31-DEBT!$G$10*(B15-ASSUMPTIONS!$F$68)*(1-ASSUMPTIONS!$F$84))/PF_IS!$G$49</f>
        <v>9.3194452742316471</v>
      </c>
      <c r="F15" s="78">
        <f>E15/ACCR_DIL!$G$6-1</f>
        <v>0.13079181009040441</v>
      </c>
    </row>
    <row r="16" spans="1:11" ht="15" customHeight="1" x14ac:dyDescent="0.2">
      <c r="B16" s="35">
        <v>0.04</v>
      </c>
      <c r="C16" s="50">
        <f>(ACCR_DIL!$C$31-DEBT!$C$10*(B16-ASSUMPTIONS!$F$68)*(1-ASSUMPTIONS!$F$84))/PF_IS!$C$49</f>
        <v>6.2979932804925216</v>
      </c>
      <c r="D16" s="78">
        <f>C16/ACCR_DIL!$C$6-1</f>
        <v>-0.11295269674445763</v>
      </c>
      <c r="E16" s="50">
        <f>(ACCR_DIL!$G$31-DEBT!$G$10*(B16-ASSUMPTIONS!$F$68)*(1-ASSUMPTIONS!$F$84))/PF_IS!$G$49</f>
        <v>9.3194452742316471</v>
      </c>
      <c r="F16" s="78">
        <f>E16/ACCR_DIL!$G$6-1</f>
        <v>0.13079181009040441</v>
      </c>
    </row>
    <row r="17" spans="1:7" ht="15" customHeight="1" x14ac:dyDescent="0.2">
      <c r="B17" s="35">
        <v>0.05</v>
      </c>
      <c r="C17" s="50">
        <f>(ACCR_DIL!$C$31-DEBT!$C$10*(B17-ASSUMPTIONS!$F$68)*(1-ASSUMPTIONS!$F$84))/PF_IS!$C$49</f>
        <v>6.2149945061192629</v>
      </c>
      <c r="D17" s="78">
        <f>C17/ACCR_DIL!$C$6-1</f>
        <v>-0.12464274398686381</v>
      </c>
      <c r="E17" s="50">
        <f>(ACCR_DIL!$G$31-DEBT!$G$10*(B17-ASSUMPTIONS!$F$68)*(1-ASSUMPTIONS!$F$84))/PF_IS!$G$49</f>
        <v>9.3194452742316471</v>
      </c>
      <c r="F17" s="78">
        <f>E17/ACCR_DIL!$G$6-1</f>
        <v>0.13079181009040441</v>
      </c>
    </row>
    <row r="18" spans="1:7" ht="15" customHeight="1" x14ac:dyDescent="0.2">
      <c r="B18" s="35">
        <v>0.06</v>
      </c>
      <c r="C18" s="50">
        <f>(ACCR_DIL!$C$31-DEBT!$C$10*(B18-ASSUMPTIONS!$F$68)*(1-ASSUMPTIONS!$F$84))/PF_IS!$C$49</f>
        <v>6.1319957317460041</v>
      </c>
      <c r="D18" s="78">
        <f>C18/ACCR_DIL!$C$6-1</f>
        <v>-0.13633279122927</v>
      </c>
      <c r="E18" s="50">
        <f>(ACCR_DIL!$G$31-DEBT!$G$10*(B18-ASSUMPTIONS!$F$68)*(1-ASSUMPTIONS!$F$84))/PF_IS!$G$49</f>
        <v>9.3194452742316471</v>
      </c>
      <c r="F18" s="78">
        <f>E18/ACCR_DIL!$G$6-1</f>
        <v>0.13079181009040441</v>
      </c>
    </row>
    <row r="19" spans="1:7" ht="27.75" customHeight="1" x14ac:dyDescent="0.2">
      <c r="A19" s="115" t="s">
        <v>960</v>
      </c>
      <c r="B19" s="115"/>
      <c r="C19" s="115"/>
      <c r="D19" s="115"/>
      <c r="E19" s="115"/>
      <c r="F19" s="115"/>
      <c r="G19" s="115"/>
    </row>
    <row r="21" spans="1:7" ht="15" customHeight="1" x14ac:dyDescent="0.2">
      <c r="A21" s="79" t="s">
        <v>961</v>
      </c>
      <c r="B21" s="79"/>
      <c r="C21" s="79"/>
      <c r="D21" s="79"/>
      <c r="E21" s="79"/>
      <c r="F21" s="79"/>
      <c r="G21" s="79"/>
    </row>
    <row r="22" spans="1:7" ht="15" customHeight="1" x14ac:dyDescent="0.2">
      <c r="A22" s="13" t="s">
        <v>962</v>
      </c>
    </row>
    <row r="23" spans="1:7" ht="15" customHeight="1" x14ac:dyDescent="0.2">
      <c r="B23" s="85" t="s">
        <v>766</v>
      </c>
      <c r="C23" s="86">
        <v>0.02</v>
      </c>
      <c r="D23" s="86">
        <v>0.03</v>
      </c>
      <c r="E23" s="86">
        <v>0.04</v>
      </c>
      <c r="F23" s="86">
        <v>0.05</v>
      </c>
      <c r="G23" s="86">
        <v>0.06</v>
      </c>
    </row>
    <row r="24" spans="1:7" ht="15" customHeight="1" x14ac:dyDescent="0.2">
      <c r="B24" s="87">
        <v>0.5</v>
      </c>
      <c r="C24" s="88">
        <f>((ACCR_DIL!$G$31+(SYNERGIES!$G$24*(1-ASSUMPTIONS!$F$84))*($B24-1)-DEBT!$G$10*(C$23-ASSUMPTIONS!$F$68)*(1-ASSUMPTIONS!$F$84))/PF_IS!$G$49)/ACCR_DIL!$G$6-1</f>
        <v>7.9418005276790771E-2</v>
      </c>
      <c r="D24" s="88">
        <f>((ACCR_DIL!$G$31+(SYNERGIES!$G$24*(1-ASSUMPTIONS!$F$84))*($B24-1)-DEBT!$G$10*(D$23-ASSUMPTIONS!$F$68)*(1-ASSUMPTIONS!$F$84))/PF_IS!$G$49)/ACCR_DIL!$G$6-1</f>
        <v>7.9418005276790771E-2</v>
      </c>
      <c r="E24" s="88">
        <f>((ACCR_DIL!$G$31+(SYNERGIES!$G$24*(1-ASSUMPTIONS!$F$84))*($B24-1)-DEBT!$G$10*(E$23-ASSUMPTIONS!$F$68)*(1-ASSUMPTIONS!$F$84))/PF_IS!$G$49)/ACCR_DIL!$G$6-1</f>
        <v>7.9418005276790771E-2</v>
      </c>
      <c r="F24" s="88">
        <f>((ACCR_DIL!$G$31+(SYNERGIES!$G$24*(1-ASSUMPTIONS!$F$84))*($B24-1)-DEBT!$G$10*(F$23-ASSUMPTIONS!$F$68)*(1-ASSUMPTIONS!$F$84))/PF_IS!$G$49)/ACCR_DIL!$G$6-1</f>
        <v>7.9418005276790771E-2</v>
      </c>
      <c r="G24" s="88">
        <f>((ACCR_DIL!$G$31+(SYNERGIES!$G$24*(1-ASSUMPTIONS!$F$84))*($B24-1)-DEBT!$G$10*(G$23-ASSUMPTIONS!$F$68)*(1-ASSUMPTIONS!$F$84))/PF_IS!$G$49)/ACCR_DIL!$G$6-1</f>
        <v>7.9418005276790771E-2</v>
      </c>
    </row>
    <row r="25" spans="1:7" ht="15" customHeight="1" x14ac:dyDescent="0.2">
      <c r="B25" s="87">
        <v>0.75</v>
      </c>
      <c r="C25" s="88">
        <f>((ACCR_DIL!$G$31+(SYNERGIES!$G$24*(1-ASSUMPTIONS!$F$84))*($B25-1)-DEBT!$G$10*(C$23-ASSUMPTIONS!$F$68)*(1-ASSUMPTIONS!$F$84))/PF_IS!$G$49)/ACCR_DIL!$G$6-1</f>
        <v>0.1051049076835977</v>
      </c>
      <c r="D25" s="88">
        <f>((ACCR_DIL!$G$31+(SYNERGIES!$G$24*(1-ASSUMPTIONS!$F$84))*($B25-1)-DEBT!$G$10*(D$23-ASSUMPTIONS!$F$68)*(1-ASSUMPTIONS!$F$84))/PF_IS!$G$49)/ACCR_DIL!$G$6-1</f>
        <v>0.1051049076835977</v>
      </c>
      <c r="E25" s="88">
        <f>((ACCR_DIL!$G$31+(SYNERGIES!$G$24*(1-ASSUMPTIONS!$F$84))*($B25-1)-DEBT!$G$10*(E$23-ASSUMPTIONS!$F$68)*(1-ASSUMPTIONS!$F$84))/PF_IS!$G$49)/ACCR_DIL!$G$6-1</f>
        <v>0.1051049076835977</v>
      </c>
      <c r="F25" s="88">
        <f>((ACCR_DIL!$G$31+(SYNERGIES!$G$24*(1-ASSUMPTIONS!$F$84))*($B25-1)-DEBT!$G$10*(F$23-ASSUMPTIONS!$F$68)*(1-ASSUMPTIONS!$F$84))/PF_IS!$G$49)/ACCR_DIL!$G$6-1</f>
        <v>0.1051049076835977</v>
      </c>
      <c r="G25" s="88">
        <f>((ACCR_DIL!$G$31+(SYNERGIES!$G$24*(1-ASSUMPTIONS!$F$84))*($B25-1)-DEBT!$G$10*(G$23-ASSUMPTIONS!$F$68)*(1-ASSUMPTIONS!$F$84))/PF_IS!$G$49)/ACCR_DIL!$G$6-1</f>
        <v>0.1051049076835977</v>
      </c>
    </row>
    <row r="26" spans="1:7" ht="15" customHeight="1" x14ac:dyDescent="0.2">
      <c r="B26" s="86">
        <v>1</v>
      </c>
      <c r="C26" s="88">
        <f>((ACCR_DIL!$G$31+(SYNERGIES!$G$24*(1-ASSUMPTIONS!$F$84))*($B26-1)-DEBT!$G$10*(C$23-ASSUMPTIONS!$F$68)*(1-ASSUMPTIONS!$F$84))/PF_IS!$G$49)/ACCR_DIL!$G$6-1</f>
        <v>0.13079181009040441</v>
      </c>
      <c r="D26" s="89">
        <f>((ACCR_DIL!$G$31+(SYNERGIES!$G$24*(1-ASSUMPTIONS!$F$84))*($B26-1)-DEBT!$G$10*(D$23-ASSUMPTIONS!$F$68)*(1-ASSUMPTIONS!$F$84))/PF_IS!$G$49)/ACCR_DIL!$G$6-1</f>
        <v>0.13079181009040441</v>
      </c>
      <c r="E26" s="88">
        <f>((ACCR_DIL!$G$31+(SYNERGIES!$G$24*(1-ASSUMPTIONS!$F$84))*($B26-1)-DEBT!$G$10*(E$23-ASSUMPTIONS!$F$68)*(1-ASSUMPTIONS!$F$84))/PF_IS!$G$49)/ACCR_DIL!$G$6-1</f>
        <v>0.13079181009040441</v>
      </c>
      <c r="F26" s="88">
        <f>((ACCR_DIL!$G$31+(SYNERGIES!$G$24*(1-ASSUMPTIONS!$F$84))*($B26-1)-DEBT!$G$10*(F$23-ASSUMPTIONS!$F$68)*(1-ASSUMPTIONS!$F$84))/PF_IS!$G$49)/ACCR_DIL!$G$6-1</f>
        <v>0.13079181009040441</v>
      </c>
      <c r="G26" s="88">
        <f>((ACCR_DIL!$G$31+(SYNERGIES!$G$24*(1-ASSUMPTIONS!$F$84))*($B26-1)-DEBT!$G$10*(G$23-ASSUMPTIONS!$F$68)*(1-ASSUMPTIONS!$F$84))/PF_IS!$G$49)/ACCR_DIL!$G$6-1</f>
        <v>0.13079181009040441</v>
      </c>
    </row>
    <row r="27" spans="1:7" ht="15" customHeight="1" x14ac:dyDescent="0.2">
      <c r="B27" s="87">
        <v>1.25</v>
      </c>
      <c r="C27" s="88">
        <f>((ACCR_DIL!$G$31+(SYNERGIES!$G$24*(1-ASSUMPTIONS!$F$84))*($B27-1)-DEBT!$G$10*(C$23-ASSUMPTIONS!$F$68)*(1-ASSUMPTIONS!$F$84))/PF_IS!$G$49)/ACCR_DIL!$G$6-1</f>
        <v>0.15647871249721113</v>
      </c>
      <c r="D27" s="88">
        <f>((ACCR_DIL!$G$31+(SYNERGIES!$G$24*(1-ASSUMPTIONS!$F$84))*($B27-1)-DEBT!$G$10*(D$23-ASSUMPTIONS!$F$68)*(1-ASSUMPTIONS!$F$84))/PF_IS!$G$49)/ACCR_DIL!$G$6-1</f>
        <v>0.15647871249721113</v>
      </c>
      <c r="E27" s="88">
        <f>((ACCR_DIL!$G$31+(SYNERGIES!$G$24*(1-ASSUMPTIONS!$F$84))*($B27-1)-DEBT!$G$10*(E$23-ASSUMPTIONS!$F$68)*(1-ASSUMPTIONS!$F$84))/PF_IS!$G$49)/ACCR_DIL!$G$6-1</f>
        <v>0.15647871249721113</v>
      </c>
      <c r="F27" s="88">
        <f>((ACCR_DIL!$G$31+(SYNERGIES!$G$24*(1-ASSUMPTIONS!$F$84))*($B27-1)-DEBT!$G$10*(F$23-ASSUMPTIONS!$F$68)*(1-ASSUMPTIONS!$F$84))/PF_IS!$G$49)/ACCR_DIL!$G$6-1</f>
        <v>0.15647871249721113</v>
      </c>
      <c r="G27" s="88">
        <f>((ACCR_DIL!$G$31+(SYNERGIES!$G$24*(1-ASSUMPTIONS!$F$84))*($B27-1)-DEBT!$G$10*(G$23-ASSUMPTIONS!$F$68)*(1-ASSUMPTIONS!$F$84))/PF_IS!$G$49)/ACCR_DIL!$G$6-1</f>
        <v>0.15647871249721113</v>
      </c>
    </row>
    <row r="28" spans="1:7" ht="15" customHeight="1" x14ac:dyDescent="0.2">
      <c r="B28" s="87">
        <v>1.5</v>
      </c>
      <c r="C28" s="88">
        <f>((ACCR_DIL!$G$31+(SYNERGIES!$G$24*(1-ASSUMPTIONS!$F$84))*($B28-1)-DEBT!$G$10*(C$23-ASSUMPTIONS!$F$68)*(1-ASSUMPTIONS!$F$84))/PF_IS!$G$49)/ACCR_DIL!$G$6-1</f>
        <v>0.18216561490401806</v>
      </c>
      <c r="D28" s="88">
        <f>((ACCR_DIL!$G$31+(SYNERGIES!$G$24*(1-ASSUMPTIONS!$F$84))*($B28-1)-DEBT!$G$10*(D$23-ASSUMPTIONS!$F$68)*(1-ASSUMPTIONS!$F$84))/PF_IS!$G$49)/ACCR_DIL!$G$6-1</f>
        <v>0.18216561490401806</v>
      </c>
      <c r="E28" s="88">
        <f>((ACCR_DIL!$G$31+(SYNERGIES!$G$24*(1-ASSUMPTIONS!$F$84))*($B28-1)-DEBT!$G$10*(E$23-ASSUMPTIONS!$F$68)*(1-ASSUMPTIONS!$F$84))/PF_IS!$G$49)/ACCR_DIL!$G$6-1</f>
        <v>0.18216561490401806</v>
      </c>
      <c r="F28" s="88">
        <f>((ACCR_DIL!$G$31+(SYNERGIES!$G$24*(1-ASSUMPTIONS!$F$84))*($B28-1)-DEBT!$G$10*(F$23-ASSUMPTIONS!$F$68)*(1-ASSUMPTIONS!$F$84))/PF_IS!$G$49)/ACCR_DIL!$G$6-1</f>
        <v>0.18216561490401806</v>
      </c>
      <c r="G28" s="88">
        <f>((ACCR_DIL!$G$31+(SYNERGIES!$G$24*(1-ASSUMPTIONS!$F$84))*($B28-1)-DEBT!$G$10*(G$23-ASSUMPTIONS!$F$68)*(1-ASSUMPTIONS!$F$84))/PF_IS!$G$49)/ACCR_DIL!$G$6-1</f>
        <v>0.18216561490401806</v>
      </c>
    </row>
    <row r="29" spans="1:7" ht="25.5" customHeight="1" x14ac:dyDescent="0.2">
      <c r="A29" s="115" t="s">
        <v>963</v>
      </c>
      <c r="B29" s="115"/>
      <c r="C29" s="115"/>
      <c r="D29" s="115"/>
      <c r="E29" s="115"/>
      <c r="F29" s="115"/>
      <c r="G29" s="115"/>
    </row>
    <row r="31" spans="1:7" ht="15" customHeight="1" x14ac:dyDescent="0.2">
      <c r="A31" s="13" t="s">
        <v>964</v>
      </c>
    </row>
    <row r="32" spans="1:7" ht="15" customHeight="1" x14ac:dyDescent="0.2">
      <c r="B32" s="85" t="s">
        <v>766</v>
      </c>
      <c r="C32" s="86">
        <v>0.02</v>
      </c>
      <c r="D32" s="86">
        <v>0.03</v>
      </c>
      <c r="E32" s="86">
        <v>0.04</v>
      </c>
      <c r="F32" s="86">
        <v>0.05</v>
      </c>
      <c r="G32" s="86">
        <v>0.06</v>
      </c>
    </row>
    <row r="33" spans="1:7" ht="15" customHeight="1" x14ac:dyDescent="0.2">
      <c r="B33" s="87">
        <v>0.5</v>
      </c>
      <c r="C33" s="88">
        <f>((ACCR_DIL!$C$31+(SYNERGIES!$C$24*(1-ASSUMPTIONS!$F$84))*($B33-1)-DEBT!$C$10*(C$32-ASSUMPTIONS!$F$68)*(1-ASSUMPTIONS!$F$84))/PF_IS!$C$49)/ACCR_DIL!$C$6-1</f>
        <v>-9.5535999312344355E-2</v>
      </c>
      <c r="D33" s="88">
        <f>((ACCR_DIL!$C$31+(SYNERGIES!$C$24*(1-ASSUMPTIONS!$F$84))*($B33-1)-DEBT!$C$10*(D$32-ASSUMPTIONS!$F$68)*(1-ASSUMPTIONS!$F$84))/PF_IS!$C$49)/ACCR_DIL!$C$6-1</f>
        <v>-0.10722604655475054</v>
      </c>
      <c r="E33" s="88">
        <f>((ACCR_DIL!$C$31+(SYNERGIES!$C$24*(1-ASSUMPTIONS!$F$84))*($B33-1)-DEBT!$C$10*(E$32-ASSUMPTIONS!$F$68)*(1-ASSUMPTIONS!$F$84))/PF_IS!$C$49)/ACCR_DIL!$C$6-1</f>
        <v>-0.11891609379715684</v>
      </c>
      <c r="F33" s="88">
        <f>((ACCR_DIL!$C$31+(SYNERGIES!$C$24*(1-ASSUMPTIONS!$F$84))*($B33-1)-DEBT!$C$10*(F$32-ASSUMPTIONS!$F$68)*(1-ASSUMPTIONS!$F$84))/PF_IS!$C$49)/ACCR_DIL!$C$6-1</f>
        <v>-0.13060614103956303</v>
      </c>
      <c r="G33" s="88">
        <f>((ACCR_DIL!$C$31+(SYNERGIES!$C$24*(1-ASSUMPTIONS!$F$84))*($B33-1)-DEBT!$C$10*(G$32-ASSUMPTIONS!$F$68)*(1-ASSUMPTIONS!$F$84))/PF_IS!$C$49)/ACCR_DIL!$C$6-1</f>
        <v>-0.14229618828196922</v>
      </c>
    </row>
    <row r="34" spans="1:7" ht="15" customHeight="1" x14ac:dyDescent="0.2">
      <c r="B34" s="87">
        <v>0.75</v>
      </c>
      <c r="C34" s="88">
        <f>((ACCR_DIL!$C$31+(SYNERGIES!$C$24*(1-ASSUMPTIONS!$F$84))*($B34-1)-DEBT!$C$10*(C$32-ASSUMPTIONS!$F$68)*(1-ASSUMPTIONS!$F$84))/PF_IS!$C$49)/ACCR_DIL!$C$6-1</f>
        <v>-9.2554300785994692E-2</v>
      </c>
      <c r="D34" s="88">
        <f>((ACCR_DIL!$C$31+(SYNERGIES!$C$24*(1-ASSUMPTIONS!$F$84))*($B34-1)-DEBT!$C$10*(D$32-ASSUMPTIONS!$F$68)*(1-ASSUMPTIONS!$F$84))/PF_IS!$C$49)/ACCR_DIL!$C$6-1</f>
        <v>-0.10424434802840099</v>
      </c>
      <c r="E34" s="88">
        <f>((ACCR_DIL!$C$31+(SYNERGIES!$C$24*(1-ASSUMPTIONS!$F$84))*($B34-1)-DEBT!$C$10*(E$32-ASSUMPTIONS!$F$68)*(1-ASSUMPTIONS!$F$84))/PF_IS!$C$49)/ACCR_DIL!$C$6-1</f>
        <v>-0.11593439527080718</v>
      </c>
      <c r="F34" s="88">
        <f>((ACCR_DIL!$C$31+(SYNERGIES!$C$24*(1-ASSUMPTIONS!$F$84))*($B34-1)-DEBT!$C$10*(F$32-ASSUMPTIONS!$F$68)*(1-ASSUMPTIONS!$F$84))/PF_IS!$C$49)/ACCR_DIL!$C$6-1</f>
        <v>-0.12762444251321337</v>
      </c>
      <c r="G34" s="88">
        <f>((ACCR_DIL!$C$31+(SYNERGIES!$C$24*(1-ASSUMPTIONS!$F$84))*($B34-1)-DEBT!$C$10*(G$32-ASSUMPTIONS!$F$68)*(1-ASSUMPTIONS!$F$84))/PF_IS!$C$49)/ACCR_DIL!$C$6-1</f>
        <v>-0.13931448975561966</v>
      </c>
    </row>
    <row r="35" spans="1:7" ht="15" customHeight="1" x14ac:dyDescent="0.2">
      <c r="B35" s="86">
        <v>1</v>
      </c>
      <c r="C35" s="88">
        <f>((ACCR_DIL!$C$31+(SYNERGIES!$C$24*(1-ASSUMPTIONS!$F$84))*($B35-1)-DEBT!$C$10*(C$32-ASSUMPTIONS!$F$68)*(1-ASSUMPTIONS!$F$84))/PF_IS!$C$49)/ACCR_DIL!$C$6-1</f>
        <v>-8.957260225964514E-2</v>
      </c>
      <c r="D35" s="89">
        <f>((ACCR_DIL!$C$31+(SYNERGIES!$C$24*(1-ASSUMPTIONS!$F$84))*($B35-1)-DEBT!$C$10*(D$32-ASSUMPTIONS!$F$68)*(1-ASSUMPTIONS!$F$84))/PF_IS!$C$49)/ACCR_DIL!$C$6-1</f>
        <v>-0.10126264950205133</v>
      </c>
      <c r="E35" s="88">
        <f>((ACCR_DIL!$C$31+(SYNERGIES!$C$24*(1-ASSUMPTIONS!$F$84))*($B35-1)-DEBT!$C$10*(E$32-ASSUMPTIONS!$F$68)*(1-ASSUMPTIONS!$F$84))/PF_IS!$C$49)/ACCR_DIL!$C$6-1</f>
        <v>-0.11295269674445763</v>
      </c>
      <c r="F35" s="88">
        <f>((ACCR_DIL!$C$31+(SYNERGIES!$C$24*(1-ASSUMPTIONS!$F$84))*($B35-1)-DEBT!$C$10*(F$32-ASSUMPTIONS!$F$68)*(1-ASSUMPTIONS!$F$84))/PF_IS!$C$49)/ACCR_DIL!$C$6-1</f>
        <v>-0.12464274398686381</v>
      </c>
      <c r="G35" s="88">
        <f>((ACCR_DIL!$C$31+(SYNERGIES!$C$24*(1-ASSUMPTIONS!$F$84))*($B35-1)-DEBT!$C$10*(G$32-ASSUMPTIONS!$F$68)*(1-ASSUMPTIONS!$F$84))/PF_IS!$C$49)/ACCR_DIL!$C$6-1</f>
        <v>-0.13633279122927</v>
      </c>
    </row>
    <row r="36" spans="1:7" ht="15" customHeight="1" x14ac:dyDescent="0.2">
      <c r="B36" s="87">
        <v>1.25</v>
      </c>
      <c r="C36" s="88">
        <f>((ACCR_DIL!$C$31+(SYNERGIES!$C$24*(1-ASSUMPTIONS!$F$84))*($B36-1)-DEBT!$C$10*(C$32-ASSUMPTIONS!$F$68)*(1-ASSUMPTIONS!$F$84))/PF_IS!$C$49)/ACCR_DIL!$C$6-1</f>
        <v>-8.6590903733295477E-2</v>
      </c>
      <c r="D36" s="88">
        <f>((ACCR_DIL!$C$31+(SYNERGIES!$C$24*(1-ASSUMPTIONS!$F$84))*($B36-1)-DEBT!$C$10*(D$32-ASSUMPTIONS!$F$68)*(1-ASSUMPTIONS!$F$84))/PF_IS!$C$49)/ACCR_DIL!$C$6-1</f>
        <v>-9.8280950975701664E-2</v>
      </c>
      <c r="E36" s="88">
        <f>((ACCR_DIL!$C$31+(SYNERGIES!$C$24*(1-ASSUMPTIONS!$F$84))*($B36-1)-DEBT!$C$10*(E$32-ASSUMPTIONS!$F$68)*(1-ASSUMPTIONS!$F$84))/PF_IS!$C$49)/ACCR_DIL!$C$6-1</f>
        <v>-0.10997099821810807</v>
      </c>
      <c r="F36" s="88">
        <f>((ACCR_DIL!$C$31+(SYNERGIES!$C$24*(1-ASSUMPTIONS!$F$84))*($B36-1)-DEBT!$C$10*(F$32-ASSUMPTIONS!$F$68)*(1-ASSUMPTIONS!$F$84))/PF_IS!$C$49)/ACCR_DIL!$C$6-1</f>
        <v>-0.12166104546051426</v>
      </c>
      <c r="G36" s="88">
        <f>((ACCR_DIL!$C$31+(SYNERGIES!$C$24*(1-ASSUMPTIONS!$F$84))*($B36-1)-DEBT!$C$10*(G$32-ASSUMPTIONS!$F$68)*(1-ASSUMPTIONS!$F$84))/PF_IS!$C$49)/ACCR_DIL!$C$6-1</f>
        <v>-0.13335109270292045</v>
      </c>
    </row>
    <row r="37" spans="1:7" ht="15" customHeight="1" x14ac:dyDescent="0.2">
      <c r="B37" s="87">
        <v>1.5</v>
      </c>
      <c r="C37" s="88">
        <f>((ACCR_DIL!$C$31+(SYNERGIES!$C$24*(1-ASSUMPTIONS!$F$84))*($B37-1)-DEBT!$C$10*(C$32-ASSUMPTIONS!$F$68)*(1-ASSUMPTIONS!$F$84))/PF_IS!$C$49)/ACCR_DIL!$C$6-1</f>
        <v>-8.3609205206945925E-2</v>
      </c>
      <c r="D37" s="88">
        <f>((ACCR_DIL!$C$31+(SYNERGIES!$C$24*(1-ASSUMPTIONS!$F$84))*($B37-1)-DEBT!$C$10*(D$32-ASSUMPTIONS!$F$68)*(1-ASSUMPTIONS!$F$84))/PF_IS!$C$49)/ACCR_DIL!$C$6-1</f>
        <v>-9.5299252449352112E-2</v>
      </c>
      <c r="E37" s="88">
        <f>((ACCR_DIL!$C$31+(SYNERGIES!$C$24*(1-ASSUMPTIONS!$F$84))*($B37-1)-DEBT!$C$10*(E$32-ASSUMPTIONS!$F$68)*(1-ASSUMPTIONS!$F$84))/PF_IS!$C$49)/ACCR_DIL!$C$6-1</f>
        <v>-0.1069892996917583</v>
      </c>
      <c r="F37" s="88">
        <f>((ACCR_DIL!$C$31+(SYNERGIES!$C$24*(1-ASSUMPTIONS!$F$84))*($B37-1)-DEBT!$C$10*(F$32-ASSUMPTIONS!$F$68)*(1-ASSUMPTIONS!$F$84))/PF_IS!$C$49)/ACCR_DIL!$C$6-1</f>
        <v>-0.11867934693416471</v>
      </c>
      <c r="G37" s="88">
        <f>((ACCR_DIL!$C$31+(SYNERGIES!$C$24*(1-ASSUMPTIONS!$F$84))*($B37-1)-DEBT!$C$10*(G$32-ASSUMPTIONS!$F$68)*(1-ASSUMPTIONS!$F$84))/PF_IS!$C$49)/ACCR_DIL!$C$6-1</f>
        <v>-0.1303693941765709</v>
      </c>
    </row>
    <row r="39" spans="1:7" ht="15" customHeight="1" x14ac:dyDescent="0.2">
      <c r="A39" s="79" t="s">
        <v>965</v>
      </c>
      <c r="B39" s="79"/>
      <c r="C39" s="79"/>
      <c r="D39" s="79"/>
      <c r="E39" s="79"/>
      <c r="F39" s="79"/>
      <c r="G39" s="79"/>
    </row>
    <row r="40" spans="1:7" ht="15" customHeight="1" x14ac:dyDescent="0.2">
      <c r="A40" s="37" t="s">
        <v>767</v>
      </c>
      <c r="C40" s="38" t="s">
        <v>768</v>
      </c>
      <c r="D40" s="37" t="s">
        <v>769</v>
      </c>
    </row>
    <row r="41" spans="1:7" ht="15" customHeight="1" x14ac:dyDescent="0.2">
      <c r="A41" s="14" t="s">
        <v>770</v>
      </c>
      <c r="C41" s="50">
        <f>ACCR_DIL!G14</f>
        <v>1.0659248657227121</v>
      </c>
      <c r="D41" s="90" t="str">
        <f t="shared" ref="D41:D46" si="0">IF(C41&gt;0.001,"▲ positive",IF(C41&lt;-0.001,"▼ negative","- neutral"))</f>
        <v>▲ positive</v>
      </c>
    </row>
    <row r="42" spans="1:7" ht="15" customHeight="1" x14ac:dyDescent="0.2">
      <c r="A42" s="14" t="s">
        <v>771</v>
      </c>
      <c r="C42" s="50">
        <f>ACCR_DIL!G15+ACCR_DIL!G16</f>
        <v>0.84679665738161558</v>
      </c>
      <c r="D42" s="90" t="str">
        <f t="shared" si="0"/>
        <v>▲ positive</v>
      </c>
    </row>
    <row r="43" spans="1:7" ht="15" customHeight="1" x14ac:dyDescent="0.2">
      <c r="A43" s="14" t="s">
        <v>772</v>
      </c>
      <c r="C43" s="50">
        <f>ACCR_DIL!G18</f>
        <v>0.48795810584958221</v>
      </c>
      <c r="D43" s="90" t="str">
        <f t="shared" si="0"/>
        <v>▲ positive</v>
      </c>
    </row>
    <row r="44" spans="1:7" ht="15" customHeight="1" x14ac:dyDescent="0.2">
      <c r="A44" s="14" t="s">
        <v>773</v>
      </c>
      <c r="C44" s="50">
        <f>-DEBT!G30*(1-ASSUMPTIONS!F84)/PF_IS!G49</f>
        <v>0</v>
      </c>
      <c r="D44" s="90" t="str">
        <f t="shared" si="0"/>
        <v>- neutral</v>
      </c>
    </row>
    <row r="45" spans="1:7" ht="15" customHeight="1" x14ac:dyDescent="0.2">
      <c r="A45" s="14" t="s">
        <v>774</v>
      </c>
      <c r="C45" s="50">
        <f>ACCR_DIL!G13</f>
        <v>-1.4095527414543749</v>
      </c>
      <c r="D45" s="90" t="str">
        <f t="shared" si="0"/>
        <v>▼ negative</v>
      </c>
    </row>
    <row r="46" spans="1:7" ht="15" customHeight="1" x14ac:dyDescent="0.2">
      <c r="A46" s="14" t="s">
        <v>775</v>
      </c>
      <c r="C46" s="50">
        <f>ACCR_DIL!G17</f>
        <v>-1.4932814270842127</v>
      </c>
      <c r="D46" s="90" t="str">
        <f t="shared" si="0"/>
        <v>▼ negative</v>
      </c>
    </row>
    <row r="47" spans="1:7" ht="15" customHeight="1" x14ac:dyDescent="0.2">
      <c r="A47" s="13" t="s">
        <v>776</v>
      </c>
      <c r="C47" s="75">
        <f>SUM(C41:C46)</f>
        <v>-0.50215453958467759</v>
      </c>
    </row>
    <row r="48" spans="1:7" ht="15" customHeight="1" x14ac:dyDescent="0.2">
      <c r="A48" s="60" t="s">
        <v>777</v>
      </c>
    </row>
    <row r="50" spans="1:7" ht="15" customHeight="1" x14ac:dyDescent="0.2">
      <c r="A50" s="79" t="s">
        <v>778</v>
      </c>
      <c r="B50" s="79"/>
      <c r="C50" s="79"/>
      <c r="D50" s="79"/>
      <c r="E50" s="79"/>
      <c r="F50" s="79"/>
      <c r="G50" s="79"/>
    </row>
    <row r="51" spans="1:7" ht="15" customHeight="1" x14ac:dyDescent="0.2">
      <c r="A51" s="14" t="s">
        <v>779</v>
      </c>
      <c r="C51" s="39">
        <f>1+(ACCR_DIL!$G$6*PF_IS!$G$49-ACCR_DIL!$G$31)/(SYNERGIES!$G$24*(1-ASSUMPTIONS!$F$84))</f>
        <v>-0.27294260727741237</v>
      </c>
    </row>
    <row r="52" spans="1:7" ht="15" customHeight="1" x14ac:dyDescent="0.2">
      <c r="A52" s="14" t="s">
        <v>780</v>
      </c>
      <c r="C52" s="91">
        <f>ASSUMPTIONS!$F$68+(ACCR_DIL!$C$31-ACCR_DIL!$C$6*PF_IS!$C$49)/(DEBT!$C$10*(1-ASSUMPTIONS!$F$84))</f>
        <v>-5.6622960029379429E-2</v>
      </c>
    </row>
    <row r="53" spans="1:7" ht="45.75" customHeight="1" x14ac:dyDescent="0.2">
      <c r="A53" s="116" t="s">
        <v>966</v>
      </c>
      <c r="B53" s="116"/>
      <c r="C53" s="116"/>
      <c r="D53" s="116"/>
      <c r="E53" s="116"/>
      <c r="F53" s="116"/>
      <c r="G53" s="116"/>
    </row>
    <row r="54" spans="1:7" ht="45.75" customHeight="1" x14ac:dyDescent="0.2">
      <c r="A54" s="116" t="s">
        <v>967</v>
      </c>
      <c r="B54" s="116"/>
      <c r="C54" s="116"/>
      <c r="D54" s="116"/>
      <c r="E54" s="116"/>
      <c r="F54" s="116"/>
      <c r="G54" s="116"/>
    </row>
    <row r="55" spans="1:7" ht="45.75" customHeight="1" x14ac:dyDescent="0.2">
      <c r="A55" s="116" t="s">
        <v>968</v>
      </c>
      <c r="B55" s="116"/>
      <c r="C55" s="116"/>
      <c r="D55" s="116"/>
      <c r="E55" s="116"/>
      <c r="F55" s="116"/>
      <c r="G55" s="116"/>
    </row>
    <row r="56" spans="1:7" ht="45.75" customHeight="1" x14ac:dyDescent="0.2">
      <c r="A56" s="116" t="s">
        <v>969</v>
      </c>
      <c r="B56" s="116"/>
      <c r="C56" s="116"/>
      <c r="D56" s="116"/>
      <c r="E56" s="116"/>
      <c r="F56" s="116"/>
      <c r="G56" s="116"/>
    </row>
    <row r="58" spans="1:7" ht="15" customHeight="1" x14ac:dyDescent="0.2">
      <c r="A58" s="79" t="s">
        <v>376</v>
      </c>
      <c r="B58" s="79"/>
      <c r="C58" s="79"/>
      <c r="D58" s="79"/>
      <c r="E58" s="79"/>
      <c r="F58" s="79"/>
      <c r="G58" s="79"/>
    </row>
    <row r="59" spans="1:7" ht="15" customHeight="1" x14ac:dyDescent="0.2">
      <c r="A59" s="45" t="s">
        <v>781</v>
      </c>
      <c r="C59" s="74">
        <f>C8-ACCR_DIL!G32</f>
        <v>0</v>
      </c>
    </row>
    <row r="60" spans="1:7" ht="15" customHeight="1" x14ac:dyDescent="0.2">
      <c r="A60" s="45" t="s">
        <v>782</v>
      </c>
      <c r="C60" s="74">
        <f>(ACCR_DIL!$C$31-DEBT!$C$10*(ASSUMPTIONS!$F$68-ASSUMPTIONS!$F$68)*(1-ASSUMPTIONS!$F$84))/PF_IS!$C$49-ACCR_DIL!C32</f>
        <v>0</v>
      </c>
    </row>
    <row r="61" spans="1:7" ht="15" customHeight="1" x14ac:dyDescent="0.2">
      <c r="A61" s="45" t="s">
        <v>783</v>
      </c>
      <c r="C61" s="74">
        <f>C47-(ACCR_DIL!G7-ACCR_DIL!G6)</f>
        <v>0</v>
      </c>
    </row>
    <row r="62" spans="1:7" ht="15" customHeight="1" x14ac:dyDescent="0.2">
      <c r="A62" s="45" t="s">
        <v>784</v>
      </c>
      <c r="C62" s="51">
        <f>DEBT!G10</f>
        <v>0</v>
      </c>
    </row>
    <row r="64" spans="1:7" ht="15" customHeight="1" x14ac:dyDescent="0.2">
      <c r="A64" s="13" t="s">
        <v>335</v>
      </c>
      <c r="B64" s="54" t="str">
        <f>IF(AND(ABS(C59)&lt;0.01,ABS(C60)&lt;0.01,ABS(C61)&lt;0.01,ABS(C62)&lt;1),"OK","CHECK")</f>
        <v>OK</v>
      </c>
    </row>
  </sheetData>
  <mergeCells count="6">
    <mergeCell ref="A56:G56"/>
    <mergeCell ref="A19:G19"/>
    <mergeCell ref="A29:G29"/>
    <mergeCell ref="A53:G53"/>
    <mergeCell ref="A54:G54"/>
    <mergeCell ref="A55:G55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06"/>
  <sheetViews>
    <sheetView showGridLines="0" tabSelected="1" zoomScaleNormal="100" workbookViewId="0">
      <selection activeCell="A67" sqref="A67:G67"/>
    </sheetView>
  </sheetViews>
  <sheetFormatPr baseColWidth="10" defaultColWidth="8.6640625" defaultRowHeight="15" x14ac:dyDescent="0.2"/>
  <cols>
    <col min="1" max="1" width="40" customWidth="1"/>
    <col min="2" max="9" width="12.5" customWidth="1"/>
  </cols>
  <sheetData>
    <row r="1" spans="1:11" ht="15.75" customHeight="1" x14ac:dyDescent="0.2">
      <c r="A1" s="11" t="s">
        <v>785</v>
      </c>
      <c r="B1" s="2"/>
      <c r="C1" s="2"/>
      <c r="D1" s="2"/>
      <c r="E1" s="2"/>
      <c r="F1" s="2"/>
      <c r="G1" s="2"/>
      <c r="H1" s="27"/>
      <c r="I1" s="27"/>
      <c r="J1" s="27"/>
      <c r="K1" s="27"/>
    </row>
    <row r="2" spans="1:11" ht="15" customHeight="1" x14ac:dyDescent="0.2">
      <c r="A2" s="10" t="s">
        <v>970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">
      <c r="A4" s="79" t="s">
        <v>786</v>
      </c>
      <c r="B4" s="79"/>
      <c r="C4" s="79"/>
      <c r="D4" s="79"/>
      <c r="E4" s="79"/>
      <c r="F4" s="79"/>
      <c r="G4" s="79"/>
      <c r="H4" s="27"/>
      <c r="I4" s="27"/>
      <c r="J4" s="27"/>
      <c r="K4" s="27"/>
    </row>
    <row r="5" spans="1:11" ht="45.75" customHeight="1" x14ac:dyDescent="0.2">
      <c r="A5" s="115" t="s">
        <v>787</v>
      </c>
      <c r="B5" s="115"/>
      <c r="C5" s="115"/>
      <c r="D5" s="115"/>
      <c r="E5" s="115"/>
      <c r="F5" s="115"/>
      <c r="G5" s="115"/>
      <c r="H5" s="27"/>
      <c r="I5" s="27"/>
      <c r="J5" s="27"/>
      <c r="K5" s="27"/>
    </row>
    <row r="6" spans="1:11" ht="15" customHeight="1" x14ac:dyDescent="0.2">
      <c r="A6" s="14" t="s">
        <v>788</v>
      </c>
      <c r="B6" s="27"/>
      <c r="C6" s="92">
        <f>ASSUMPTIONS!B7</f>
        <v>69456</v>
      </c>
      <c r="D6" s="27"/>
      <c r="E6" s="27"/>
      <c r="F6" s="27"/>
      <c r="G6" s="27"/>
      <c r="H6" s="27"/>
      <c r="I6" s="27"/>
      <c r="J6" s="27"/>
      <c r="K6" s="27"/>
    </row>
    <row r="7" spans="1:11" ht="15" customHeight="1" x14ac:dyDescent="0.2">
      <c r="A7" s="14" t="s">
        <v>789</v>
      </c>
      <c r="B7" s="27"/>
      <c r="C7" s="93">
        <f>PPA!B36</f>
        <v>47671</v>
      </c>
      <c r="D7" s="27"/>
      <c r="E7" s="27"/>
      <c r="F7" s="27"/>
      <c r="G7" s="27"/>
      <c r="H7" s="27"/>
      <c r="I7" s="27"/>
      <c r="J7" s="27"/>
      <c r="K7" s="27"/>
    </row>
    <row r="8" spans="1:11" ht="15" customHeight="1" x14ac:dyDescent="0.2">
      <c r="A8" s="14" t="s">
        <v>790</v>
      </c>
      <c r="B8" s="27"/>
      <c r="C8" s="93">
        <f>PPA!B34</f>
        <v>4669</v>
      </c>
      <c r="D8" s="27"/>
      <c r="E8" s="27"/>
      <c r="F8" s="27"/>
      <c r="G8" s="27"/>
      <c r="H8" s="27"/>
      <c r="I8" s="27"/>
      <c r="J8" s="27"/>
      <c r="K8" s="27"/>
    </row>
    <row r="9" spans="1:11" ht="15" customHeight="1" x14ac:dyDescent="0.2">
      <c r="A9" s="14" t="s">
        <v>791</v>
      </c>
      <c r="B9" s="94" t="s">
        <v>792</v>
      </c>
      <c r="C9" s="19">
        <f>'S&amp;U'!B33</f>
        <v>0.1699889258028793</v>
      </c>
      <c r="D9" s="19">
        <f>'S&amp;U'!B34</f>
        <v>0.83001107419712072</v>
      </c>
      <c r="E9" s="27"/>
      <c r="F9" s="27"/>
      <c r="G9" s="27"/>
      <c r="H9" s="27"/>
      <c r="I9" s="27"/>
      <c r="J9" s="27"/>
      <c r="K9" s="27"/>
    </row>
    <row r="10" spans="1:11" ht="15" customHeight="1" x14ac:dyDescent="0.2">
      <c r="A10" s="14" t="s">
        <v>793</v>
      </c>
      <c r="B10" s="27"/>
      <c r="C10" s="9" t="str">
        <f>CONTROL!B23</f>
        <v>MODEL OK</v>
      </c>
      <c r="D10" s="27"/>
      <c r="E10" s="27"/>
      <c r="F10" s="27"/>
      <c r="G10" s="27"/>
      <c r="H10" s="27"/>
      <c r="I10" s="27"/>
      <c r="J10" s="27"/>
      <c r="K10" s="27"/>
    </row>
    <row r="11" spans="1:11" ht="15" customHeight="1" x14ac:dyDescent="0.2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spans="1:11" ht="15" customHeight="1" x14ac:dyDescent="0.2">
      <c r="A12" s="79" t="s">
        <v>794</v>
      </c>
      <c r="B12" s="79"/>
      <c r="C12" s="79"/>
      <c r="D12" s="79"/>
      <c r="E12" s="79"/>
      <c r="F12" s="79"/>
      <c r="G12" s="79"/>
      <c r="H12" s="27"/>
      <c r="I12" s="27"/>
      <c r="J12" s="27"/>
      <c r="K12" s="27"/>
    </row>
    <row r="13" spans="1:11" ht="15" customHeight="1" x14ac:dyDescent="0.2">
      <c r="A13" s="14" t="s">
        <v>795</v>
      </c>
      <c r="B13" s="94" t="s">
        <v>796</v>
      </c>
      <c r="C13" s="93">
        <f>ASSUMPTIONS!B5</f>
        <v>35703</v>
      </c>
      <c r="D13" s="55">
        <f>ASSUMPTIONS!B5/ASSUMPTIONS!B7</f>
        <v>0.51403766413268837</v>
      </c>
      <c r="E13" s="27"/>
      <c r="F13" s="27"/>
      <c r="G13" s="27"/>
      <c r="H13" s="27"/>
      <c r="I13" s="27"/>
      <c r="J13" s="27"/>
      <c r="K13" s="27"/>
    </row>
    <row r="14" spans="1:11" ht="15" customHeight="1" x14ac:dyDescent="0.2">
      <c r="A14" s="14" t="s">
        <v>797</v>
      </c>
      <c r="B14" s="94" t="s">
        <v>796</v>
      </c>
      <c r="C14" s="93">
        <f>ASSUMPTIONS!B6</f>
        <v>33753</v>
      </c>
      <c r="D14" s="55">
        <f>ASSUMPTIONS!B6/ASSUMPTIONS!B7</f>
        <v>0.48596233586731169</v>
      </c>
    </row>
    <row r="15" spans="1:11" ht="15" customHeight="1" x14ac:dyDescent="0.2">
      <c r="A15" s="14" t="s">
        <v>798</v>
      </c>
      <c r="C15" s="18">
        <f>ASSUMPTIONS!B8</f>
        <v>307</v>
      </c>
    </row>
    <row r="16" spans="1:11" ht="15" customHeight="1" x14ac:dyDescent="0.2">
      <c r="A16" s="14" t="s">
        <v>799</v>
      </c>
      <c r="C16" s="62">
        <f>ASSUMPTIONS!B11</f>
        <v>0.33279999999999998</v>
      </c>
    </row>
    <row r="17" spans="1:7" ht="15" customHeight="1" x14ac:dyDescent="0.2">
      <c r="A17" s="14" t="s">
        <v>800</v>
      </c>
      <c r="C17" s="95">
        <f>ASSUMPTIONS!B9</f>
        <v>110</v>
      </c>
    </row>
    <row r="18" spans="1:7" ht="15" customHeight="1" x14ac:dyDescent="0.2">
      <c r="A18" s="14" t="s">
        <v>801</v>
      </c>
      <c r="B18" s="94" t="s">
        <v>802</v>
      </c>
      <c r="C18" s="93">
        <f>ASSUMPTIONS!B15</f>
        <v>19208</v>
      </c>
      <c r="D18" s="93">
        <f>ASSUMPTIONS!B16</f>
        <v>22800</v>
      </c>
    </row>
    <row r="20" spans="1:7" ht="15" customHeight="1" x14ac:dyDescent="0.2">
      <c r="A20" s="79" t="s">
        <v>803</v>
      </c>
      <c r="B20" s="79"/>
      <c r="C20" s="79"/>
      <c r="D20" s="79"/>
      <c r="E20" s="79"/>
      <c r="F20" s="79"/>
      <c r="G20" s="79"/>
    </row>
    <row r="21" spans="1:7" ht="15" customHeight="1" x14ac:dyDescent="0.2">
      <c r="A21" s="13" t="s">
        <v>804</v>
      </c>
      <c r="E21" s="13" t="s">
        <v>805</v>
      </c>
    </row>
    <row r="22" spans="1:7" ht="15" customHeight="1" x14ac:dyDescent="0.2">
      <c r="A22" s="14" t="s">
        <v>806</v>
      </c>
      <c r="C22" s="18">
        <f>'S&amp;U'!B5</f>
        <v>33753</v>
      </c>
      <c r="E22" s="14" t="s">
        <v>807</v>
      </c>
      <c r="G22" s="18">
        <f>'S&amp;U'!B11</f>
        <v>35703</v>
      </c>
    </row>
    <row r="23" spans="1:7" ht="15" customHeight="1" x14ac:dyDescent="0.2">
      <c r="A23" s="14" t="s">
        <v>808</v>
      </c>
      <c r="C23" s="18">
        <f>'S&amp;U'!B6</f>
        <v>35703</v>
      </c>
      <c r="E23" s="14" t="s">
        <v>809</v>
      </c>
      <c r="G23" s="18">
        <f>'S&amp;U'!B10</f>
        <v>33753</v>
      </c>
    </row>
    <row r="24" spans="1:7" ht="15" customHeight="1" x14ac:dyDescent="0.2">
      <c r="A24" s="13" t="s">
        <v>810</v>
      </c>
      <c r="C24" s="96">
        <f>'S&amp;U'!B7</f>
        <v>69456</v>
      </c>
      <c r="E24" s="13" t="s">
        <v>811</v>
      </c>
      <c r="G24" s="96">
        <f>'S&amp;U'!B12</f>
        <v>69456</v>
      </c>
    </row>
    <row r="26" spans="1:7" ht="15" customHeight="1" x14ac:dyDescent="0.2">
      <c r="A26" s="79" t="s">
        <v>812</v>
      </c>
      <c r="B26" s="79"/>
      <c r="C26" s="79"/>
      <c r="D26" s="79"/>
      <c r="E26" s="79"/>
      <c r="F26" s="79"/>
      <c r="G26" s="79"/>
    </row>
    <row r="27" spans="1:7" ht="15" customHeight="1" x14ac:dyDescent="0.2">
      <c r="A27" s="97"/>
      <c r="C27" s="38" t="s">
        <v>159</v>
      </c>
      <c r="D27" s="38" t="s">
        <v>160</v>
      </c>
      <c r="E27" s="38" t="s">
        <v>161</v>
      </c>
      <c r="F27" s="38" t="s">
        <v>162</v>
      </c>
      <c r="G27" s="38" t="s">
        <v>163</v>
      </c>
    </row>
    <row r="28" spans="1:7" ht="15" customHeight="1" x14ac:dyDescent="0.2">
      <c r="A28" s="14" t="s">
        <v>813</v>
      </c>
      <c r="C28" s="18">
        <f>ASSUMPTIONS!F61</f>
        <v>2000</v>
      </c>
      <c r="D28" s="18">
        <f>ASSUMPTIONS!F61</f>
        <v>2000</v>
      </c>
      <c r="E28" s="18">
        <f>ASSUMPTIONS!F61</f>
        <v>2000</v>
      </c>
      <c r="F28" s="18">
        <f>ASSUMPTIONS!F61</f>
        <v>2000</v>
      </c>
      <c r="G28" s="18">
        <f>ASSUMPTIONS!F61</f>
        <v>2000</v>
      </c>
    </row>
    <row r="29" spans="1:7" ht="15" customHeight="1" x14ac:dyDescent="0.2">
      <c r="A29" s="14" t="s">
        <v>814</v>
      </c>
      <c r="C29" s="18">
        <f>SYNERGIES!C15</f>
        <v>200</v>
      </c>
      <c r="D29" s="18">
        <f>SYNERGIES!D15</f>
        <v>1000</v>
      </c>
      <c r="E29" s="18">
        <f>SYNERGIES!E15</f>
        <v>1800</v>
      </c>
      <c r="F29" s="18">
        <f>SYNERGIES!F15</f>
        <v>2000</v>
      </c>
      <c r="G29" s="18">
        <f>SYNERGIES!G15</f>
        <v>2000</v>
      </c>
    </row>
    <row r="30" spans="1:7" ht="15" customHeight="1" x14ac:dyDescent="0.2">
      <c r="A30" s="13" t="s">
        <v>815</v>
      </c>
      <c r="C30" s="39">
        <f>SYNERGIES!C15/ASSUMPTIONS!F61</f>
        <v>0.1</v>
      </c>
      <c r="D30" s="39">
        <f>SYNERGIES!D15/ASSUMPTIONS!F61</f>
        <v>0.5</v>
      </c>
      <c r="E30" s="39">
        <f>SYNERGIES!E15/ASSUMPTIONS!F61</f>
        <v>0.9</v>
      </c>
      <c r="F30" s="39">
        <f>SYNERGIES!F15/ASSUMPTIONS!F61</f>
        <v>1</v>
      </c>
      <c r="G30" s="39">
        <f>SYNERGIES!G15/ASSUMPTIONS!F61</f>
        <v>1</v>
      </c>
    </row>
    <row r="31" spans="1:7" ht="15" customHeight="1" x14ac:dyDescent="0.2">
      <c r="A31" s="14" t="s">
        <v>816</v>
      </c>
      <c r="C31" s="18">
        <f>SYNERGIES!C21</f>
        <v>560</v>
      </c>
      <c r="D31" s="18">
        <f>SYNERGIES!D21</f>
        <v>560</v>
      </c>
      <c r="E31" s="18">
        <f>SYNERGIES!E21</f>
        <v>280</v>
      </c>
      <c r="F31" s="18">
        <f>SYNERGIES!F21</f>
        <v>0</v>
      </c>
      <c r="G31" s="18">
        <f>SYNERGIES!G21</f>
        <v>0</v>
      </c>
    </row>
    <row r="32" spans="1:7" ht="15" customHeight="1" x14ac:dyDescent="0.2">
      <c r="A32" s="14" t="s">
        <v>817</v>
      </c>
      <c r="C32" s="18">
        <f>SYNERGIES!C28</f>
        <v>-273.60000000000002</v>
      </c>
      <c r="D32" s="18">
        <f>SYNERGIES!D28</f>
        <v>334.4</v>
      </c>
      <c r="E32" s="18">
        <f>SYNERGIES!E28</f>
        <v>1155.2</v>
      </c>
      <c r="F32" s="18">
        <f>SYNERGIES!F28</f>
        <v>1520</v>
      </c>
      <c r="G32" s="18">
        <f>SYNERGIES!G28</f>
        <v>1520</v>
      </c>
    </row>
    <row r="34" spans="1:7" ht="15" customHeight="1" x14ac:dyDescent="0.2">
      <c r="A34" s="79" t="s">
        <v>818</v>
      </c>
      <c r="B34" s="79"/>
      <c r="C34" s="79"/>
      <c r="D34" s="79"/>
      <c r="E34" s="79"/>
      <c r="F34" s="79"/>
      <c r="G34" s="79"/>
    </row>
    <row r="35" spans="1:7" ht="15" customHeight="1" x14ac:dyDescent="0.2">
      <c r="A35" s="14" t="s">
        <v>819</v>
      </c>
      <c r="C35" s="63">
        <f>DEBT!B8</f>
        <v>38811</v>
      </c>
    </row>
    <row r="36" spans="1:7" ht="15" customHeight="1" x14ac:dyDescent="0.2">
      <c r="A36" s="97"/>
      <c r="C36" s="38" t="s">
        <v>159</v>
      </c>
      <c r="D36" s="38" t="s">
        <v>160</v>
      </c>
      <c r="E36" s="38" t="s">
        <v>161</v>
      </c>
      <c r="F36" s="38" t="s">
        <v>162</v>
      </c>
      <c r="G36" s="38" t="s">
        <v>163</v>
      </c>
    </row>
    <row r="37" spans="1:7" ht="15" customHeight="1" x14ac:dyDescent="0.2">
      <c r="A37" s="14" t="s">
        <v>971</v>
      </c>
      <c r="C37" s="18">
        <f>DEBT!C24</f>
        <v>19396.485393825518</v>
      </c>
      <c r="D37" s="18">
        <f>DEBT!D24</f>
        <v>12164.073853401151</v>
      </c>
      <c r="E37" s="18">
        <f>DEBT!E24</f>
        <v>4112.4839329901997</v>
      </c>
      <c r="F37" s="18">
        <f>DEBT!F24</f>
        <v>0</v>
      </c>
      <c r="G37" s="18">
        <f>DEBT!G24</f>
        <v>0</v>
      </c>
    </row>
    <row r="38" spans="1:7" ht="15" customHeight="1" x14ac:dyDescent="0.2">
      <c r="A38" s="13" t="s">
        <v>820</v>
      </c>
      <c r="C38" s="39">
        <f>1-DEBT!C24/DEBT!B8</f>
        <v>0.50023226936112142</v>
      </c>
      <c r="D38" s="39">
        <f>1-DEBT!D24/DEBT!B8</f>
        <v>0.68658179759858928</v>
      </c>
      <c r="E38" s="39">
        <f>1-DEBT!E24/DEBT!B8</f>
        <v>0.89403818677719715</v>
      </c>
      <c r="F38" s="39">
        <f>1-DEBT!F24/DEBT!B8</f>
        <v>1</v>
      </c>
      <c r="G38" s="39">
        <f>1-DEBT!G24/DEBT!B8</f>
        <v>1</v>
      </c>
    </row>
    <row r="39" spans="1:7" ht="15" customHeight="1" x14ac:dyDescent="0.2">
      <c r="A39" s="14" t="s">
        <v>821</v>
      </c>
      <c r="C39" s="18">
        <f>DEBT!C30</f>
        <v>1594.3789999999999</v>
      </c>
      <c r="D39" s="18">
        <f>DEBT!D30</f>
        <v>953.7000179962422</v>
      </c>
      <c r="E39" s="18">
        <f>DEBT!E30</f>
        <v>524.844431204069</v>
      </c>
      <c r="F39" s="18">
        <f>DEBT!F30</f>
        <v>41.749035979411985</v>
      </c>
      <c r="G39" s="18">
        <f>DEBT!G30</f>
        <v>0</v>
      </c>
    </row>
    <row r="40" spans="1:7" ht="15" customHeight="1" x14ac:dyDescent="0.2">
      <c r="A40" s="14" t="s">
        <v>822</v>
      </c>
      <c r="C40" s="98">
        <f>DEBT!C42</f>
        <v>0.84756593461755592</v>
      </c>
      <c r="D40" s="98">
        <f>DEBT!D42</f>
        <v>0.49593943113531685</v>
      </c>
      <c r="E40" s="98">
        <f>DEBT!E42</f>
        <v>0.15690166915852879</v>
      </c>
      <c r="F40" s="98">
        <f>DEBT!F42</f>
        <v>0</v>
      </c>
      <c r="G40" s="98">
        <f>DEBT!G42</f>
        <v>0</v>
      </c>
    </row>
    <row r="41" spans="1:7" ht="15" customHeight="1" x14ac:dyDescent="0.2">
      <c r="A41" s="13" t="s">
        <v>823</v>
      </c>
      <c r="C41" s="99">
        <f>DEBT!C44</f>
        <v>0.67277840638063913</v>
      </c>
      <c r="D41" s="99">
        <f>DEBT!D44</f>
        <v>0.33285609668264116</v>
      </c>
      <c r="E41" s="99">
        <f>DEBT!E44</f>
        <v>4.2915466971431681E-3</v>
      </c>
      <c r="F41" s="99">
        <f>DEBT!F44</f>
        <v>-0.14632384407658119</v>
      </c>
      <c r="G41" s="99">
        <f>DEBT!G44</f>
        <v>-0.14130511885695693</v>
      </c>
    </row>
    <row r="43" spans="1:7" ht="15" customHeight="1" x14ac:dyDescent="0.2">
      <c r="A43" s="79" t="s">
        <v>972</v>
      </c>
      <c r="B43" s="79"/>
      <c r="C43" s="79"/>
      <c r="D43" s="79"/>
      <c r="E43" s="79"/>
      <c r="F43" s="79"/>
      <c r="G43" s="79"/>
    </row>
    <row r="44" spans="1:7" ht="15" customHeight="1" x14ac:dyDescent="0.2">
      <c r="A44" s="97"/>
      <c r="C44" s="38" t="s">
        <v>159</v>
      </c>
      <c r="D44" s="38" t="s">
        <v>160</v>
      </c>
      <c r="E44" s="38" t="s">
        <v>161</v>
      </c>
      <c r="F44" s="38" t="s">
        <v>162</v>
      </c>
      <c r="G44" s="38" t="s">
        <v>163</v>
      </c>
    </row>
    <row r="45" spans="1:7" ht="15" customHeight="1" x14ac:dyDescent="0.2">
      <c r="A45" s="14" t="s">
        <v>824</v>
      </c>
      <c r="C45" s="57">
        <f>ACCR_DIL!C6</f>
        <v>7.099952006368011</v>
      </c>
      <c r="D45" s="57">
        <f>ACCR_DIL!D6</f>
        <v>7.3649555586848887</v>
      </c>
      <c r="E45" s="57">
        <f>ACCR_DIL!E6</f>
        <v>7.6431216117477065</v>
      </c>
      <c r="F45" s="57">
        <f>ACCR_DIL!F6</f>
        <v>7.9350867014074806</v>
      </c>
      <c r="G45" s="57">
        <f>ACCR_DIL!G6</f>
        <v>8.2415217293504952</v>
      </c>
    </row>
    <row r="46" spans="1:7" ht="15" customHeight="1" x14ac:dyDescent="0.2">
      <c r="A46" s="14" t="s">
        <v>825</v>
      </c>
      <c r="C46" s="57">
        <f>ACCR_DIL!C7</f>
        <v>4.530396263188563</v>
      </c>
      <c r="D46" s="57">
        <f>ACCR_DIL!D7</f>
        <v>5.4813703507320168</v>
      </c>
      <c r="E46" s="57">
        <f>ACCR_DIL!E7</f>
        <v>6.4747594955582297</v>
      </c>
      <c r="F46" s="57">
        <f>ACCR_DIL!F7</f>
        <v>7.2512727208348275</v>
      </c>
      <c r="G46" s="57">
        <f>ACCR_DIL!G7</f>
        <v>7.7393671897658178</v>
      </c>
    </row>
    <row r="47" spans="1:7" ht="15" customHeight="1" x14ac:dyDescent="0.2">
      <c r="A47" s="14" t="s">
        <v>973</v>
      </c>
      <c r="C47" s="57">
        <f>ACCR_DIL!C8</f>
        <v>-2.569555743179448</v>
      </c>
      <c r="D47" s="57">
        <f>ACCR_DIL!D8</f>
        <v>-1.8835852079528719</v>
      </c>
      <c r="E47" s="57">
        <f>ACCR_DIL!E8</f>
        <v>-1.1683621161894768</v>
      </c>
      <c r="F47" s="57">
        <f>ACCR_DIL!F8</f>
        <v>-0.68381398057265308</v>
      </c>
      <c r="G47" s="57">
        <f>ACCR_DIL!G8</f>
        <v>-0.50215453958467737</v>
      </c>
    </row>
    <row r="48" spans="1:7" ht="15" customHeight="1" x14ac:dyDescent="0.2">
      <c r="A48" s="100" t="s">
        <v>974</v>
      </c>
      <c r="C48" s="101">
        <f>ACCR_DIL!C9</f>
        <v>-0.36191170600516598</v>
      </c>
      <c r="D48" s="101">
        <f>ACCR_DIL!D9</f>
        <v>-0.25574970452221046</v>
      </c>
      <c r="E48" s="101">
        <f>ACCR_DIL!E9</f>
        <v>-0.15286451996180059</v>
      </c>
      <c r="F48" s="101">
        <f>ACCR_DIL!F9</f>
        <v>-8.6175993571861287E-2</v>
      </c>
      <c r="G48" s="101">
        <f>ACCR_DIL!G9</f>
        <v>-6.0929832629859682E-2</v>
      </c>
    </row>
    <row r="50" spans="1:7" ht="15" customHeight="1" x14ac:dyDescent="0.2">
      <c r="A50" s="79" t="s">
        <v>826</v>
      </c>
      <c r="B50" s="79"/>
      <c r="C50" s="79"/>
      <c r="D50" s="79"/>
      <c r="E50" s="79"/>
      <c r="F50" s="79"/>
      <c r="G50" s="79"/>
    </row>
    <row r="51" spans="1:7" ht="15" customHeight="1" x14ac:dyDescent="0.2">
      <c r="A51" s="97"/>
      <c r="C51" s="38" t="s">
        <v>159</v>
      </c>
      <c r="D51" s="38" t="s">
        <v>160</v>
      </c>
      <c r="E51" s="38" t="s">
        <v>161</v>
      </c>
      <c r="F51" s="38" t="s">
        <v>162</v>
      </c>
      <c r="G51" s="38" t="s">
        <v>163</v>
      </c>
    </row>
    <row r="52" spans="1:7" ht="15" customHeight="1" x14ac:dyDescent="0.2">
      <c r="A52" s="14" t="s">
        <v>827</v>
      </c>
      <c r="C52" s="57">
        <f>ACCR_DIL!C32</f>
        <v>6.3560924225538029</v>
      </c>
      <c r="D52" s="57">
        <f>ACCR_DIL!D32</f>
        <v>7.245661991372403</v>
      </c>
      <c r="E52" s="57">
        <f>ACCR_DIL!E32</f>
        <v>8.1776466174737639</v>
      </c>
      <c r="F52" s="57">
        <f>ACCR_DIL!F32</f>
        <v>8.8927553240255097</v>
      </c>
      <c r="G52" s="57">
        <f>ACCR_DIL!G32</f>
        <v>9.3194452742316471</v>
      </c>
    </row>
    <row r="53" spans="1:7" ht="15" customHeight="1" x14ac:dyDescent="0.2">
      <c r="A53" s="14" t="s">
        <v>975</v>
      </c>
      <c r="C53" s="57">
        <f>ACCR_DIL!C33</f>
        <v>-0.74385958381420814</v>
      </c>
      <c r="D53" s="57">
        <f>ACCR_DIL!D33</f>
        <v>-0.11929356731248575</v>
      </c>
      <c r="E53" s="57">
        <f>ACCR_DIL!E33</f>
        <v>0.53452500572605732</v>
      </c>
      <c r="F53" s="57">
        <f>ACCR_DIL!F33</f>
        <v>0.9576686226180291</v>
      </c>
      <c r="G53" s="57">
        <f>ACCR_DIL!G33</f>
        <v>1.0779235448811519</v>
      </c>
    </row>
    <row r="54" spans="1:7" ht="15" customHeight="1" x14ac:dyDescent="0.2">
      <c r="A54" s="100" t="s">
        <v>976</v>
      </c>
      <c r="C54" s="101">
        <f>ACCR_DIL!C34</f>
        <v>-0.10476966367477326</v>
      </c>
      <c r="D54" s="101">
        <f>ACCR_DIL!D34</f>
        <v>-1.619745921912762E-2</v>
      </c>
      <c r="E54" s="101">
        <f>ACCR_DIL!E34</f>
        <v>6.9935431212356527E-2</v>
      </c>
      <c r="F54" s="101">
        <f>ACCR_DIL!F34</f>
        <v>0.12068785870331615</v>
      </c>
      <c r="G54" s="101">
        <f>ACCR_DIL!G34</f>
        <v>0.1307918100904045</v>
      </c>
    </row>
    <row r="55" spans="1:7" ht="15" customHeight="1" x14ac:dyDescent="0.2">
      <c r="A55" s="14" t="s">
        <v>828</v>
      </c>
      <c r="C55" s="7" t="str">
        <f>IF(ACCR_DIL!C9&gt;0,"FY2019E",IF(ACCR_DIL!D9&gt;0,"FY2020E",IF(ACCR_DIL!E9&gt;0,"FY2021E",IF(ACCR_DIL!F9&gt;0,"FY2022E",IF(ACCR_DIL!G9&gt;0,"FY2023E","beyond FY2023E")))))</f>
        <v>beyond FY2023E</v>
      </c>
    </row>
    <row r="56" spans="1:7" ht="15" customHeight="1" x14ac:dyDescent="0.2">
      <c r="A56" s="14" t="s">
        <v>829</v>
      </c>
      <c r="C56" s="102" t="str">
        <f>IF(ACCR_DIL!C34&gt;0,"FY2019E",IF(ACCR_DIL!D34&gt;0,"FY2020E",IF(ACCR_DIL!E34&gt;0,"FY2021E",IF(ACCR_DIL!F34&gt;0,"FY2022E",IF(ACCR_DIL!G34&gt;0,"FY2023E","beyond")))))</f>
        <v>FY2021E</v>
      </c>
    </row>
    <row r="58" spans="1:7" ht="15" customHeight="1" x14ac:dyDescent="0.2">
      <c r="A58" s="79" t="s">
        <v>830</v>
      </c>
      <c r="B58" s="79"/>
      <c r="C58" s="79"/>
      <c r="D58" s="79"/>
      <c r="E58" s="79"/>
      <c r="F58" s="79"/>
      <c r="G58" s="79"/>
    </row>
    <row r="59" spans="1:7" ht="15" customHeight="1" x14ac:dyDescent="0.2">
      <c r="A59" s="97"/>
      <c r="C59" s="38" t="s">
        <v>159</v>
      </c>
      <c r="D59" s="38" t="s">
        <v>160</v>
      </c>
      <c r="E59" s="38" t="s">
        <v>161</v>
      </c>
      <c r="F59" s="38" t="s">
        <v>162</v>
      </c>
      <c r="G59" s="38" t="s">
        <v>163</v>
      </c>
    </row>
    <row r="60" spans="1:7" ht="15" customHeight="1" x14ac:dyDescent="0.2">
      <c r="A60" s="14" t="s">
        <v>831</v>
      </c>
      <c r="C60" s="18">
        <f>ACCR_DIL!C37</f>
        <v>-273.60000000000002</v>
      </c>
      <c r="D60" s="18">
        <f>ACCR_DIL!D37</f>
        <v>60.799999999999955</v>
      </c>
      <c r="E60" s="18">
        <f>ACCR_DIL!E37</f>
        <v>1216</v>
      </c>
      <c r="F60" s="18">
        <f>ACCR_DIL!F37</f>
        <v>2736</v>
      </c>
      <c r="G60" s="18">
        <f>ACCR_DIL!G37</f>
        <v>4256</v>
      </c>
    </row>
    <row r="61" spans="1:7" ht="15" customHeight="1" x14ac:dyDescent="0.2">
      <c r="A61" s="14" t="s">
        <v>832</v>
      </c>
      <c r="C61" s="18">
        <f>ACCR_DIL!C38</f>
        <v>-3121.3246060606061</v>
      </c>
      <c r="D61" s="18">
        <f>ACCR_DIL!D38</f>
        <v>-6132.4281010101004</v>
      </c>
      <c r="E61" s="18">
        <f>ACCR_DIL!E38</f>
        <v>-9033.3104848484836</v>
      </c>
      <c r="F61" s="18">
        <f>ACCR_DIL!F38</f>
        <v>-11823.971757575757</v>
      </c>
      <c r="G61" s="18">
        <f>ACCR_DIL!G38</f>
        <v>-14504.411919191918</v>
      </c>
    </row>
    <row r="62" spans="1:7" ht="15" customHeight="1" x14ac:dyDescent="0.2">
      <c r="A62" s="14" t="s">
        <v>833</v>
      </c>
      <c r="C62" s="57">
        <f>ACCR_DIL!C40</f>
        <v>-2.569555743179448</v>
      </c>
      <c r="D62" s="57">
        <f>ACCR_DIL!D40</f>
        <v>-4.4531409511323199</v>
      </c>
      <c r="E62" s="57">
        <f>ACCR_DIL!E40</f>
        <v>-5.6215030673217967</v>
      </c>
      <c r="F62" s="57">
        <f>ACCR_DIL!F40</f>
        <v>-6.3053170478944498</v>
      </c>
      <c r="G62" s="57">
        <f>ACCR_DIL!G40</f>
        <v>-6.8074715874791272</v>
      </c>
    </row>
    <row r="63" spans="1:7" ht="15" customHeight="1" x14ac:dyDescent="0.2">
      <c r="A63" s="13" t="s">
        <v>834</v>
      </c>
      <c r="C63" s="103">
        <f>ACCR_DIL!C41</f>
        <v>-0.74385958381420814</v>
      </c>
      <c r="D63" s="103">
        <f>ACCR_DIL!D41</f>
        <v>-0.86315315112669388</v>
      </c>
      <c r="E63" s="103">
        <f>ACCR_DIL!E41</f>
        <v>-0.32862814540063656</v>
      </c>
      <c r="F63" s="103">
        <f>ACCR_DIL!F41</f>
        <v>0.62904047721739254</v>
      </c>
      <c r="G63" s="103">
        <f>ACCR_DIL!G41</f>
        <v>1.7069640220985445</v>
      </c>
    </row>
    <row r="65" spans="1:7" ht="15" customHeight="1" x14ac:dyDescent="0.2">
      <c r="A65" s="79" t="s">
        <v>835</v>
      </c>
      <c r="B65" s="79"/>
      <c r="C65" s="79"/>
      <c r="D65" s="79"/>
      <c r="E65" s="79"/>
      <c r="F65" s="79"/>
      <c r="G65" s="79"/>
    </row>
    <row r="66" spans="1:7" ht="57.75" customHeight="1" x14ac:dyDescent="0.2">
      <c r="A66" s="116" t="s">
        <v>836</v>
      </c>
      <c r="B66" s="116"/>
      <c r="C66" s="116"/>
      <c r="D66" s="116"/>
      <c r="E66" s="116"/>
      <c r="F66" s="116"/>
      <c r="G66" s="116"/>
    </row>
    <row r="67" spans="1:7" ht="57.75" customHeight="1" x14ac:dyDescent="0.2">
      <c r="A67" s="116" t="s">
        <v>977</v>
      </c>
      <c r="B67" s="116"/>
      <c r="C67" s="116"/>
      <c r="D67" s="116"/>
      <c r="E67" s="116"/>
      <c r="F67" s="116"/>
      <c r="G67" s="116"/>
    </row>
    <row r="68" spans="1:7" ht="57.75" customHeight="1" x14ac:dyDescent="0.2">
      <c r="A68" s="116" t="s">
        <v>978</v>
      </c>
      <c r="B68" s="116"/>
      <c r="C68" s="116"/>
      <c r="D68" s="116"/>
      <c r="E68" s="116"/>
      <c r="F68" s="116"/>
      <c r="G68" s="116"/>
    </row>
    <row r="69" spans="1:7" ht="57.75" customHeight="1" x14ac:dyDescent="0.2">
      <c r="A69" s="116" t="s">
        <v>979</v>
      </c>
      <c r="B69" s="116"/>
      <c r="C69" s="116"/>
      <c r="D69" s="116"/>
      <c r="E69" s="116"/>
      <c r="F69" s="116"/>
      <c r="G69" s="116"/>
    </row>
    <row r="71" spans="1:7" ht="15" customHeight="1" x14ac:dyDescent="0.2">
      <c r="A71" s="79" t="s">
        <v>376</v>
      </c>
      <c r="B71" s="79"/>
      <c r="C71" s="79"/>
      <c r="D71" s="79"/>
      <c r="E71" s="79"/>
      <c r="F71" s="79"/>
      <c r="G71" s="79"/>
    </row>
    <row r="72" spans="1:7" ht="15" customHeight="1" x14ac:dyDescent="0.2">
      <c r="A72" s="45" t="s">
        <v>837</v>
      </c>
      <c r="C72" s="104">
        <f>C6-'S&amp;U'!B7</f>
        <v>0</v>
      </c>
    </row>
    <row r="73" spans="1:7" ht="15" customHeight="1" x14ac:dyDescent="0.2">
      <c r="A73" s="45" t="s">
        <v>838</v>
      </c>
      <c r="C73" s="74">
        <f>C47-(ACCR_DIL!C7-ACCR_DIL!C6)</f>
        <v>0</v>
      </c>
    </row>
    <row r="74" spans="1:7" ht="15" customHeight="1" x14ac:dyDescent="0.2">
      <c r="A74" s="45" t="s">
        <v>839</v>
      </c>
      <c r="C74" s="104">
        <f>C35-('S&amp;U'!B18+ASSUMPTIONS!B15)</f>
        <v>0</v>
      </c>
    </row>
    <row r="75" spans="1:7" ht="15" customHeight="1" x14ac:dyDescent="0.2">
      <c r="A75" s="45" t="s">
        <v>840</v>
      </c>
      <c r="C75" s="104">
        <f>PPA!B36-(PPA!B22+PPA!B33)</f>
        <v>0</v>
      </c>
    </row>
    <row r="76" spans="1:7" ht="15" customHeight="1" x14ac:dyDescent="0.2">
      <c r="A76" s="45" t="s">
        <v>841</v>
      </c>
      <c r="C76" s="51">
        <f>IF(C56="beyond",1,0)</f>
        <v>0</v>
      </c>
    </row>
    <row r="78" spans="1:7" ht="15" customHeight="1" x14ac:dyDescent="0.2">
      <c r="A78" s="13" t="s">
        <v>335</v>
      </c>
      <c r="B78" s="54" t="str">
        <f>IF(AND(ABS(C72)&lt;1,ABS(C73)&lt;0.01,ABS(C74)&lt;1,ABS(C75)&lt;1,C76=0),"OK","CHECK")</f>
        <v>OK</v>
      </c>
    </row>
    <row r="81" spans="1:8" ht="15" customHeight="1" x14ac:dyDescent="0.2">
      <c r="A81" s="105" t="s">
        <v>842</v>
      </c>
      <c r="B81" s="105"/>
      <c r="C81" s="105"/>
      <c r="D81" s="105"/>
      <c r="E81" s="105"/>
      <c r="F81" s="105"/>
      <c r="G81" s="105"/>
    </row>
    <row r="82" spans="1:8" ht="42" customHeight="1" x14ac:dyDescent="0.2">
      <c r="A82" s="114" t="s">
        <v>980</v>
      </c>
      <c r="B82" s="114"/>
      <c r="C82" s="114"/>
      <c r="D82" s="114"/>
      <c r="E82" s="114"/>
      <c r="F82" s="114"/>
      <c r="G82" s="114"/>
    </row>
    <row r="83" spans="1:8" ht="42" customHeight="1" x14ac:dyDescent="0.2">
      <c r="A83" s="114" t="s">
        <v>981</v>
      </c>
      <c r="B83" s="114"/>
      <c r="C83" s="114"/>
      <c r="D83" s="114"/>
      <c r="E83" s="114"/>
      <c r="F83" s="114"/>
      <c r="G83" s="114"/>
    </row>
    <row r="84" spans="1:8" ht="42" customHeight="1" x14ac:dyDescent="0.2">
      <c r="A84" s="114" t="s">
        <v>982</v>
      </c>
      <c r="B84" s="114"/>
      <c r="C84" s="114"/>
      <c r="D84" s="114"/>
      <c r="E84" s="114"/>
      <c r="F84" s="114"/>
      <c r="G84" s="114"/>
    </row>
    <row r="85" spans="1:8" ht="42" customHeight="1" x14ac:dyDescent="0.2">
      <c r="A85" s="114" t="s">
        <v>983</v>
      </c>
      <c r="B85" s="114"/>
      <c r="C85" s="114"/>
      <c r="D85" s="114"/>
      <c r="E85" s="114"/>
      <c r="F85" s="114"/>
      <c r="G85" s="114"/>
    </row>
    <row r="86" spans="1:8" ht="42" customHeight="1" x14ac:dyDescent="0.2">
      <c r="A86" s="114" t="s">
        <v>984</v>
      </c>
      <c r="B86" s="114"/>
      <c r="C86" s="114"/>
      <c r="D86" s="114"/>
      <c r="E86" s="114"/>
      <c r="F86" s="114"/>
      <c r="G86" s="114"/>
    </row>
    <row r="87" spans="1:8" ht="42" customHeight="1" x14ac:dyDescent="0.2">
      <c r="A87" s="114" t="s">
        <v>985</v>
      </c>
      <c r="B87" s="114"/>
      <c r="C87" s="114"/>
      <c r="D87" s="114"/>
      <c r="E87" s="114"/>
      <c r="F87" s="114"/>
      <c r="G87" s="114"/>
    </row>
    <row r="89" spans="1:8" ht="15" customHeight="1" x14ac:dyDescent="0.2">
      <c r="A89" s="106" t="s">
        <v>986</v>
      </c>
      <c r="B89" s="107"/>
      <c r="C89" s="107"/>
      <c r="D89" s="107"/>
      <c r="E89" s="107"/>
      <c r="F89" s="107"/>
      <c r="G89" s="107"/>
      <c r="H89" s="107"/>
    </row>
    <row r="90" spans="1:8" ht="15" customHeight="1" x14ac:dyDescent="0.2">
      <c r="A90" s="60" t="s">
        <v>843</v>
      </c>
      <c r="C90" s="108" t="s">
        <v>159</v>
      </c>
      <c r="D90" s="108" t="s">
        <v>160</v>
      </c>
      <c r="E90" s="108" t="s">
        <v>161</v>
      </c>
      <c r="F90" s="108" t="s">
        <v>162</v>
      </c>
      <c r="G90" s="108" t="s">
        <v>163</v>
      </c>
    </row>
    <row r="91" spans="1:8" ht="15" customHeight="1" x14ac:dyDescent="0.2">
      <c r="A91" s="90" t="s">
        <v>844</v>
      </c>
      <c r="C91" s="109">
        <f>ACCR_DIL!C9</f>
        <v>-0.36191170600516598</v>
      </c>
      <c r="D91" s="109">
        <f>ACCR_DIL!D9</f>
        <v>-0.25574970452221046</v>
      </c>
      <c r="E91" s="109">
        <f>ACCR_DIL!E9</f>
        <v>-0.15286451996180059</v>
      </c>
      <c r="F91" s="109">
        <f>ACCR_DIL!F9</f>
        <v>-8.6175993571861287E-2</v>
      </c>
      <c r="G91" s="109">
        <f>ACCR_DIL!G9</f>
        <v>-6.0929832629859682E-2</v>
      </c>
    </row>
    <row r="92" spans="1:8" ht="15" customHeight="1" x14ac:dyDescent="0.2">
      <c r="A92" s="90" t="s">
        <v>759</v>
      </c>
      <c r="C92" s="109">
        <f>ACCR_DIL!C34</f>
        <v>-0.10476966367477326</v>
      </c>
      <c r="D92" s="109">
        <f>ACCR_DIL!D34</f>
        <v>-1.619745921912762E-2</v>
      </c>
      <c r="E92" s="109">
        <f>ACCR_DIL!E34</f>
        <v>6.9935431212356527E-2</v>
      </c>
      <c r="F92" s="109">
        <f>ACCR_DIL!F34</f>
        <v>0.12068785870331615</v>
      </c>
      <c r="G92" s="109">
        <f>ACCR_DIL!G34</f>
        <v>0.1307918100904045</v>
      </c>
    </row>
    <row r="93" spans="1:8" ht="15" customHeight="1" x14ac:dyDescent="0.2">
      <c r="A93" s="90" t="s">
        <v>845</v>
      </c>
      <c r="C93" s="110">
        <f>SYNERGIES!C15/ASSUMPTIONS!$F$61</f>
        <v>0.1</v>
      </c>
      <c r="D93" s="110">
        <f>SYNERGIES!D15/ASSUMPTIONS!$F$61</f>
        <v>0.5</v>
      </c>
      <c r="E93" s="110">
        <f>SYNERGIES!E15/ASSUMPTIONS!$F$61</f>
        <v>0.9</v>
      </c>
      <c r="F93" s="110">
        <f>SYNERGIES!F15/ASSUMPTIONS!$F$61</f>
        <v>1</v>
      </c>
      <c r="G93" s="110">
        <f>SYNERGIES!G15/ASSUMPTIONS!$F$61</f>
        <v>1</v>
      </c>
    </row>
    <row r="95" spans="1:8" ht="15" customHeight="1" x14ac:dyDescent="0.2">
      <c r="A95" s="60" t="s">
        <v>846</v>
      </c>
      <c r="B95" s="108" t="s">
        <v>586</v>
      </c>
      <c r="C95" s="108" t="s">
        <v>159</v>
      </c>
      <c r="D95" s="108" t="s">
        <v>160</v>
      </c>
      <c r="E95" s="108" t="s">
        <v>161</v>
      </c>
      <c r="F95" s="108" t="s">
        <v>162</v>
      </c>
      <c r="G95" s="108" t="s">
        <v>163</v>
      </c>
    </row>
    <row r="96" spans="1:8" ht="15" customHeight="1" x14ac:dyDescent="0.2">
      <c r="A96" s="90" t="s">
        <v>847</v>
      </c>
      <c r="B96" s="111">
        <f>DEBT!B8</f>
        <v>38811</v>
      </c>
      <c r="C96" s="111">
        <f>DEBT!C24</f>
        <v>19396.485393825518</v>
      </c>
      <c r="D96" s="111">
        <f>DEBT!D24</f>
        <v>12164.073853401151</v>
      </c>
      <c r="E96" s="111">
        <f>DEBT!E24</f>
        <v>4112.4839329901997</v>
      </c>
      <c r="F96" s="111">
        <f>DEBT!F24</f>
        <v>0</v>
      </c>
      <c r="G96" s="111">
        <f>DEBT!G24</f>
        <v>0</v>
      </c>
    </row>
    <row r="98" spans="1:8" ht="15" customHeight="1" x14ac:dyDescent="0.2">
      <c r="A98" s="60" t="s">
        <v>848</v>
      </c>
      <c r="C98" s="108" t="s">
        <v>34</v>
      </c>
      <c r="D98" s="108" t="s">
        <v>849</v>
      </c>
      <c r="E98" s="108" t="s">
        <v>850</v>
      </c>
      <c r="F98" s="108" t="s">
        <v>851</v>
      </c>
      <c r="H98" s="108" t="s">
        <v>852</v>
      </c>
    </row>
    <row r="99" spans="1:8" ht="15" customHeight="1" x14ac:dyDescent="0.2">
      <c r="A99" s="90" t="s">
        <v>853</v>
      </c>
      <c r="C99" s="112">
        <v>0</v>
      </c>
      <c r="D99" s="112">
        <v>0</v>
      </c>
      <c r="E99" s="112">
        <v>0</v>
      </c>
      <c r="F99" s="113">
        <f>ACCR_DIL!G12</f>
        <v>8.2415217293504952</v>
      </c>
      <c r="H99" s="113">
        <f>ACCR_DIL!G12</f>
        <v>8.2415217293504952</v>
      </c>
    </row>
    <row r="100" spans="1:8" ht="15" customHeight="1" x14ac:dyDescent="0.2">
      <c r="A100" s="90" t="s">
        <v>854</v>
      </c>
      <c r="C100" s="112">
        <f t="shared" ref="C100:C105" si="0">MIN(H99,H100)</f>
        <v>6.8319689878961203</v>
      </c>
      <c r="D100" s="112">
        <f>MAX(-ACCR_DIL!G13,0)</f>
        <v>1.4095527414543749</v>
      </c>
      <c r="E100" s="112">
        <f>MAX(ACCR_DIL!G13,0)</f>
        <v>0</v>
      </c>
      <c r="F100" s="112">
        <v>0</v>
      </c>
      <c r="H100" s="112">
        <f>H99+ACCR_DIL!G13</f>
        <v>6.8319689878961203</v>
      </c>
    </row>
    <row r="101" spans="1:8" ht="15" customHeight="1" x14ac:dyDescent="0.2">
      <c r="A101" s="90" t="s">
        <v>855</v>
      </c>
      <c r="C101" s="112">
        <f t="shared" si="0"/>
        <v>6.8319689878961203</v>
      </c>
      <c r="D101" s="112">
        <f>MAX(-ACCR_DIL!G14,0)</f>
        <v>0</v>
      </c>
      <c r="E101" s="112">
        <f>MAX(ACCR_DIL!G14,0)</f>
        <v>1.0659248657227121</v>
      </c>
      <c r="F101" s="112">
        <v>0</v>
      </c>
      <c r="H101" s="112">
        <f>H100+ACCR_DIL!G14</f>
        <v>7.8978938536188323</v>
      </c>
    </row>
    <row r="102" spans="1:8" ht="15" customHeight="1" x14ac:dyDescent="0.2">
      <c r="A102" s="90" t="s">
        <v>856</v>
      </c>
      <c r="C102" s="112">
        <f t="shared" si="0"/>
        <v>7.8978938536188323</v>
      </c>
      <c r="D102" s="112">
        <f>MAX(-ACCR_DIL!G15,0)</f>
        <v>0</v>
      </c>
      <c r="E102" s="112">
        <f>MAX(ACCR_DIL!G15,0)</f>
        <v>0.84679665738161558</v>
      </c>
      <c r="F102" s="112">
        <v>0</v>
      </c>
      <c r="H102" s="112">
        <f>H101+ACCR_DIL!G15</f>
        <v>8.7446905110004476</v>
      </c>
    </row>
    <row r="103" spans="1:8" ht="15" customHeight="1" x14ac:dyDescent="0.2">
      <c r="A103" s="90" t="s">
        <v>857</v>
      </c>
      <c r="C103" s="112">
        <f t="shared" si="0"/>
        <v>8.7446905110004476</v>
      </c>
      <c r="D103" s="112">
        <f>MAX(-ACCR_DIL!G16,0)</f>
        <v>0</v>
      </c>
      <c r="E103" s="112">
        <f>MAX(ACCR_DIL!G16,0)</f>
        <v>0</v>
      </c>
      <c r="F103" s="112">
        <v>0</v>
      </c>
      <c r="H103" s="112">
        <f>H102+ACCR_DIL!G16</f>
        <v>8.7446905110004476</v>
      </c>
    </row>
    <row r="104" spans="1:8" ht="15" customHeight="1" x14ac:dyDescent="0.2">
      <c r="A104" s="90" t="s">
        <v>858</v>
      </c>
      <c r="C104" s="112">
        <f t="shared" si="0"/>
        <v>7.2514090839162346</v>
      </c>
      <c r="D104" s="112">
        <f>MAX(-ACCR_DIL!G17,0)</f>
        <v>1.4932814270842127</v>
      </c>
      <c r="E104" s="112">
        <f>MAX(ACCR_DIL!G17,0)</f>
        <v>0</v>
      </c>
      <c r="F104" s="112">
        <v>0</v>
      </c>
      <c r="H104" s="112">
        <f>H103+ACCR_DIL!G17</f>
        <v>7.2514090839162346</v>
      </c>
    </row>
    <row r="105" spans="1:8" ht="15" customHeight="1" x14ac:dyDescent="0.2">
      <c r="A105" s="90" t="s">
        <v>859</v>
      </c>
      <c r="C105" s="112">
        <f t="shared" si="0"/>
        <v>7.2514090839162346</v>
      </c>
      <c r="D105" s="112">
        <f>MAX(-ACCR_DIL!G18,0)</f>
        <v>0</v>
      </c>
      <c r="E105" s="112">
        <f>MAX(ACCR_DIL!G18,0)</f>
        <v>0.48795810584958221</v>
      </c>
      <c r="F105" s="112">
        <v>0</v>
      </c>
      <c r="H105" s="112">
        <f>H104+ACCR_DIL!G18</f>
        <v>7.7393671897658169</v>
      </c>
    </row>
    <row r="106" spans="1:8" ht="15" customHeight="1" x14ac:dyDescent="0.2">
      <c r="A106" s="90" t="s">
        <v>860</v>
      </c>
      <c r="C106" s="112">
        <v>0</v>
      </c>
      <c r="D106" s="112">
        <v>0</v>
      </c>
      <c r="E106" s="112">
        <v>0</v>
      </c>
      <c r="F106" s="113">
        <f>ACCR_DIL!G19</f>
        <v>7.7393671897658169</v>
      </c>
      <c r="H106" s="112">
        <f>H105</f>
        <v>7.7393671897658169</v>
      </c>
    </row>
  </sheetData>
  <mergeCells count="11">
    <mergeCell ref="A5:G5"/>
    <mergeCell ref="A66:G66"/>
    <mergeCell ref="A67:G67"/>
    <mergeCell ref="A68:G68"/>
    <mergeCell ref="A69:G69"/>
    <mergeCell ref="A87:G87"/>
    <mergeCell ref="A82:G82"/>
    <mergeCell ref="A83:G83"/>
    <mergeCell ref="A84:G84"/>
    <mergeCell ref="A85:G85"/>
    <mergeCell ref="A86:G8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</vt:lpstr>
      <vt:lpstr>README</vt:lpstr>
      <vt:lpstr>CONTROL</vt:lpstr>
      <vt:lpstr>ASSUMPTIONS</vt:lpstr>
      <vt:lpstr>DIS_HIST</vt:lpstr>
      <vt:lpstr>DIS_PROJ</vt:lpstr>
      <vt:lpstr>FOX_HIST</vt:lpstr>
      <vt:lpstr>FOX_PROJ</vt:lpstr>
      <vt:lpstr>S&amp;U</vt:lpstr>
      <vt:lpstr>PPA</vt:lpstr>
      <vt:lpstr>PPA_DA</vt:lpstr>
      <vt:lpstr>SYNERGIES</vt:lpstr>
      <vt:lpstr>DEBT</vt:lpstr>
      <vt:lpstr>HULU</vt:lpstr>
      <vt:lpstr>RSN</vt:lpstr>
      <vt:lpstr>PF_IS</vt:lpstr>
      <vt:lpstr>PF_BS</vt:lpstr>
      <vt:lpstr>PF_CF</vt:lpstr>
      <vt:lpstr>ACCR_DIL</vt:lpstr>
      <vt:lpstr>SENS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Sheikh, Muhammed T</cp:lastModifiedBy>
  <cp:revision>1</cp:revision>
  <dcterms:created xsi:type="dcterms:W3CDTF">2026-06-16T01:13:23Z</dcterms:created>
  <dcterms:modified xsi:type="dcterms:W3CDTF">2026-06-19T13:43:20Z</dcterms:modified>
  <dc:language>en-US</dc:language>
</cp:coreProperties>
</file>